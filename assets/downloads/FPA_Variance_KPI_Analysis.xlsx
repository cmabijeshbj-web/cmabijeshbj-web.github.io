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_Summary" sheetId="1" state="visible" r:id="rId3"/>
    <sheet name="Heatmap" sheetId="2" state="visible" r:id="rId4"/>
    <sheet name="Bridge" sheetId="3" state="visible" r:id="rId5"/>
    <sheet name="Monthly_Trend" sheetId="4" state="visible" r:id="rId6"/>
    <sheet name="Segment_Trends" sheetId="5" state="visible" r:id="rId7"/>
    <sheet name="Data" sheetId="6" state="visible" r:id="rId8"/>
    <sheet name="KPI_Dictionary" sheetId="7" state="visible" r:id="rId9"/>
    <sheet name="Checks" sheetId="8" state="visible" r:id="rId10"/>
  </sheets>
  <definedNames>
    <definedName function="false" hidden="true" localSheetId="5" name="_xlnm._FilterDatabase" vbProcedure="false">Data!$A$5:$U$1085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<sst xmlns="http://schemas.openxmlformats.org/spreadsheetml/2006/main" count="4648" uniqueCount="204">
  <si>
    <t xml:space="preserve">Meridian Technology Services — FP&amp;A Performance Pack</t>
  </si>
  <si>
    <t xml:space="preserve">Illustrative company · USD · fiscal year April–March · all figures formula-driven from the Data sheet · change the fiscal year in C4</t>
  </si>
  <si>
    <t xml:space="preserve">Fiscal year ▸</t>
  </si>
  <si>
    <t xml:space="preserve">FY26</t>
  </si>
  <si>
    <t xml:space="preserve">Prior year</t>
  </si>
  <si>
    <t xml:space="preserve">Model status</t>
  </si>
  <si>
    <t xml:space="preserve">RAG: on track if variance ≥</t>
  </si>
  <si>
    <t xml:space="preserve">watch if ≥</t>
  </si>
  <si>
    <t xml:space="preserve">Margin RAG (pp): on track ≥</t>
  </si>
  <si>
    <t xml:space="preserve">1 · HEADLINE SCORECARD (selected fiscal year)</t>
  </si>
  <si>
    <t xml:space="preserve">Metric</t>
  </si>
  <si>
    <t xml:space="preserve">Actual</t>
  </si>
  <si>
    <t xml:space="preserve">Budget</t>
  </si>
  <si>
    <t xml:space="preserve">Variance</t>
  </si>
  <si>
    <t xml:space="preserve">Var %</t>
  </si>
  <si>
    <t xml:space="preserve">YoY %</t>
  </si>
  <si>
    <t xml:space="preserve">Status</t>
  </si>
  <si>
    <t xml:space="preserve">Revenue</t>
  </si>
  <si>
    <t xml:space="preserve">Gross profit</t>
  </si>
  <si>
    <t xml:space="preserve">Operating income</t>
  </si>
  <si>
    <t xml:space="preserve">Gross margin %</t>
  </si>
  <si>
    <t xml:space="preserve">Operating margin %</t>
  </si>
  <si>
    <t xml:space="preserve">Revenue per head ($K, avg HC)</t>
  </si>
  <si>
    <t xml:space="preserve">n/a</t>
  </si>
  <si>
    <t xml:space="preserve">Revenue forecast accuracy (1 − WAPE)</t>
  </si>
  <si>
    <t xml:space="preserve">Adverse cell-months (OI &gt;15% below budget)</t>
  </si>
  <si>
    <t xml:space="preserve">of cell-months</t>
  </si>
  <si>
    <t xml:space="preserve">2 · BUSINESS-UNIT PERFORMANCE</t>
  </si>
  <si>
    <t xml:space="preserve">Segment</t>
  </si>
  <si>
    <t xml:space="preserve">Gross margin</t>
  </si>
  <si>
    <t xml:space="preserve">Op margin</t>
  </si>
  <si>
    <t xml:space="preserve">Op income</t>
  </si>
  <si>
    <t xml:space="preserve">OI vs budget</t>
  </si>
  <si>
    <t xml:space="preserve">Banking &amp; Financial Services</t>
  </si>
  <si>
    <t xml:space="preserve">Retail &amp; Consumer</t>
  </si>
  <si>
    <t xml:space="preserve">Healthcare &amp; Life Sciences</t>
  </si>
  <si>
    <t xml:space="preserve">Manufacturing &amp; Logistics</t>
  </si>
  <si>
    <t xml:space="preserve">Public Sector &amp; Utilities</t>
  </si>
  <si>
    <t xml:space="preserve">Total</t>
  </si>
  <si>
    <t xml:space="preserve">3 · REGIONAL PERFORMANCE</t>
  </si>
  <si>
    <t xml:space="preserve">UAE</t>
  </si>
  <si>
    <t xml:space="preserve">KSA</t>
  </si>
  <si>
    <t xml:space="preserve">India</t>
  </si>
  <si>
    <t xml:space="preserve">UK</t>
  </si>
  <si>
    <t xml:space="preserve">USA</t>
  </si>
  <si>
    <t xml:space="preserve">Singapore</t>
  </si>
  <si>
    <t xml:space="preserve">4 · KEY MESSAGES (auto-generated from the numbers above)</t>
  </si>
  <si>
    <t xml:space="preserve">BU × Region heatmap</t>
  </si>
  <si>
    <t xml:space="preserve">Selected fiscal year from Exec_Summary!C4 · colour scale shows where margin and budget accuracy are strongest / weakest</t>
  </si>
  <si>
    <t xml:space="preserve">Operating margin %  (OI actual ÷ revenue actual)</t>
  </si>
  <si>
    <t xml:space="preserve">Business unit</t>
  </si>
  <si>
    <t xml:space="preserve">All</t>
  </si>
  <si>
    <t xml:space="preserve">Operating income vs budget %</t>
  </si>
  <si>
    <t xml:space="preserve">Revenue actual ($)</t>
  </si>
  <si>
    <t xml:space="preserve">Revenue budget ($)</t>
  </si>
  <si>
    <t xml:space="preserve">Absolute revenue error by cell  |actual − budget|  (feeds forecast-accuracy KPI)</t>
  </si>
  <si>
    <t xml:space="preserve">Total absolute error</t>
  </si>
  <si>
    <t xml:space="preserve">Total revenue budget</t>
  </si>
  <si>
    <t xml:space="preserve">WAPE (weighted absolute % error)</t>
  </si>
  <si>
    <t xml:space="preserve">Operating-income bridge: Budget → Actual</t>
  </si>
  <si>
    <t xml:space="preserve">Exact three-factor decomposition per business unit: volume (revenue variance at budget margin), direct-cost rate, opex rate · selected fiscal year</t>
  </si>
  <si>
    <t xml:space="preserve">Fiscal year</t>
  </si>
  <si>
    <t xml:space="preserve">Step</t>
  </si>
  <si>
    <t xml:space="preserve">$</t>
  </si>
  <si>
    <t xml:space="preserve">Budget operating income</t>
  </si>
  <si>
    <t xml:space="preserve">Volume / revenue effect</t>
  </si>
  <si>
    <t xml:space="preserve">Direct-cost rate effect</t>
  </si>
  <si>
    <t xml:space="preserve">Opex rate effect</t>
  </si>
  <si>
    <t xml:space="preserve">Actual operating income</t>
  </si>
  <si>
    <t xml:space="preserve">Bridge by business unit</t>
  </si>
  <si>
    <t xml:space="preserve">Rev budget</t>
  </si>
  <si>
    <t xml:space="preserve">Rev actual</t>
  </si>
  <si>
    <t xml:space="preserve">Direct cost bud</t>
  </si>
  <si>
    <t xml:space="preserve">Direct cost act</t>
  </si>
  <si>
    <t xml:space="preserve">Opex budget</t>
  </si>
  <si>
    <t xml:space="preserve">Opex actual</t>
  </si>
  <si>
    <t xml:space="preserve">Budget OI</t>
  </si>
  <si>
    <t xml:space="preserve">Volume</t>
  </si>
  <si>
    <t xml:space="preserve">Direct-cost rate</t>
  </si>
  <si>
    <t xml:space="preserve">Opex rate</t>
  </si>
  <si>
    <t xml:space="preserve">Actual OI</t>
  </si>
  <si>
    <t xml:space="preserve">Check</t>
  </si>
  <si>
    <t xml:space="preserve">Waterfall chart data (helper)</t>
  </si>
  <si>
    <t xml:space="preserve">Movement</t>
  </si>
  <si>
    <t xml:space="preserve">Cumulative</t>
  </si>
  <si>
    <t xml:space="preserve">Base (hidden)</t>
  </si>
  <si>
    <t xml:space="preserve">Increase</t>
  </si>
  <si>
    <t xml:space="preserve">Decrease</t>
  </si>
  <si>
    <t xml:space="preserve">Monthly trend — selected fiscal year</t>
  </si>
  <si>
    <t xml:space="preserve">Rolling 12-month view driven by Exec_Summary!C4</t>
  </si>
  <si>
    <t xml:space="preserve">Month</t>
  </si>
  <si>
    <t xml:space="preserve">Revenue budget</t>
  </si>
  <si>
    <t xml:space="preserve">Revenue actual</t>
  </si>
  <si>
    <t xml:space="preserve">Rev var %</t>
  </si>
  <si>
    <t xml:space="preserve">OI budget</t>
  </si>
  <si>
    <t xml:space="preserve">OI actual</t>
  </si>
  <si>
    <t xml:space="preserve">OI margin %</t>
  </si>
  <si>
    <t xml:space="preserve">Adverse cells</t>
  </si>
  <si>
    <t xml:space="preserve">Full year</t>
  </si>
  <si>
    <t xml:space="preserve">Three-year segment trends</t>
  </si>
  <si>
    <t xml:space="preserve">Revenue, operating margin and budget accuracy by business unit and region across FY24–FY26</t>
  </si>
  <si>
    <t xml:space="preserve">Business units</t>
  </si>
  <si>
    <t xml:space="preserve">Rev FY24</t>
  </si>
  <si>
    <t xml:space="preserve">Rev FY25</t>
  </si>
  <si>
    <t xml:space="preserve">Rev FY26</t>
  </si>
  <si>
    <t xml:space="preserve">OM% FY24</t>
  </si>
  <si>
    <t xml:space="preserve">OM% FY25</t>
  </si>
  <si>
    <t xml:space="preserve">OM% FY26</t>
  </si>
  <si>
    <t xml:space="preserve">Rev vs bud FY24</t>
  </si>
  <si>
    <t xml:space="preserve">Rev vs bud FY25</t>
  </si>
  <si>
    <t xml:space="preserve">Rev vs bud FY26</t>
  </si>
  <si>
    <t xml:space="preserve">Regions</t>
  </si>
  <si>
    <t xml:space="preserve">Source data &amp; variance engine</t>
  </si>
  <si>
    <t xml:space="preserve">1,080 monthly rows = 5 business units × 6 regions × 36 months. Blue = source inputs; black = formulas. Adverse flag = operating income &gt;15% below budget.</t>
  </si>
  <si>
    <t xml:space="preserve">FY</t>
  </si>
  <si>
    <t xml:space="preserve">Quarter</t>
  </si>
  <si>
    <t xml:space="preserve">Business Unit</t>
  </si>
  <si>
    <t xml:space="preserve">Region</t>
  </si>
  <si>
    <t xml:space="preserve">Revenue Budget</t>
  </si>
  <si>
    <t xml:space="preserve">Revenue Actual</t>
  </si>
  <si>
    <t xml:space="preserve">Direct Cost Budget</t>
  </si>
  <si>
    <t xml:space="preserve">Direct Cost Actual</t>
  </si>
  <si>
    <t xml:space="preserve">Opex Budget</t>
  </si>
  <si>
    <t xml:space="preserve">Opex Actual</t>
  </si>
  <si>
    <t xml:space="preserve">Headcount</t>
  </si>
  <si>
    <t xml:space="preserve">Revenue Var</t>
  </si>
  <si>
    <t xml:space="preserve">Revenue Var %</t>
  </si>
  <si>
    <t xml:space="preserve">Gross Profit Actual</t>
  </si>
  <si>
    <t xml:space="preserve">Gross Profit Budget</t>
  </si>
  <si>
    <t xml:space="preserve">Op Income Budget</t>
  </si>
  <si>
    <t xml:space="preserve">Op Income Actual</t>
  </si>
  <si>
    <t xml:space="preserve">Op Income Var</t>
  </si>
  <si>
    <t xml:space="preserve">Op Income Var %</t>
  </si>
  <si>
    <t xml:space="preserve">Flag</t>
  </si>
  <si>
    <t xml:space="preserve">FY24</t>
  </si>
  <si>
    <t xml:space="preserve">Q1</t>
  </si>
  <si>
    <t xml:space="preserve">Q2</t>
  </si>
  <si>
    <t xml:space="preserve">Q3</t>
  </si>
  <si>
    <t xml:space="preserve">Q4</t>
  </si>
  <si>
    <t xml:space="preserve">FY25</t>
  </si>
  <si>
    <t xml:space="preserve">KPI dictionary &amp; definitions</t>
  </si>
  <si>
    <t xml:space="preserve">Every KPI in this pack, how it is calculated and why it matters</t>
  </si>
  <si>
    <t xml:space="preserve">KPI</t>
  </si>
  <si>
    <t xml:space="preserve">Definition / formula</t>
  </si>
  <si>
    <t xml:space="preserve">Why it matters</t>
  </si>
  <si>
    <t xml:space="preserve">Source</t>
  </si>
  <si>
    <t xml:space="preserve">Sum of monthly actual revenue for the fiscal year (Apr–Mar).</t>
  </si>
  <si>
    <t xml:space="preserve">Top-line growth and scale.</t>
  </si>
  <si>
    <t xml:space="preserve">Data!G</t>
  </si>
  <si>
    <t xml:space="preserve">Gross profit / margin %</t>
  </si>
  <si>
    <t xml:space="preserve">Revenue − direct cost; margin = GP ÷ revenue.</t>
  </si>
  <si>
    <t xml:space="preserve">Delivery efficiency; first line of defence on pricing and utilisation.</t>
  </si>
  <si>
    <t xml:space="preserve">Data!O</t>
  </si>
  <si>
    <t xml:space="preserve">Operating income / margin %</t>
  </si>
  <si>
    <t xml:space="preserve">Revenue − direct cost − operating expenses; margin = OI ÷ revenue.</t>
  </si>
  <si>
    <t xml:space="preserve">Core profitability after overheads.</t>
  </si>
  <si>
    <t xml:space="preserve">Data!R</t>
  </si>
  <si>
    <t xml:space="preserve">Variance / Var %</t>
  </si>
  <si>
    <t xml:space="preserve">Actual − budget; Var % = variance ÷ budget.</t>
  </si>
  <si>
    <t xml:space="preserve">Positive = favourable for revenue and profit lines.</t>
  </si>
  <si>
    <t xml:space="preserve">Exec_Summary</t>
  </si>
  <si>
    <t xml:space="preserve">RAG status</t>
  </si>
  <si>
    <t xml:space="preserve">On track if variance ≥ threshold (default −2%); Watch if ≥ −5%; else Off track. Margin RAG uses percentage points.</t>
  </si>
  <si>
    <t xml:space="preserve">Focus management attention; thresholds are editable inputs.</t>
  </si>
  <si>
    <t xml:space="preserve">Exec_Summary!C5:F6</t>
  </si>
  <si>
    <t xml:space="preserve">Revenue per head</t>
  </si>
  <si>
    <t xml:space="preserve">Revenue ÷ average monthly headcount, shown in $K.</t>
  </si>
  <si>
    <t xml:space="preserve">Productivity and pricing power.</t>
  </si>
  <si>
    <t xml:space="preserve">Data!L</t>
  </si>
  <si>
    <t xml:space="preserve">Forecast accuracy (1 − WAPE)</t>
  </si>
  <si>
    <t xml:space="preserve">1 − Σ|actual − budget| ÷ Σ budget across the 30 BU × region cells.</t>
  </si>
  <si>
    <t xml:space="preserve">Quality of the budgeting process, independent of offsetting errors.</t>
  </si>
  <si>
    <t xml:space="preserve">Heatmap</t>
  </si>
  <si>
    <t xml:space="preserve">Adverse cell-month</t>
  </si>
  <si>
    <t xml:space="preserve">A BU-region-month where operating income is &gt;15% below budget (and budget OI &gt; 0).</t>
  </si>
  <si>
    <t xml:space="preserve">Early-warning indicator of control drift.</t>
  </si>
  <si>
    <t xml:space="preserve">Data!U</t>
  </si>
  <si>
    <t xml:space="preserve">Volume effect</t>
  </si>
  <si>
    <t xml:space="preserve">(Rev actual − Rev budget) × budget OI margin before rate changes.</t>
  </si>
  <si>
    <t xml:space="preserve">Isolates how much of the OI gap is simply revenue shortfall / outperformance.</t>
  </si>
  <si>
    <t xml:space="preserve">Bridge</t>
  </si>
  <si>
    <t xml:space="preserve">−Rev actual × (actual direct-cost % − budget direct-cost %).</t>
  </si>
  <si>
    <t xml:space="preserve">Pricing, utilisation, wage inflation, subcontract costs.</t>
  </si>
  <si>
    <t xml:space="preserve">−Rev actual × (actual opex % − budget opex %).</t>
  </si>
  <si>
    <t xml:space="preserve">Overhead discipline.</t>
  </si>
  <si>
    <t xml:space="preserve">Model integrity checks</t>
  </si>
  <si>
    <t xml:space="preserve">Every check must show PASS. Tolerance is $1 (the FM tie-out allows $25 for unit rounding in the revenue build).</t>
  </si>
  <si>
    <t xml:space="preserve">Overall status</t>
  </si>
  <si>
    <t xml:space="preserve">Value A</t>
  </si>
  <si>
    <t xml:space="preserve">Value B</t>
  </si>
  <si>
    <t xml:space="preserve">Difference</t>
  </si>
  <si>
    <t xml:space="preserve">Result</t>
  </si>
  <si>
    <t xml:space="preserve">Data rows loaded (expected 1,080)</t>
  </si>
  <si>
    <t xml:space="preserve">Business-unit revenue total = headline revenue</t>
  </si>
  <si>
    <t xml:space="preserve">Regional revenue total = headline revenue</t>
  </si>
  <si>
    <t xml:space="preserve">Heatmap grand total = headline revenue</t>
  </si>
  <si>
    <t xml:space="preserve">Bridge reconciles: budget OI + effects = actual OI</t>
  </si>
  <si>
    <t xml:space="preserve">Bridge by-BU check column sums to zero</t>
  </si>
  <si>
    <t xml:space="preserve">Monthly trend full-year revenue = headline revenue</t>
  </si>
  <si>
    <t xml:space="preserve">All-year revenue by FY = all rows total</t>
  </si>
  <si>
    <t xml:space="preserve">Revenue ties to Integrated_Financial_Model (selected FY)</t>
  </si>
  <si>
    <t xml:space="preserve">Reference: revenue per Integrated_Financial_Model.xlsx (03_Revenue_Build)</t>
  </si>
  <si>
    <t xml:space="preserve">Item</t>
  </si>
  <si>
    <t xml:space="preserve">Revenue (USD)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</si>
</sst>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;\-0.0%;0.0%"/>
    <numFmt numFmtId="166" formatCode="[&gt;=1000000]\$#,##0.0,,\M;[&lt;=-1000000]&quot;-$&quot;#,##0.0,,\M;\$#,##0,\K"/>
    <numFmt numFmtId="167" formatCode="\+0.0&quot; pp&quot;;\-0.0&quot; pp&quot;;0.0&quot; pp&quot;"/>
    <numFmt numFmtId="168" formatCode="#,##0.0"/>
    <numFmt numFmtId="169" formatCode="0"/>
    <numFmt numFmtId="170" formatCode="\$#,##0,,\M"/>
    <numFmt numFmtId="171" formatCode="0%"/>
    <numFmt numFmtId="172" formatCode="0.0%"/>
    <numFmt numFmtId="173" formatCode="\+0.0%;\-0.0%"/>
    <numFmt numFmtId="174" formatCode="0.00"/>
    <numFmt numFmtId="175" formatCode="\$#,##0.0,,\M"/>
    <numFmt numFmtId="176" formatCode="mmm\-yy"/>
    <numFmt numFmtId="177" formatCode="#,##0"/>
    <numFmt numFmtId="178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555555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1"/>
      <color rgb="FF1B2A4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88888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FF7DA"/>
        <bgColor rgb="FFFFFFFF"/>
      </patternFill>
    </fill>
    <fill>
      <patternFill patternType="solid">
        <fgColor rgb="FFD8A94E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6D0"/>
      </left>
      <right style="thin">
        <color rgb="FFBFC6D0"/>
      </right>
      <top style="thin">
        <color rgb="FFBFC6D0"/>
      </top>
      <bottom style="thin">
        <color rgb="FFBFC6D0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Calibri"/>
        <charset val="1"/>
        <family val="0"/>
        <color rgb="FFC0392B"/>
      </font>
    </dxf>
    <dxf>
      <font>
        <name val="Calibri"/>
        <charset val="1"/>
        <family val="0"/>
        <color rgb="FF2E8B57"/>
      </font>
    </dxf>
    <dxf>
      <font>
        <name val="Calibri"/>
        <charset val="1"/>
        <family val="0"/>
        <b val="1"/>
        <color rgb="FF2E8B57"/>
      </font>
    </dxf>
    <dxf>
      <font>
        <name val="Calibri"/>
        <charset val="1"/>
        <family val="0"/>
        <b val="1"/>
        <color rgb="FFB7791F"/>
      </font>
    </dxf>
    <dxf>
      <font>
        <name val="Calibri"/>
        <charset val="1"/>
        <family val="0"/>
        <b val="1"/>
        <color rgb="FFC0392B"/>
      </font>
    </dxf>
    <dxf>
      <fill>
        <patternFill patternType="solid">
          <fgColor rgb="FF1B2A4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FC6D0"/>
      <rgbColor rgb="FF878787"/>
      <rgbColor rgb="FF9999FF"/>
      <rgbColor rgb="FF993366"/>
      <rgbColor rgb="FFFFF7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FA9A0"/>
      <rgbColor rgb="FF99CC00"/>
      <rgbColor rgb="FFFFCC00"/>
      <rgbColor rgb="FFD8A94E"/>
      <rgbColor rgb="FFFF6600"/>
      <rgbColor rgb="FF555555"/>
      <rgbColor rgb="FF888888"/>
      <rgbColor rgb="FF003366"/>
      <rgbColor rgb="FF2E8B57"/>
      <rgbColor rgb="FF003300"/>
      <rgbColor rgb="FF333300"/>
      <rgbColor rgb="FFC0392B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Actual vs Budget by business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Exec_Summary!C20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2a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Exec_Summary!$B$21:$B$25</c:f>
              <c:strCache>
                <c:ptCount val="5"/>
                <c:pt idx="0">
                  <c:v>Banking &amp; Financial Services</c:v>
                </c:pt>
                <c:pt idx="1">
                  <c:v>Retail &amp; Consumer</c:v>
                </c:pt>
                <c:pt idx="2">
                  <c:v>Healthcare &amp; Life Sciences</c:v>
                </c:pt>
                <c:pt idx="3">
                  <c:v>Manufacturing &amp; Logistics</c:v>
                </c:pt>
                <c:pt idx="4">
                  <c:v>Public Sector &amp; Utilities</c:v>
                </c:pt>
              </c:strCache>
            </c:strRef>
          </c:cat>
          <c:val>
            <c:numRef>
              <c:f>Exec_Summary!$C$21:$C$25</c:f>
              <c:numCache>
                <c:formatCode>[&gt;=1000000]\$#,##0.0,,\M;[&lt;=-1000000]"-$"#,##0.0,,\M;\$#,##0,\K</c:formatCode>
                <c:ptCount val="5"/>
                <c:pt idx="0">
                  <c:v>51801767</c:v>
                </c:pt>
                <c:pt idx="1">
                  <c:v>36864343</c:v>
                </c:pt>
                <c:pt idx="2">
                  <c:v>30512053</c:v>
                </c:pt>
                <c:pt idx="3">
                  <c:v>32005589</c:v>
                </c:pt>
                <c:pt idx="4">
                  <c:v>20552403</c:v>
                </c:pt>
              </c:numCache>
            </c:numRef>
          </c:val>
        </c:ser>
        <c:ser>
          <c:idx val="1"/>
          <c:order val="1"/>
          <c:tx>
            <c:strRef>
              <c:f>Exec_Summary!D20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d8a9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Exec_Summary!$B$21:$B$25</c:f>
              <c:strCache>
                <c:ptCount val="5"/>
                <c:pt idx="0">
                  <c:v>Banking &amp; Financial Services</c:v>
                </c:pt>
                <c:pt idx="1">
                  <c:v>Retail &amp; Consumer</c:v>
                </c:pt>
                <c:pt idx="2">
                  <c:v>Healthcare &amp; Life Sciences</c:v>
                </c:pt>
                <c:pt idx="3">
                  <c:v>Manufacturing &amp; Logistics</c:v>
                </c:pt>
                <c:pt idx="4">
                  <c:v>Public Sector &amp; Utilities</c:v>
                </c:pt>
              </c:strCache>
            </c:strRef>
          </c:cat>
          <c:val>
            <c:numRef>
              <c:f>Exec_Summary!$D$21:$D$25</c:f>
              <c:numCache>
                <c:formatCode>[&gt;=1000000]\$#,##0.0,,\M;[&lt;=-1000000]"-$"#,##0.0,,\M;\$#,##0,\K</c:formatCode>
                <c:ptCount val="5"/>
                <c:pt idx="0">
                  <c:v>52900847</c:v>
                </c:pt>
                <c:pt idx="1">
                  <c:v>39576220</c:v>
                </c:pt>
                <c:pt idx="2">
                  <c:v>28479528</c:v>
                </c:pt>
                <c:pt idx="3">
                  <c:v>34095118</c:v>
                </c:pt>
                <c:pt idx="4">
                  <c:v>20808909</c:v>
                </c:pt>
              </c:numCache>
            </c:numRef>
          </c:val>
        </c:ser>
        <c:gapWidth val="150"/>
        <c:overlap val="0"/>
        <c:axId val="69143461"/>
        <c:axId val="90300003"/>
      </c:barChart>
      <c:catAx>
        <c:axId val="69143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00003"/>
        <c:crosses val="autoZero"/>
        <c:auto val="1"/>
        <c:lblAlgn val="ctr"/>
        <c:lblOffset val="100"/>
        <c:noMultiLvlLbl val="0"/>
      </c:catAx>
      <c:valAx>
        <c:axId val="90300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43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Exec_Summary!G29</c:f>
              <c:strCache>
                <c:ptCount val="1"/>
                <c:pt idx="0">
                  <c:v>Op margin</c:v>
                </c:pt>
              </c:strCache>
            </c:strRef>
          </c:tx>
          <c:spPr>
            <a:solidFill>
              <a:srgbClr val="3fa9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Exec_Summary!$B$30:$B$35</c:f>
              <c:strCache>
                <c:ptCount val="6"/>
                <c:pt idx="0">
                  <c:v>UAE</c:v>
                </c:pt>
                <c:pt idx="1">
                  <c:v>KSA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Singapore</c:v>
                </c:pt>
              </c:strCache>
            </c:strRef>
          </c:cat>
          <c:val>
            <c:numRef>
              <c:f>Exec_Summary!$G$30:$G$35</c:f>
              <c:numCache>
                <c:formatCode>0.0%;\-0.0%;0.0%</c:formatCode>
                <c:ptCount val="6"/>
                <c:pt idx="0">
                  <c:v>0.239566190149928</c:v>
                </c:pt>
                <c:pt idx="1">
                  <c:v>0.209148575783561</c:v>
                </c:pt>
                <c:pt idx="2">
                  <c:v>0.221037163477669</c:v>
                </c:pt>
                <c:pt idx="3">
                  <c:v>0.239928984109091</c:v>
                </c:pt>
                <c:pt idx="4">
                  <c:v>0.237375512887681</c:v>
                </c:pt>
                <c:pt idx="5">
                  <c:v>0.23883768846675</c:v>
                </c:pt>
              </c:numCache>
            </c:numRef>
          </c:val>
        </c:ser>
        <c:gapWidth val="150"/>
        <c:overlap val="0"/>
        <c:axId val="47973720"/>
        <c:axId val="70835852"/>
      </c:barChart>
      <c:catAx>
        <c:axId val="4797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35852"/>
        <c:crosses val="autoZero"/>
        <c:auto val="1"/>
        <c:lblAlgn val="ctr"/>
        <c:lblOffset val="100"/>
        <c:noMultiLvlLbl val="0"/>
      </c:catAx>
      <c:valAx>
        <c:axId val="70835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737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income bridge — Budget to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Bridge!E24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Bridge!$B$25:$B$29</c:f>
              <c:strCache>
                <c:ptCount val="5"/>
                <c:pt idx="0">
                  <c:v>Budget OI</c:v>
                </c:pt>
                <c:pt idx="1">
                  <c:v>Volume</c:v>
                </c:pt>
                <c:pt idx="2">
                  <c:v>Direct-cost rate</c:v>
                </c:pt>
                <c:pt idx="3">
                  <c:v>Opex rate</c:v>
                </c:pt>
                <c:pt idx="4">
                  <c:v>Actual OI</c:v>
                </c:pt>
              </c:strCache>
            </c:strRef>
          </c:cat>
          <c:val>
            <c:numRef>
              <c:f>Bridge!$E$25:$E$29</c:f>
              <c:numCache>
                <c:formatCode>[&gt;=1000000]\$#,##0.0,,\M;[&lt;=-1000000]"-$"#,##0.0,,\M;\$#,##0,\K</c:formatCode>
                <c:ptCount val="5"/>
                <c:pt idx="0">
                  <c:v>0</c:v>
                </c:pt>
                <c:pt idx="1">
                  <c:v>42429403.0146297</c:v>
                </c:pt>
                <c:pt idx="2">
                  <c:v>40135628.7144488</c:v>
                </c:pt>
                <c:pt idx="3">
                  <c:v>39558377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Bridge!F24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8b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Bridge!$B$25:$B$29</c:f>
              <c:strCache>
                <c:ptCount val="5"/>
                <c:pt idx="0">
                  <c:v>Budget OI</c:v>
                </c:pt>
                <c:pt idx="1">
                  <c:v>Volume</c:v>
                </c:pt>
                <c:pt idx="2">
                  <c:v>Direct-cost rate</c:v>
                </c:pt>
                <c:pt idx="3">
                  <c:v>Opex rate</c:v>
                </c:pt>
                <c:pt idx="4">
                  <c:v>Actual OI</c:v>
                </c:pt>
              </c:strCache>
            </c:strRef>
          </c:cat>
          <c:val>
            <c:numRef>
              <c:f>Bridge!$F$25:$F$29</c:f>
              <c:numCache>
                <c:formatCode>[&gt;=1000000]\$#,##0.0,,\M;[&lt;=-1000000]"-$"#,##0.0,,\M;\$#,##0,\K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Bridge!G24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Bridge!$B$25:$B$29</c:f>
              <c:strCache>
                <c:ptCount val="5"/>
                <c:pt idx="0">
                  <c:v>Budget OI</c:v>
                </c:pt>
                <c:pt idx="1">
                  <c:v>Volume</c:v>
                </c:pt>
                <c:pt idx="2">
                  <c:v>Direct-cost rate</c:v>
                </c:pt>
                <c:pt idx="3">
                  <c:v>Opex rate</c:v>
                </c:pt>
                <c:pt idx="4">
                  <c:v>Actual OI</c:v>
                </c:pt>
              </c:strCache>
            </c:strRef>
          </c:cat>
          <c:val>
            <c:numRef>
              <c:f>Bridge!$G$25:$G$29</c:f>
              <c:numCache>
                <c:formatCode>[&gt;=1000000]\$#,##0.0,,\M;[&lt;=-1000000]"-$"#,##0.0,,\M;\$#,##0,\K</c:formatCode>
                <c:ptCount val="5"/>
                <c:pt idx="0">
                  <c:v>0</c:v>
                </c:pt>
                <c:pt idx="1">
                  <c:v>767006.985370329</c:v>
                </c:pt>
                <c:pt idx="2">
                  <c:v>2293774.30018091</c:v>
                </c:pt>
                <c:pt idx="3">
                  <c:v>577251.714448756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Bridge!H24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Bridge!$B$25:$B$29</c:f>
              <c:strCache>
                <c:ptCount val="5"/>
                <c:pt idx="0">
                  <c:v>Budget OI</c:v>
                </c:pt>
                <c:pt idx="1">
                  <c:v>Volume</c:v>
                </c:pt>
                <c:pt idx="2">
                  <c:v>Direct-cost rate</c:v>
                </c:pt>
                <c:pt idx="3">
                  <c:v>Opex rate</c:v>
                </c:pt>
                <c:pt idx="4">
                  <c:v>Actual OI</c:v>
                </c:pt>
              </c:strCache>
            </c:strRef>
          </c:cat>
          <c:val>
            <c:numRef>
              <c:f>Bridge!$H$25:$H$29</c:f>
              <c:numCache>
                <c:formatCode>[&gt;=1000000]\$#,##0.0,,\M;[&lt;=-1000000]"-$"#,##0.0,,\M;\$#,##0,\K</c:formatCode>
                <c:ptCount val="5"/>
                <c:pt idx="0">
                  <c:v>43196410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39558377</c:v>
                </c:pt>
              </c:numCache>
            </c:numRef>
          </c:val>
        </c:ser>
        <c:gapWidth val="150"/>
        <c:overlap val="100"/>
        <c:axId val="8996041"/>
        <c:axId val="62757628"/>
      </c:barChart>
      <c:catAx>
        <c:axId val="89960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57628"/>
        <c:crosses val="autoZero"/>
        <c:auto val="1"/>
        <c:lblAlgn val="ctr"/>
        <c:lblOffset val="100"/>
        <c:noMultiLvlLbl val="0"/>
      </c:catAx>
      <c:valAx>
        <c:axId val="62757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60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—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Monthly_Trend!C5</c:f>
              <c:strCache>
                <c:ptCount val="1"/>
                <c:pt idx="0">
                  <c:v>Revenue budget</c:v>
                </c:pt>
              </c:strCache>
            </c:strRef>
          </c:tx>
          <c:spPr>
            <a:solidFill>
              <a:srgbClr val="d8a94e"/>
            </a:solidFill>
            <a:ln w="28440">
              <a:solidFill>
                <a:srgbClr val="d8a9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Monthly_Trend!$B$6:$B$17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Monthly_Trend!$C$6:$C$17</c:f>
              <c:numCache>
                <c:formatCode>[&gt;=1000000]\$#,##0.0,,\M;[&lt;=-1000000]"-$"#,##0.0,,\M;\$#,##0,\K</c:formatCode>
                <c:ptCount val="12"/>
                <c:pt idx="0">
                  <c:v>13963521</c:v>
                </c:pt>
                <c:pt idx="1">
                  <c:v>13984396</c:v>
                </c:pt>
                <c:pt idx="2">
                  <c:v>14300927</c:v>
                </c:pt>
                <c:pt idx="3">
                  <c:v>14580210</c:v>
                </c:pt>
                <c:pt idx="4">
                  <c:v>14127260</c:v>
                </c:pt>
                <c:pt idx="5">
                  <c:v>14546136</c:v>
                </c:pt>
                <c:pt idx="6">
                  <c:v>15080602</c:v>
                </c:pt>
                <c:pt idx="7">
                  <c:v>14995115</c:v>
                </c:pt>
                <c:pt idx="8">
                  <c:v>14889651</c:v>
                </c:pt>
                <c:pt idx="9">
                  <c:v>14496325</c:v>
                </c:pt>
                <c:pt idx="10">
                  <c:v>14769347</c:v>
                </c:pt>
                <c:pt idx="11">
                  <c:v>16127132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Monthly_Trend!D5</c:f>
              <c:strCache>
                <c:ptCount val="1"/>
                <c:pt idx="0">
                  <c:v>Revenue actual</c:v>
                </c:pt>
              </c:strCache>
            </c:strRef>
          </c:tx>
          <c:spPr>
            <a:solidFill>
              <a:srgbClr val="1b2a41"/>
            </a:solidFill>
            <a:ln w="28080">
              <a:solidFill>
                <a:srgbClr val="1b2a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Monthly_Trend!$B$6:$B$17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Monthly_Trend!$D$6:$D$17</c:f>
              <c:numCache>
                <c:formatCode>[&gt;=1000000]\$#,##0.0,,\M;[&lt;=-1000000]"-$"#,##0.0,,\M;\$#,##0,\K</c:formatCode>
                <c:ptCount val="12"/>
                <c:pt idx="0">
                  <c:v>13752296</c:v>
                </c:pt>
                <c:pt idx="1">
                  <c:v>13814565</c:v>
                </c:pt>
                <c:pt idx="2">
                  <c:v>13944756</c:v>
                </c:pt>
                <c:pt idx="3">
                  <c:v>14131317</c:v>
                </c:pt>
                <c:pt idx="4">
                  <c:v>14003303</c:v>
                </c:pt>
                <c:pt idx="5">
                  <c:v>14340747</c:v>
                </c:pt>
                <c:pt idx="6">
                  <c:v>14671871</c:v>
                </c:pt>
                <c:pt idx="7">
                  <c:v>14596887</c:v>
                </c:pt>
                <c:pt idx="8">
                  <c:v>14405688</c:v>
                </c:pt>
                <c:pt idx="9">
                  <c:v>14161709</c:v>
                </c:pt>
                <c:pt idx="10">
                  <c:v>14445787</c:v>
                </c:pt>
                <c:pt idx="11">
                  <c:v>15467229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739188"/>
        <c:axId val="42915194"/>
      </c:lineChart>
      <c:catAx>
        <c:axId val="2073918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15194"/>
        <c:crosses val="autoZero"/>
        <c:auto val="1"/>
        <c:lblAlgn val="ctr"/>
        <c:lblOffset val="100"/>
        <c:noMultiLvlLbl val="0"/>
      </c:catAx>
      <c:valAx>
        <c:axId val="42915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39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income —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Monthly_Trend!G5</c:f>
              <c:strCache>
                <c:ptCount val="1"/>
                <c:pt idx="0">
                  <c:v>OI budget</c:v>
                </c:pt>
              </c:strCache>
            </c:strRef>
          </c:tx>
          <c:spPr>
            <a:solidFill>
              <a:srgbClr val="d8a9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Monthly_Trend!$B$6:$B$17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Monthly_Trend!$G$6:$G$17</c:f>
              <c:numCache>
                <c:formatCode>[&gt;=1000000]\$#,##0.0,,\M;[&lt;=-1000000]"-$"#,##0.0,,\M;\$#,##0,\K</c:formatCode>
                <c:ptCount val="12"/>
                <c:pt idx="0">
                  <c:v>3420189</c:v>
                </c:pt>
                <c:pt idx="1">
                  <c:v>3426513</c:v>
                </c:pt>
                <c:pt idx="2">
                  <c:v>3507297</c:v>
                </c:pt>
                <c:pt idx="3">
                  <c:v>3576805</c:v>
                </c:pt>
                <c:pt idx="4">
                  <c:v>3467405</c:v>
                </c:pt>
                <c:pt idx="5">
                  <c:v>3571054</c:v>
                </c:pt>
                <c:pt idx="6">
                  <c:v>3704854</c:v>
                </c:pt>
                <c:pt idx="7">
                  <c:v>3685539</c:v>
                </c:pt>
                <c:pt idx="8">
                  <c:v>3662613</c:v>
                </c:pt>
                <c:pt idx="9">
                  <c:v>3566698</c:v>
                </c:pt>
                <c:pt idx="10">
                  <c:v>3636648</c:v>
                </c:pt>
                <c:pt idx="11">
                  <c:v>3970795</c:v>
                </c:pt>
              </c:numCache>
            </c:numRef>
          </c:val>
        </c:ser>
        <c:ser>
          <c:idx val="1"/>
          <c:order val="1"/>
          <c:tx>
            <c:strRef>
              <c:f>Monthly_Trend!H5</c:f>
              <c:strCache>
                <c:ptCount val="1"/>
                <c:pt idx="0">
                  <c:v>OI actual</c:v>
                </c:pt>
              </c:strCache>
            </c:strRef>
          </c:tx>
          <c:spPr>
            <a:solidFill>
              <a:srgbClr val="3fa9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Monthly_Trend!$B$6:$B$17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Monthly_Trend!$H$6:$H$17</c:f>
              <c:numCache>
                <c:formatCode>[&gt;=1000000]\$#,##0.0,,\M;[&lt;=-1000000]"-$"#,##0.0,,\M;\$#,##0,\K</c:formatCode>
                <c:ptCount val="12"/>
                <c:pt idx="0">
                  <c:v>3122880</c:v>
                </c:pt>
                <c:pt idx="1">
                  <c:v>3179333</c:v>
                </c:pt>
                <c:pt idx="2">
                  <c:v>3205988</c:v>
                </c:pt>
                <c:pt idx="3">
                  <c:v>3243707</c:v>
                </c:pt>
                <c:pt idx="4">
                  <c:v>3267889</c:v>
                </c:pt>
                <c:pt idx="5">
                  <c:v>3273677</c:v>
                </c:pt>
                <c:pt idx="6">
                  <c:v>3382462</c:v>
                </c:pt>
                <c:pt idx="7">
                  <c:v>3369820</c:v>
                </c:pt>
                <c:pt idx="8">
                  <c:v>3302069</c:v>
                </c:pt>
                <c:pt idx="9">
                  <c:v>3273988</c:v>
                </c:pt>
                <c:pt idx="10">
                  <c:v>3360722</c:v>
                </c:pt>
                <c:pt idx="11">
                  <c:v>3575842</c:v>
                </c:pt>
              </c:numCache>
            </c:numRef>
          </c:val>
        </c:ser>
        <c:gapWidth val="150"/>
        <c:overlap val="0"/>
        <c:axId val="6430415"/>
        <c:axId val="80337936"/>
      </c:barChart>
      <c:catAx>
        <c:axId val="643041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37936"/>
        <c:crosses val="autoZero"/>
        <c:auto val="1"/>
        <c:lblAlgn val="ctr"/>
        <c:lblOffset val="100"/>
        <c:noMultiLvlLbl val="0"/>
      </c:catAx>
      <c:valAx>
        <c:axId val="80337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0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7</xdr:row>
      <xdr:rowOff>0</xdr:rowOff>
    </xdr:from>
    <xdr:to>
      <xdr:col>21</xdr:col>
      <xdr:colOff>4320</xdr:colOff>
      <xdr:row>19</xdr:row>
      <xdr:rowOff>222840</xdr:rowOff>
    </xdr:to>
    <xdr:graphicFrame>
      <xdr:nvGraphicFramePr>
        <xdr:cNvPr id="0" name="Chart 1"/>
        <xdr:cNvGraphicFramePr/>
      </xdr:nvGraphicFramePr>
      <xdr:xfrm>
        <a:off x="10479240" y="15238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21</xdr:col>
      <xdr:colOff>4320</xdr:colOff>
      <xdr:row>36</xdr:row>
      <xdr:rowOff>32400</xdr:rowOff>
    </xdr:to>
    <xdr:graphicFrame>
      <xdr:nvGraphicFramePr>
        <xdr:cNvPr id="1" name="Chart 2"/>
        <xdr:cNvGraphicFramePr/>
      </xdr:nvGraphicFramePr>
      <xdr:xfrm>
        <a:off x="10479240" y="49528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22</xdr:row>
      <xdr:rowOff>0</xdr:rowOff>
    </xdr:from>
    <xdr:to>
      <xdr:col>16</xdr:col>
      <xdr:colOff>322560</xdr:colOff>
      <xdr:row>36</xdr:row>
      <xdr:rowOff>21960</xdr:rowOff>
    </xdr:to>
    <xdr:graphicFrame>
      <xdr:nvGraphicFramePr>
        <xdr:cNvPr id="2" name="Chart 1"/>
        <xdr:cNvGraphicFramePr/>
      </xdr:nvGraphicFramePr>
      <xdr:xfrm>
        <a:off x="9163080" y="4762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7</xdr:col>
      <xdr:colOff>339840</xdr:colOff>
      <xdr:row>34</xdr:row>
      <xdr:rowOff>32760</xdr:rowOff>
    </xdr:to>
    <xdr:graphicFrame>
      <xdr:nvGraphicFramePr>
        <xdr:cNvPr id="3" name="Chart 1"/>
        <xdr:cNvGraphicFramePr/>
      </xdr:nvGraphicFramePr>
      <xdr:xfrm>
        <a:off x="141120" y="4191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15</xdr:col>
      <xdr:colOff>101880</xdr:colOff>
      <xdr:row>34</xdr:row>
      <xdr:rowOff>32760</xdr:rowOff>
    </xdr:to>
    <xdr:graphicFrame>
      <xdr:nvGraphicFramePr>
        <xdr:cNvPr id="4" name="Chart 2"/>
        <xdr:cNvGraphicFramePr/>
      </xdr:nvGraphicFramePr>
      <xdr:xfrm>
        <a:off x="5920920" y="4191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1"/>
    <pageSetUpPr fitToPage="true"/>
  </sheetPr>
  <dimension ref="A1:J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10" min="7" style="0" width="13"/>
  </cols>
  <sheetData>
    <row r="1" customFormat="false" ht="30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B4" s="4" t="s">
        <v>2</v>
      </c>
      <c r="C4" s="5" t="s">
        <v>3</v>
      </c>
      <c r="E4" s="4" t="s">
        <v>4</v>
      </c>
      <c r="F4" s="6" t="str">
        <f aca="false">IF(C4="FY24","n/a",IF(C4="FY25","FY24","FY25"))</f>
        <v>FY25</v>
      </c>
      <c r="H4" s="4" t="s">
        <v>5</v>
      </c>
      <c r="I4" s="7" t="str">
        <f aca="false">Checks!C4</f>
        <v>ALL CHECKS PASS</v>
      </c>
    </row>
    <row r="5" customFormat="false" ht="15" hidden="false" customHeight="false" outlineLevel="0" collapsed="false">
      <c r="B5" s="8" t="s">
        <v>6</v>
      </c>
      <c r="C5" s="9" t="n">
        <v>-0.02</v>
      </c>
      <c r="E5" s="10" t="s">
        <v>7</v>
      </c>
      <c r="F5" s="9" t="n">
        <v>-0.05</v>
      </c>
    </row>
    <row r="6" customFormat="false" ht="15" hidden="false" customHeight="false" outlineLevel="0" collapsed="false">
      <c r="B6" s="8" t="s">
        <v>8</v>
      </c>
      <c r="C6" s="9" t="n">
        <v>-0.005</v>
      </c>
      <c r="E6" s="10" t="s">
        <v>7</v>
      </c>
      <c r="F6" s="9" t="n">
        <v>-0.015</v>
      </c>
    </row>
    <row r="8" customFormat="false" ht="15" hidden="false" customHeight="false" outlineLevel="0" collapsed="false">
      <c r="B8" s="11" t="s">
        <v>9</v>
      </c>
      <c r="C8" s="12"/>
      <c r="D8" s="12"/>
      <c r="E8" s="12"/>
      <c r="F8" s="12"/>
      <c r="G8" s="12"/>
      <c r="H8" s="12"/>
      <c r="I8" s="12"/>
      <c r="J8" s="12"/>
    </row>
    <row r="9" customFormat="false" ht="30" hidden="false" customHeight="true" outlineLevel="0" collapsed="false">
      <c r="B9" s="13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4</v>
      </c>
      <c r="H9" s="14" t="s">
        <v>15</v>
      </c>
      <c r="I9" s="14" t="s">
        <v>16</v>
      </c>
    </row>
    <row r="10" customFormat="false" ht="15" hidden="false" customHeight="false" outlineLevel="0" collapsed="false">
      <c r="B10" s="4" t="s">
        <v>17</v>
      </c>
      <c r="C10" s="15" t="n">
        <f aca="false">SUMIFS(Data!$G$6:$G$1085,Data!$A$6:$A$1085,$C$4)</f>
        <v>171736155</v>
      </c>
      <c r="D10" s="15" t="n">
        <f aca="false">SUMIFS(Data!$F$6:$F$1085,Data!$A$6:$A$1085,$C$4)</f>
        <v>175860622</v>
      </c>
      <c r="E10" s="16" t="n">
        <f aca="false">C10-D10</f>
        <v>-4124467</v>
      </c>
      <c r="F10" s="17" t="n">
        <f aca="false">IF(D10=0,0,E10/D10)</f>
        <v>-0.023453044536599</v>
      </c>
      <c r="G10" s="18" t="n">
        <f aca="false">IF($F$4="n/a","n/a",SUMIFS(Data!$G$6:$G$1085,Data!$A$6:$A$1085,$F$4))</f>
        <v>159976070</v>
      </c>
      <c r="H10" s="19" t="n">
        <f aca="false">IF($F$4="n/a","n/a",C10/G10-1)</f>
        <v>0.07351152581758</v>
      </c>
      <c r="I10" s="20" t="str">
        <f aca="false">IF(F10&gt;=$C$5,"● On track",IF(F10&gt;=$F$5,"● Watch","● Off track"))</f>
        <v>● Watch</v>
      </c>
    </row>
    <row r="11" customFormat="false" ht="15" hidden="false" customHeight="false" outlineLevel="0" collapsed="false">
      <c r="B11" s="4" t="s">
        <v>18</v>
      </c>
      <c r="C11" s="15" t="n">
        <f aca="false">SUMIFS(Data!$O$6:$O$1085,Data!$A$6:$A$1085,$C$4)</f>
        <v>66137743</v>
      </c>
      <c r="D11" s="15" t="n">
        <f aca="false">SUMIFS(Data!$P$6:$P$1085,Data!$A$6:$A$1085,$C$4)</f>
        <v>69774543</v>
      </c>
      <c r="E11" s="16" t="n">
        <f aca="false">C11-D11</f>
        <v>-3636800</v>
      </c>
      <c r="F11" s="17" t="n">
        <f aca="false">IF(D11=0,0,E11/D11)</f>
        <v>-0.052122161516701</v>
      </c>
      <c r="G11" s="18" t="n">
        <f aca="false">IF($F$4="n/a","n/a",SUMIFS(Data!$O$6:$O$1085,Data!$A$6:$A$1085,$F$4))</f>
        <v>62699579</v>
      </c>
      <c r="H11" s="19" t="n">
        <f aca="false">IF($F$4="n/a","n/a",C11/G11-1)</f>
        <v>0.054835519708992</v>
      </c>
      <c r="I11" s="20" t="str">
        <f aca="false">IF(F11&gt;=$C$5,"● On track",IF(F11&gt;=$F$5,"● Watch","● Off track"))</f>
        <v>● Off track</v>
      </c>
    </row>
    <row r="12" customFormat="false" ht="15" hidden="false" customHeight="false" outlineLevel="0" collapsed="false">
      <c r="B12" s="4" t="s">
        <v>19</v>
      </c>
      <c r="C12" s="15" t="n">
        <f aca="false">SUMIFS(Data!$R$6:$R$1085,Data!$A$6:$A$1085,$C$4)</f>
        <v>39558377</v>
      </c>
      <c r="D12" s="15" t="n">
        <f aca="false">SUMIFS(Data!$Q$6:$Q$1085,Data!$A$6:$A$1085,$C$4)</f>
        <v>43196410</v>
      </c>
      <c r="E12" s="16" t="n">
        <f aca="false">C12-D12</f>
        <v>-3638033</v>
      </c>
      <c r="F12" s="17" t="n">
        <f aca="false">IF(D12=0,0,E12/D12)</f>
        <v>-0.084220725750126</v>
      </c>
      <c r="G12" s="18" t="n">
        <f aca="false">IF($F$4="n/a","n/a",SUMIFS(Data!$R$6:$R$1085,Data!$A$6:$A$1085,$F$4))</f>
        <v>38416409</v>
      </c>
      <c r="H12" s="19" t="n">
        <f aca="false">IF($F$4="n/a","n/a",C12/G12-1)</f>
        <v>0.0297260475334902</v>
      </c>
      <c r="I12" s="20" t="str">
        <f aca="false">IF(F12&gt;=$C$5,"● On track",IF(F12&gt;=$F$5,"● Watch","● Off track"))</f>
        <v>● Off track</v>
      </c>
    </row>
    <row r="13" customFormat="false" ht="15" hidden="false" customHeight="false" outlineLevel="0" collapsed="false">
      <c r="B13" s="4" t="s">
        <v>20</v>
      </c>
      <c r="C13" s="17" t="n">
        <f aca="false">C11/C10</f>
        <v>0.385112517512693</v>
      </c>
      <c r="D13" s="17" t="n">
        <f aca="false">D11/D10</f>
        <v>0.396760469777026</v>
      </c>
      <c r="E13" s="21" t="n">
        <f aca="false">(C13-D13)*100</f>
        <v>-1.16479522643334</v>
      </c>
      <c r="F13" s="17" t="n">
        <f aca="false">C13-D13</f>
        <v>-0.0116479522643334</v>
      </c>
      <c r="G13" s="19" t="n">
        <f aca="false">IF($F$4="n/a","n/a",G11/G10)</f>
        <v>0.391930986928232</v>
      </c>
      <c r="H13" s="22" t="n">
        <f aca="false">IF($F$4="n/a","n/a",(C13-G13)*100)</f>
        <v>-0.681846941553982</v>
      </c>
      <c r="I13" s="20" t="str">
        <f aca="false">IF(F13&gt;=$C$6,"● On track",IF(F13&gt;=$F$6,"● Watch","● Off track"))</f>
        <v>● Watch</v>
      </c>
    </row>
    <row r="14" customFormat="false" ht="15" hidden="false" customHeight="false" outlineLevel="0" collapsed="false">
      <c r="B14" s="4" t="s">
        <v>21</v>
      </c>
      <c r="C14" s="17" t="n">
        <f aca="false">C12/C10</f>
        <v>0.230343907489952</v>
      </c>
      <c r="D14" s="17" t="n">
        <f aca="false">D12/D10</f>
        <v>0.245628666092174</v>
      </c>
      <c r="E14" s="21" t="n">
        <f aca="false">(C14-D14)*100</f>
        <v>-1.52847586022222</v>
      </c>
      <c r="F14" s="17" t="n">
        <f aca="false">C14-D14</f>
        <v>-0.0152847586022222</v>
      </c>
      <c r="G14" s="19" t="n">
        <f aca="false">IF($F$4="n/a","n/a",G12/G10)</f>
        <v>0.240138471960213</v>
      </c>
      <c r="H14" s="22" t="n">
        <f aca="false">IF($F$4="n/a","n/a",(C14-G14)*100)</f>
        <v>-0.979456447026086</v>
      </c>
      <c r="I14" s="20" t="str">
        <f aca="false">IF(F14&gt;=$C$6,"● On track",IF(F14&gt;=$F$6,"● Watch","● Off track"))</f>
        <v>● Off track</v>
      </c>
    </row>
    <row r="15" customFormat="false" ht="15" hidden="false" customHeight="false" outlineLevel="0" collapsed="false">
      <c r="B15" s="4" t="s">
        <v>22</v>
      </c>
      <c r="C15" s="23" t="n">
        <f aca="false">C10/(SUMIFS(Data!$L$6:$L$1085,Data!$A$6:$A$1085,$C$4)/12)/1000</f>
        <v>196.183944176837</v>
      </c>
      <c r="D15" s="24" t="s">
        <v>23</v>
      </c>
      <c r="G15" s="25" t="n">
        <f aca="false">IF($F$4="n/a","n/a",G10/(SUMIFS(Data!$L$6:$L$1085,Data!$A$6:$A$1085,$F$4)/12)/1000)</f>
        <v>193.646324708731</v>
      </c>
      <c r="H15" s="19" t="n">
        <f aca="false">IF($F$4="n/a","n/a",C15/G15-1)</f>
        <v>0.0131044029465739</v>
      </c>
    </row>
    <row r="16" customFormat="false" ht="15" hidden="false" customHeight="false" outlineLevel="0" collapsed="false">
      <c r="B16" s="4" t="s">
        <v>24</v>
      </c>
      <c r="C16" s="26" t="n">
        <f aca="false">1-Heatmap!C44</f>
        <v>0.953431775079244</v>
      </c>
    </row>
    <row r="17" customFormat="false" ht="15" hidden="false" customHeight="false" outlineLevel="0" collapsed="false">
      <c r="B17" s="4" t="s">
        <v>25</v>
      </c>
      <c r="C17" s="27" t="n">
        <f aca="false">COUNTIFS(Data!$U$6:$U$1085,"ADVERSE",Data!$A$6:$A$1085,$C$4)</f>
        <v>104</v>
      </c>
      <c r="D17" s="27" t="n">
        <f aca="false">COUNTIFS(Data!$A$6:$A$1085,$C$4)</f>
        <v>360</v>
      </c>
      <c r="E17" s="17" t="n">
        <f aca="false">C17/D17</f>
        <v>0.288888888888889</v>
      </c>
      <c r="F17" s="8" t="s">
        <v>26</v>
      </c>
    </row>
    <row r="19" customFormat="false" ht="15" hidden="false" customHeight="false" outlineLevel="0" collapsed="false">
      <c r="B19" s="11" t="s">
        <v>27</v>
      </c>
      <c r="C19" s="12"/>
      <c r="D19" s="12"/>
      <c r="E19" s="12"/>
      <c r="F19" s="12"/>
      <c r="G19" s="12"/>
      <c r="H19" s="12"/>
      <c r="I19" s="12"/>
      <c r="J19" s="12"/>
    </row>
    <row r="20" customFormat="false" ht="30" hidden="false" customHeight="true" outlineLevel="0" collapsed="false">
      <c r="B20" s="13" t="s">
        <v>28</v>
      </c>
      <c r="C20" s="14" t="s">
        <v>17</v>
      </c>
      <c r="D20" s="14" t="s">
        <v>12</v>
      </c>
      <c r="E20" s="14" t="s">
        <v>14</v>
      </c>
      <c r="F20" s="14" t="s">
        <v>29</v>
      </c>
      <c r="G20" s="14" t="s">
        <v>30</v>
      </c>
      <c r="H20" s="14" t="s">
        <v>31</v>
      </c>
      <c r="I20" s="14" t="s">
        <v>32</v>
      </c>
      <c r="J20" s="14" t="s">
        <v>16</v>
      </c>
    </row>
    <row r="21" customFormat="false" ht="15" hidden="false" customHeight="false" outlineLevel="0" collapsed="false">
      <c r="B21" s="4" t="s">
        <v>33</v>
      </c>
      <c r="C21" s="15" t="n">
        <f aca="false">SUMIFS(Data!$G$6:$G$1085,Data!$A$6:$A$1085,$C$4,Data!$D$6:$D$1085,$B21)</f>
        <v>51801767</v>
      </c>
      <c r="D21" s="15" t="n">
        <f aca="false">SUMIFS(Data!$F$6:$F$1085,Data!$A$6:$A$1085,$C$4,Data!$D$6:$D$1085,$B21)</f>
        <v>52900847</v>
      </c>
      <c r="E21" s="17" t="n">
        <f aca="false">C21/D21-1</f>
        <v>-0.0207762268910363</v>
      </c>
      <c r="F21" s="26" t="n">
        <f aca="false">(SUMIFS(Data!$O$6:$O$1085,Data!$A$6:$A$1085,$C$4,Data!$D$6:$D$1085,$B21))/C21</f>
        <v>0.415526925944437</v>
      </c>
      <c r="G21" s="17" t="n">
        <f aca="false">H21/C21</f>
        <v>0.249679050523508</v>
      </c>
      <c r="H21" s="15" t="n">
        <f aca="false">SUMIFS(Data!$R$6:$R$1085,Data!$A$6:$A$1085,$C$4,Data!$D$6:$D$1085,$B21)</f>
        <v>12933816</v>
      </c>
      <c r="I21" s="26" t="n">
        <f aca="false">H21/(SUMIFS(Data!$Q$6:$Q$1085,Data!$A$6:$A$1085,$C$4,Data!$D$6:$D$1085,$B21))-1</f>
        <v>-0.0668259929671128</v>
      </c>
      <c r="J21" s="20" t="str">
        <f aca="false">IF(I21&gt;=$C$5,"● On track",IF(I21&gt;=$F$5,"● Watch","● Off track"))</f>
        <v>● Off track</v>
      </c>
    </row>
    <row r="22" customFormat="false" ht="15" hidden="false" customHeight="false" outlineLevel="0" collapsed="false">
      <c r="B22" s="4" t="s">
        <v>34</v>
      </c>
      <c r="C22" s="15" t="n">
        <f aca="false">SUMIFS(Data!$G$6:$G$1085,Data!$A$6:$A$1085,$C$4,Data!$D$6:$D$1085,$B22)</f>
        <v>36864343</v>
      </c>
      <c r="D22" s="15" t="n">
        <f aca="false">SUMIFS(Data!$F$6:$F$1085,Data!$A$6:$A$1085,$C$4,Data!$D$6:$D$1085,$B22)</f>
        <v>39576220</v>
      </c>
      <c r="E22" s="17" t="n">
        <f aca="false">C22/D22-1</f>
        <v>-0.0685228907662228</v>
      </c>
      <c r="F22" s="26" t="n">
        <f aca="false">(SUMIFS(Data!$O$6:$O$1085,Data!$A$6:$A$1085,$C$4,Data!$D$6:$D$1085,$B22))/C22</f>
        <v>0.368535036688434</v>
      </c>
      <c r="G22" s="17" t="n">
        <f aca="false">H22/C22</f>
        <v>0.211599702183761</v>
      </c>
      <c r="H22" s="15" t="n">
        <f aca="false">SUMIFS(Data!$R$6:$R$1085,Data!$A$6:$A$1085,$C$4,Data!$D$6:$D$1085,$B22)</f>
        <v>7800484</v>
      </c>
      <c r="I22" s="26" t="n">
        <f aca="false">H22/(SUMIFS(Data!$Q$6:$Q$1085,Data!$A$6:$A$1085,$C$4,Data!$D$6:$D$1085,$B22))-1</f>
        <v>-0.131716645517487</v>
      </c>
      <c r="J22" s="20" t="str">
        <f aca="false">IF(I22&gt;=$C$5,"● On track",IF(I22&gt;=$F$5,"● Watch","● Off track"))</f>
        <v>● Off track</v>
      </c>
    </row>
    <row r="23" customFormat="false" ht="15" hidden="false" customHeight="false" outlineLevel="0" collapsed="false">
      <c r="B23" s="4" t="s">
        <v>35</v>
      </c>
      <c r="C23" s="15" t="n">
        <f aca="false">SUMIFS(Data!$G$6:$G$1085,Data!$A$6:$A$1085,$C$4,Data!$D$6:$D$1085,$B23)</f>
        <v>30512053</v>
      </c>
      <c r="D23" s="15" t="n">
        <f aca="false">SUMIFS(Data!$F$6:$F$1085,Data!$A$6:$A$1085,$C$4,Data!$D$6:$D$1085,$B23)</f>
        <v>28479528</v>
      </c>
      <c r="E23" s="17" t="n">
        <f aca="false">C23/D23-1</f>
        <v>0.071367931378638</v>
      </c>
      <c r="F23" s="26" t="n">
        <f aca="false">(SUMIFS(Data!$O$6:$O$1085,Data!$A$6:$A$1085,$C$4,Data!$D$6:$D$1085,$B23))/C23</f>
        <v>0.446201342138466</v>
      </c>
      <c r="G23" s="17" t="n">
        <f aca="false">H23/C23</f>
        <v>0.287268870436217</v>
      </c>
      <c r="H23" s="15" t="n">
        <f aca="false">SUMIFS(Data!$R$6:$R$1085,Data!$A$6:$A$1085,$C$4,Data!$D$6:$D$1085,$B23)</f>
        <v>8765163</v>
      </c>
      <c r="I23" s="26" t="n">
        <f aca="false">H23/(SUMIFS(Data!$Q$6:$Q$1085,Data!$A$6:$A$1085,$C$4,Data!$D$6:$D$1085,$B23))-1</f>
        <v>0.0362646881728872</v>
      </c>
      <c r="J23" s="20" t="str">
        <f aca="false">IF(I23&gt;=$C$5,"● On track",IF(I23&gt;=$F$5,"● Watch","● Off track"))</f>
        <v>● On track</v>
      </c>
    </row>
    <row r="24" customFormat="false" ht="15" hidden="false" customHeight="false" outlineLevel="0" collapsed="false">
      <c r="B24" s="4" t="s">
        <v>36</v>
      </c>
      <c r="C24" s="15" t="n">
        <f aca="false">SUMIFS(Data!$G$6:$G$1085,Data!$A$6:$A$1085,$C$4,Data!$D$6:$D$1085,$B24)</f>
        <v>32005589</v>
      </c>
      <c r="D24" s="15" t="n">
        <f aca="false">SUMIFS(Data!$F$6:$F$1085,Data!$A$6:$A$1085,$C$4,Data!$D$6:$D$1085,$B24)</f>
        <v>34095118</v>
      </c>
      <c r="E24" s="17" t="n">
        <f aca="false">C24/D24-1</f>
        <v>-0.0612852843037528</v>
      </c>
      <c r="F24" s="26" t="n">
        <f aca="false">(SUMIFS(Data!$O$6:$O$1085,Data!$A$6:$A$1085,$C$4,Data!$D$6:$D$1085,$B24))/C24</f>
        <v>0.292514223062728</v>
      </c>
      <c r="G24" s="17" t="n">
        <f aca="false">H24/C24</f>
        <v>0.156213747542656</v>
      </c>
      <c r="H24" s="15" t="n">
        <f aca="false">SUMIFS(Data!$R$6:$R$1085,Data!$A$6:$A$1085,$C$4,Data!$D$6:$D$1085,$B24)</f>
        <v>4999713</v>
      </c>
      <c r="I24" s="26" t="n">
        <f aca="false">H24/(SUMIFS(Data!$Q$6:$Q$1085,Data!$A$6:$A$1085,$C$4,Data!$D$6:$D$1085,$B24))-1</f>
        <v>-0.236249875501584</v>
      </c>
      <c r="J24" s="20" t="str">
        <f aca="false">IF(I24&gt;=$C$5,"● On track",IF(I24&gt;=$F$5,"● Watch","● Off track"))</f>
        <v>● Off track</v>
      </c>
    </row>
    <row r="25" customFormat="false" ht="15" hidden="false" customHeight="false" outlineLevel="0" collapsed="false">
      <c r="B25" s="4" t="s">
        <v>37</v>
      </c>
      <c r="C25" s="15" t="n">
        <f aca="false">SUMIFS(Data!$G$6:$G$1085,Data!$A$6:$A$1085,$C$4,Data!$D$6:$D$1085,$B25)</f>
        <v>20552403</v>
      </c>
      <c r="D25" s="15" t="n">
        <f aca="false">SUMIFS(Data!$F$6:$F$1085,Data!$A$6:$A$1085,$C$4,Data!$D$6:$D$1085,$B25)</f>
        <v>20808909</v>
      </c>
      <c r="E25" s="17" t="n">
        <f aca="false">C25/D25-1</f>
        <v>-0.0123267394749047</v>
      </c>
      <c r="F25" s="26" t="n">
        <f aca="false">(SUMIFS(Data!$O$6:$O$1085,Data!$A$6:$A$1085,$C$4,Data!$D$6:$D$1085,$B25))/C25</f>
        <v>0.391696435691729</v>
      </c>
      <c r="G25" s="17" t="n">
        <f aca="false">H25/C25</f>
        <v>0.246161045012595</v>
      </c>
      <c r="H25" s="15" t="n">
        <f aca="false">SUMIFS(Data!$R$6:$R$1085,Data!$A$6:$A$1085,$C$4,Data!$D$6:$D$1085,$B25)</f>
        <v>5059201</v>
      </c>
      <c r="I25" s="26" t="n">
        <f aca="false">H25/(SUMIFS(Data!$Q$6:$Q$1085,Data!$A$6:$A$1085,$C$4,Data!$D$6:$D$1085,$B25))-1</f>
        <v>-0.0539827352631269</v>
      </c>
      <c r="J25" s="20" t="str">
        <f aca="false">IF(I25&gt;=$C$5,"● On track",IF(I25&gt;=$F$5,"● Watch","● Off track"))</f>
        <v>● Off track</v>
      </c>
    </row>
    <row r="26" customFormat="false" ht="15" hidden="false" customHeight="false" outlineLevel="0" collapsed="false">
      <c r="B26" s="28" t="s">
        <v>38</v>
      </c>
      <c r="C26" s="29" t="n">
        <f aca="false">SUM(C21:C25)</f>
        <v>171736155</v>
      </c>
      <c r="D26" s="29" t="n">
        <f aca="false">SUM(D21:D25)</f>
        <v>175860622</v>
      </c>
      <c r="E26" s="30" t="n">
        <f aca="false">C26/D26-1</f>
        <v>-0.023453044536599</v>
      </c>
      <c r="F26" s="30" t="n">
        <f aca="false">C11/C10</f>
        <v>0.385112517512693</v>
      </c>
      <c r="G26" s="30" t="n">
        <f aca="false">H26/C26</f>
        <v>0.230343907489952</v>
      </c>
      <c r="H26" s="29" t="n">
        <f aca="false">SUM(H21:H25)</f>
        <v>39558377</v>
      </c>
      <c r="I26" s="30" t="n">
        <f aca="false">F12</f>
        <v>-0.084220725750126</v>
      </c>
      <c r="J26" s="28" t="str">
        <f aca="false">IF(I26&gt;=$C$5,"● On track",IF(I26&gt;=$F$5,"● Watch","● Off track"))</f>
        <v>● Off track</v>
      </c>
    </row>
    <row r="28" customFormat="false" ht="15" hidden="false" customHeight="false" outlineLevel="0" collapsed="false">
      <c r="B28" s="11" t="s">
        <v>39</v>
      </c>
      <c r="C28" s="12"/>
      <c r="D28" s="12"/>
      <c r="E28" s="12"/>
      <c r="F28" s="12"/>
      <c r="G28" s="12"/>
      <c r="H28" s="12"/>
      <c r="I28" s="12"/>
      <c r="J28" s="12"/>
    </row>
    <row r="29" customFormat="false" ht="30" hidden="false" customHeight="true" outlineLevel="0" collapsed="false">
      <c r="B29" s="13" t="s">
        <v>28</v>
      </c>
      <c r="C29" s="14" t="s">
        <v>17</v>
      </c>
      <c r="D29" s="14" t="s">
        <v>12</v>
      </c>
      <c r="E29" s="14" t="s">
        <v>14</v>
      </c>
      <c r="F29" s="14" t="s">
        <v>29</v>
      </c>
      <c r="G29" s="14" t="s">
        <v>30</v>
      </c>
      <c r="H29" s="14" t="s">
        <v>31</v>
      </c>
      <c r="I29" s="14" t="s">
        <v>32</v>
      </c>
      <c r="J29" s="14" t="s">
        <v>16</v>
      </c>
    </row>
    <row r="30" customFormat="false" ht="15" hidden="false" customHeight="false" outlineLevel="0" collapsed="false">
      <c r="B30" s="4" t="s">
        <v>40</v>
      </c>
      <c r="C30" s="15" t="n">
        <f aca="false">SUMIFS(Data!$G$6:$G$1085,Data!$A$6:$A$1085,$C$4,Data!$E$6:$E$1085,$B30)</f>
        <v>41463881</v>
      </c>
      <c r="D30" s="15" t="n">
        <f aca="false">SUMIFS(Data!$F$6:$F$1085,Data!$A$6:$A$1085,$C$4,Data!$E$6:$E$1085,$B30)</f>
        <v>42272767</v>
      </c>
      <c r="E30" s="17" t="n">
        <f aca="false">C30/D30-1</f>
        <v>-0.0191349196516991</v>
      </c>
      <c r="F30" s="26" t="n">
        <f aca="false">(SUMIFS(Data!$O$6:$O$1085,Data!$A$6:$A$1085,$C$4,Data!$E$6:$E$1085,$B30))/C30</f>
        <v>0.393634884298457</v>
      </c>
      <c r="G30" s="17" t="n">
        <f aca="false">H30/C30</f>
        <v>0.239566190149928</v>
      </c>
      <c r="H30" s="15" t="n">
        <f aca="false">SUMIFS(Data!$R$6:$R$1085,Data!$A$6:$A$1085,$C$4,Data!$E$6:$E$1085,$B30)</f>
        <v>9933344</v>
      </c>
      <c r="I30" s="26" t="n">
        <f aca="false">H30/(SUMIFS(Data!$Q$6:$Q$1085,Data!$A$6:$A$1085,$C$4,Data!$E$6:$E$1085,$B30))-1</f>
        <v>-0.0429910748736967</v>
      </c>
      <c r="J30" s="20" t="str">
        <f aca="false">IF(I30&gt;=$C$5,"● On track",IF(I30&gt;=$F$5,"● Watch","● Off track"))</f>
        <v>● Watch</v>
      </c>
    </row>
    <row r="31" customFormat="false" ht="15" hidden="false" customHeight="false" outlineLevel="0" collapsed="false">
      <c r="B31" s="4" t="s">
        <v>41</v>
      </c>
      <c r="C31" s="15" t="n">
        <f aca="false">SUMIFS(Data!$G$6:$G$1085,Data!$A$6:$A$1085,$C$4,Data!$E$6:$E$1085,$B31)</f>
        <v>29043865</v>
      </c>
      <c r="D31" s="15" t="n">
        <f aca="false">SUMIFS(Data!$F$6:$F$1085,Data!$A$6:$A$1085,$C$4,Data!$E$6:$E$1085,$B31)</f>
        <v>29861097</v>
      </c>
      <c r="E31" s="17" t="n">
        <f aca="false">C31/D31-1</f>
        <v>-0.0273677822351939</v>
      </c>
      <c r="F31" s="26" t="n">
        <f aca="false">(SUMIFS(Data!$O$6:$O$1085,Data!$A$6:$A$1085,$C$4,Data!$E$6:$E$1085,$B31))/C31</f>
        <v>0.36420917119674</v>
      </c>
      <c r="G31" s="17" t="n">
        <f aca="false">H31/C31</f>
        <v>0.209148575783561</v>
      </c>
      <c r="H31" s="15" t="n">
        <f aca="false">SUMIFS(Data!$R$6:$R$1085,Data!$A$6:$A$1085,$C$4,Data!$E$6:$E$1085,$B31)</f>
        <v>6074483</v>
      </c>
      <c r="I31" s="26" t="n">
        <f aca="false">H31/(SUMIFS(Data!$Q$6:$Q$1085,Data!$A$6:$A$1085,$C$4,Data!$E$6:$E$1085,$B31))-1</f>
        <v>-0.171743142983481</v>
      </c>
      <c r="J31" s="20" t="str">
        <f aca="false">IF(I31&gt;=$C$5,"● On track",IF(I31&gt;=$F$5,"● Watch","● Off track"))</f>
        <v>● Off track</v>
      </c>
    </row>
    <row r="32" customFormat="false" ht="15" hidden="false" customHeight="false" outlineLevel="0" collapsed="false">
      <c r="B32" s="4" t="s">
        <v>42</v>
      </c>
      <c r="C32" s="15" t="n">
        <f aca="false">SUMIFS(Data!$G$6:$G$1085,Data!$A$6:$A$1085,$C$4,Data!$E$6:$E$1085,$B32)</f>
        <v>34487273</v>
      </c>
      <c r="D32" s="15" t="n">
        <f aca="false">SUMIFS(Data!$F$6:$F$1085,Data!$A$6:$A$1085,$C$4,Data!$E$6:$E$1085,$B32)</f>
        <v>35152935</v>
      </c>
      <c r="E32" s="17" t="n">
        <f aca="false">C32/D32-1</f>
        <v>-0.0189361713324933</v>
      </c>
      <c r="F32" s="26" t="n">
        <f aca="false">(SUMIFS(Data!$O$6:$O$1085,Data!$A$6:$A$1085,$C$4,Data!$E$6:$E$1085,$B32))/C32</f>
        <v>0.375734202005476</v>
      </c>
      <c r="G32" s="17" t="n">
        <f aca="false">H32/C32</f>
        <v>0.221037163477669</v>
      </c>
      <c r="H32" s="15" t="n">
        <f aca="false">SUMIFS(Data!$R$6:$R$1085,Data!$A$6:$A$1085,$C$4,Data!$E$6:$E$1085,$B32)</f>
        <v>7622969</v>
      </c>
      <c r="I32" s="26" t="n">
        <f aca="false">H32/(SUMIFS(Data!$Q$6:$Q$1085,Data!$A$6:$A$1085,$C$4,Data!$E$6:$E$1085,$B32))-1</f>
        <v>-0.117262992313452</v>
      </c>
      <c r="J32" s="20" t="str">
        <f aca="false">IF(I32&gt;=$C$5,"● On track",IF(I32&gt;=$F$5,"● Watch","● Off track"))</f>
        <v>● Off track</v>
      </c>
    </row>
    <row r="33" customFormat="false" ht="15" hidden="false" customHeight="false" outlineLevel="0" collapsed="false">
      <c r="B33" s="4" t="s">
        <v>43</v>
      </c>
      <c r="C33" s="15" t="n">
        <f aca="false">SUMIFS(Data!$G$6:$G$1085,Data!$A$6:$A$1085,$C$4,Data!$E$6:$E$1085,$B33)</f>
        <v>25380235</v>
      </c>
      <c r="D33" s="15" t="n">
        <f aca="false">SUMIFS(Data!$F$6:$F$1085,Data!$A$6:$A$1085,$C$4,Data!$E$6:$E$1085,$B33)</f>
        <v>26339370</v>
      </c>
      <c r="E33" s="17" t="n">
        <f aca="false">C33/D33-1</f>
        <v>-0.0364145004227512</v>
      </c>
      <c r="F33" s="26" t="n">
        <f aca="false">(SUMIFS(Data!$O$6:$O$1085,Data!$A$6:$A$1085,$C$4,Data!$E$6:$E$1085,$B33))/C33</f>
        <v>0.394947879718214</v>
      </c>
      <c r="G33" s="17" t="n">
        <f aca="false">H33/C33</f>
        <v>0.239928984109091</v>
      </c>
      <c r="H33" s="15" t="n">
        <f aca="false">SUMIFS(Data!$R$6:$R$1085,Data!$A$6:$A$1085,$C$4,Data!$E$6:$E$1085,$B33)</f>
        <v>6089454</v>
      </c>
      <c r="I33" s="26" t="n">
        <f aca="false">H33/(SUMIFS(Data!$Q$6:$Q$1085,Data!$A$6:$A$1085,$C$4,Data!$E$6:$E$1085,$B33))-1</f>
        <v>-0.059130673127985</v>
      </c>
      <c r="J33" s="20" t="str">
        <f aca="false">IF(I33&gt;=$C$5,"● On track",IF(I33&gt;=$F$5,"● Watch","● Off track"))</f>
        <v>● Off track</v>
      </c>
    </row>
    <row r="34" customFormat="false" ht="15" hidden="false" customHeight="false" outlineLevel="0" collapsed="false">
      <c r="B34" s="4" t="s">
        <v>44</v>
      </c>
      <c r="C34" s="15" t="n">
        <f aca="false">SUMIFS(Data!$G$6:$G$1085,Data!$A$6:$A$1085,$C$4,Data!$E$6:$E$1085,$B34)</f>
        <v>27640311</v>
      </c>
      <c r="D34" s="15" t="n">
        <f aca="false">SUMIFS(Data!$F$6:$F$1085,Data!$A$6:$A$1085,$C$4,Data!$E$6:$E$1085,$B34)</f>
        <v>28154851</v>
      </c>
      <c r="E34" s="17" t="n">
        <f aca="false">C34/D34-1</f>
        <v>-0.0182753586584422</v>
      </c>
      <c r="F34" s="26" t="n">
        <f aca="false">(SUMIFS(Data!$O$6:$O$1085,Data!$A$6:$A$1085,$C$4,Data!$E$6:$E$1085,$B34))/C34</f>
        <v>0.392752780531304</v>
      </c>
      <c r="G34" s="17" t="n">
        <f aca="false">H34/C34</f>
        <v>0.237375512887681</v>
      </c>
      <c r="H34" s="15" t="n">
        <f aca="false">SUMIFS(Data!$R$6:$R$1085,Data!$A$6:$A$1085,$C$4,Data!$E$6:$E$1085,$B34)</f>
        <v>6561133</v>
      </c>
      <c r="I34" s="26" t="n">
        <f aca="false">H34/(SUMIFS(Data!$Q$6:$Q$1085,Data!$A$6:$A$1085,$C$4,Data!$E$6:$E$1085,$B34))-1</f>
        <v>-0.051168748119115</v>
      </c>
      <c r="J34" s="20" t="str">
        <f aca="false">IF(I34&gt;=$C$5,"● On track",IF(I34&gt;=$F$5,"● Watch","● Off track"))</f>
        <v>● Off track</v>
      </c>
    </row>
    <row r="35" customFormat="false" ht="15" hidden="false" customHeight="false" outlineLevel="0" collapsed="false">
      <c r="B35" s="4" t="s">
        <v>45</v>
      </c>
      <c r="C35" s="15" t="n">
        <f aca="false">SUMIFS(Data!$G$6:$G$1085,Data!$A$6:$A$1085,$C$4,Data!$E$6:$E$1085,$B35)</f>
        <v>13720590</v>
      </c>
      <c r="D35" s="15" t="n">
        <f aca="false">SUMIFS(Data!$F$6:$F$1085,Data!$A$6:$A$1085,$C$4,Data!$E$6:$E$1085,$B35)</f>
        <v>14079602</v>
      </c>
      <c r="E35" s="17" t="n">
        <f aca="false">C35/D35-1</f>
        <v>-0.0254987321374567</v>
      </c>
      <c r="F35" s="26" t="n">
        <f aca="false">(SUMIFS(Data!$O$6:$O$1085,Data!$A$6:$A$1085,$C$4,Data!$E$6:$E$1085,$B35))/C35</f>
        <v>0.393594153021116</v>
      </c>
      <c r="G35" s="17" t="n">
        <f aca="false">H35/C35</f>
        <v>0.23883768846675</v>
      </c>
      <c r="H35" s="15" t="n">
        <f aca="false">SUMIFS(Data!$R$6:$R$1085,Data!$A$6:$A$1085,$C$4,Data!$E$6:$E$1085,$B35)</f>
        <v>3276994</v>
      </c>
      <c r="I35" s="26" t="n">
        <f aca="false">H35/(SUMIFS(Data!$Q$6:$Q$1085,Data!$A$6:$A$1085,$C$4,Data!$E$6:$E$1085,$B35))-1</f>
        <v>-0.0529066887395399</v>
      </c>
      <c r="J35" s="20" t="str">
        <f aca="false">IF(I35&gt;=$C$5,"● On track",IF(I35&gt;=$F$5,"● Watch","● Off track"))</f>
        <v>● Off track</v>
      </c>
    </row>
    <row r="36" customFormat="false" ht="15" hidden="false" customHeight="false" outlineLevel="0" collapsed="false">
      <c r="B36" s="28" t="s">
        <v>38</v>
      </c>
      <c r="C36" s="29" t="n">
        <f aca="false">SUM(C30:C35)</f>
        <v>171736155</v>
      </c>
      <c r="D36" s="29" t="n">
        <f aca="false">SUM(D30:D35)</f>
        <v>175860622</v>
      </c>
      <c r="E36" s="30" t="n">
        <f aca="false">C36/D36-1</f>
        <v>-0.023453044536599</v>
      </c>
      <c r="F36" s="30" t="n">
        <f aca="false">C11/C10</f>
        <v>0.385112517512693</v>
      </c>
      <c r="G36" s="30" t="n">
        <f aca="false">H36/C36</f>
        <v>0.230343907489952</v>
      </c>
      <c r="H36" s="29" t="n">
        <f aca="false">SUM(H30:H35)</f>
        <v>39558377</v>
      </c>
      <c r="I36" s="30" t="n">
        <f aca="false">F12</f>
        <v>-0.084220725750126</v>
      </c>
      <c r="J36" s="28" t="str">
        <f aca="false">IF(I36&gt;=$C$5,"● On track",IF(I36&gt;=$F$5,"● Watch","● Off track"))</f>
        <v>● Off track</v>
      </c>
    </row>
    <row r="38" customFormat="false" ht="15" hidden="false" customHeight="false" outlineLevel="0" collapsed="false">
      <c r="B38" s="11" t="s">
        <v>46</v>
      </c>
      <c r="C38" s="12"/>
      <c r="D38" s="12"/>
      <c r="E38" s="12"/>
      <c r="F38" s="12"/>
      <c r="G38" s="12"/>
      <c r="H38" s="12"/>
      <c r="I38" s="12"/>
      <c r="J38" s="12"/>
    </row>
    <row r="39" customFormat="false" ht="31.5" hidden="false" customHeight="true" outlineLevel="0" collapsed="false">
      <c r="B39" s="31" t="str">
        <f aca="false">"Revenue of "&amp;TEXT(C10/1000000,"$0.0")&amp;"M"&amp;" is "&amp;TEXT(ABS(F10),"0.0%")&amp;IF(F10&gt;=0," ahead of"," behind")&amp;" budget and "&amp;IF($F$4="n/a","first year of data",TEXT(ABS(H10),"0.0%")&amp;IF(H10&gt;=0," up"," down")&amp;" on "&amp;$F$4)&amp;"; operating margin is "&amp;TEXT(C14,"0.0%")&amp;" ("&amp;TEXT(E14,"+0.0;-0.0")&amp;" pp vs budget)."</f>
        <v>Revenue of $171.7M is 2.3% behind budget and 7.4% up on FY25; operating margin is 23.0% (-1.5 pp vs budget).</v>
      </c>
      <c r="C39" s="31"/>
      <c r="D39" s="31"/>
      <c r="E39" s="31"/>
      <c r="F39" s="31"/>
      <c r="G39" s="31"/>
      <c r="H39" s="31"/>
      <c r="I39" s="31"/>
      <c r="J39" s="31"/>
    </row>
    <row r="40" customFormat="false" ht="31.5" hidden="false" customHeight="true" outlineLevel="0" collapsed="false">
      <c r="B40" s="31" t="str">
        <f aca="false">"Operating income of "&amp;TEXT(C12/1000000,"$0.0")&amp;"M"&amp;" is "&amp;TEXT(ABS(E12)/1000000,"$0.0")&amp;"M"&amp;IF(E12&gt;=0," above"," below")&amp;" budget ("&amp;TEXT(F12,"+0.0%;-0.0%")&amp;"), status: "&amp;MID(I12,3,20)&amp;"."</f>
        <v>Operating income of $39.6M is $3.6M below budget (-8.4%), status: Off track.</v>
      </c>
      <c r="C40" s="31"/>
      <c r="D40" s="31"/>
      <c r="E40" s="31"/>
      <c r="F40" s="31"/>
      <c r="G40" s="31"/>
      <c r="H40" s="31"/>
      <c r="I40" s="31"/>
      <c r="J40" s="31"/>
    </row>
    <row r="41" customFormat="false" ht="31.5" hidden="false" customHeight="true" outlineLevel="0" collapsed="false">
      <c r="B41" s="31" t="str">
        <f aca="false">"Strongest unit vs budget: "&amp;INDEX(B21:B25,MATCH(MAX(I21:I25),I21:I25,0))&amp;" ("&amp;TEXT(MAX(I21:I25),"+0.0%;-0.0%")&amp;" OI vs budget). Weakest: "&amp;INDEX(B21:B25,MATCH(MIN(I21:I25),I21:I25,0))&amp;" ("&amp;TEXT(MIN(I21:I25),"+0.0%;-0.0%")&amp;")."</f>
        <v>Strongest unit vs budget: Healthcare &amp; Life Sciences (+3.6% OI vs budget). Weakest: Manufacturing &amp; Logistics (-23.6%).</v>
      </c>
      <c r="C41" s="31"/>
      <c r="D41" s="31"/>
      <c r="E41" s="31"/>
      <c r="F41" s="31"/>
      <c r="G41" s="31"/>
      <c r="H41" s="31"/>
      <c r="I41" s="31"/>
      <c r="J41" s="31"/>
    </row>
    <row r="42" customFormat="false" ht="31.5" hidden="false" customHeight="true" outlineLevel="0" collapsed="false">
      <c r="B42" s="31" t="str">
        <f aca="false">"Regional watch-point: "&amp;INDEX(B30:B35,MATCH(MIN(I30:I35),I30:I35,0))&amp;" is the weakest region ("&amp;TEXT(MIN(I30:I35),"+0.0%;-0.0%")&amp;" OI vs budget); strongest is "&amp;INDEX(B30:B35,MATCH(MAX(I30:I35),I30:I35,0))&amp;"."</f>
        <v>Regional watch-point: KSA is the weakest region (-17.2% OI vs budget); strongest is UAE.</v>
      </c>
      <c r="C42" s="31"/>
      <c r="D42" s="31"/>
      <c r="E42" s="31"/>
      <c r="F42" s="31"/>
      <c r="G42" s="31"/>
      <c r="H42" s="31"/>
      <c r="I42" s="31"/>
      <c r="J42" s="31"/>
    </row>
    <row r="43" customFormat="false" ht="31.5" hidden="false" customHeight="true" outlineLevel="0" collapsed="false">
      <c r="B43" s="31" t="str">
        <f aca="false">"Budget quality: weighted absolute revenue error across 30 BU-region cells is "&amp;TEXT(Heatmap!C44,"0.0%")&amp;"; "&amp;C17&amp;" of "&amp;D17&amp;" cell-months ("&amp;TEXT(E17,"0%")&amp;") breached the 15% adverse-OI trigger."</f>
        <v>Budget quality: weighted absolute revenue error across 30 BU-region cells is 4.7%; 104 of 360 cell-months (29%) breached the 15% adverse-OI trigger.</v>
      </c>
      <c r="C43" s="31"/>
      <c r="D43" s="31"/>
      <c r="E43" s="31"/>
      <c r="F43" s="31"/>
      <c r="G43" s="31"/>
      <c r="H43" s="31"/>
      <c r="I43" s="31"/>
      <c r="J43" s="31"/>
    </row>
    <row r="44" customFormat="false" ht="31.5" hidden="false" customHeight="true" outlineLevel="0" collapsed="false">
      <c r="B44" s="31" t="str">
        <f aca="false">"Margin driver (see Bridge): volume "&amp;TEXT(Bridge!C7/1000000,"+$0.0;-$0.0")&amp;"M, direct-cost rate "&amp;TEXT(Bridge!C8/1000000,"+$0.0;-$0.0")&amp;"M, opex rate "&amp;TEXT(Bridge!C9/1000000,"+$0.0;-$0.0")&amp;"M vs budget."</f>
        <v>Margin driver (see Bridge): volume -$0.8M, direct-cost rate -$2.3M, opex rate -$0.6M vs budget.</v>
      </c>
      <c r="C44" s="31"/>
      <c r="D44" s="31"/>
      <c r="E44" s="31"/>
      <c r="F44" s="31"/>
      <c r="G44" s="31"/>
      <c r="H44" s="31"/>
      <c r="I44" s="31"/>
      <c r="J44" s="31"/>
    </row>
  </sheetData>
  <mergeCells count="8">
    <mergeCell ref="B1:J1"/>
    <mergeCell ref="B2:J2"/>
    <mergeCell ref="B39:J39"/>
    <mergeCell ref="B40:J40"/>
    <mergeCell ref="B41:J41"/>
    <mergeCell ref="B42:J42"/>
    <mergeCell ref="B43:J43"/>
    <mergeCell ref="B44:J44"/>
  </mergeCells>
  <conditionalFormatting sqref="E10:F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H10:H15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I10:I14">
    <cfRule type="expression" priority="6" aboveAverage="0" equalAverage="0" bottom="0" percent="0" rank="0" text="" dxfId="2">
      <formula>ISNUMBER(SEARCH("On track",I10))</formula>
    </cfRule>
    <cfRule type="expression" priority="7" aboveAverage="0" equalAverage="0" bottom="0" percent="0" rank="0" text="" dxfId="3">
      <formula>ISNUMBER(SEARCH("Watch",I10))</formula>
    </cfRule>
    <cfRule type="expression" priority="8" aboveAverage="0" equalAverage="0" bottom="0" percent="0" rank="0" text="" dxfId="4">
      <formula>ISNUMBER(SEARCH("Off track",I10))</formula>
    </cfRule>
  </conditionalFormatting>
  <conditionalFormatting sqref="E21:E26">
    <cfRule type="cellIs" priority="9" operator="lessThan" aboveAverage="0" equalAverage="0" bottom="0" percent="0" rank="0" text="" dxfId="0">
      <formula>0</formula>
    </cfRule>
    <cfRule type="cellIs" priority="10" operator="greaterThan" aboveAverage="0" equalAverage="0" bottom="0" percent="0" rank="0" text="" dxfId="1">
      <formula>0</formula>
    </cfRule>
  </conditionalFormatting>
  <conditionalFormatting sqref="I21:I26">
    <cfRule type="cellIs" priority="11" operator="lessThan" aboveAverage="0" equalAverage="0" bottom="0" percent="0" rank="0" text="" dxfId="0">
      <formula>0</formula>
    </cfRule>
    <cfRule type="cellIs" priority="12" operator="greaterThan" aboveAverage="0" equalAverage="0" bottom="0" percent="0" rank="0" text="" dxfId="1">
      <formula>0</formula>
    </cfRule>
  </conditionalFormatting>
  <conditionalFormatting sqref="J21:J26">
    <cfRule type="expression" priority="13" aboveAverage="0" equalAverage="0" bottom="0" percent="0" rank="0" text="" dxfId="2">
      <formula>ISNUMBER(SEARCH("On track",J21))</formula>
    </cfRule>
    <cfRule type="expression" priority="14" aboveAverage="0" equalAverage="0" bottom="0" percent="0" rank="0" text="" dxfId="3">
      <formula>ISNUMBER(SEARCH("Watch",J21))</formula>
    </cfRule>
    <cfRule type="expression" priority="15" aboveAverage="0" equalAverage="0" bottom="0" percent="0" rank="0" text="" dxfId="4">
      <formula>ISNUMBER(SEARCH("Off track",J21))</formula>
    </cfRule>
  </conditionalFormatting>
  <conditionalFormatting sqref="E30:E36">
    <cfRule type="cellIs" priority="16" operator="lessThan" aboveAverage="0" equalAverage="0" bottom="0" percent="0" rank="0" text="" dxfId="0">
      <formula>0</formula>
    </cfRule>
    <cfRule type="cellIs" priority="17" operator="greaterThan" aboveAverage="0" equalAverage="0" bottom="0" percent="0" rank="0" text="" dxfId="1">
      <formula>0</formula>
    </cfRule>
  </conditionalFormatting>
  <conditionalFormatting sqref="I30:I36">
    <cfRule type="cellIs" priority="18" operator="lessThan" aboveAverage="0" equalAverage="0" bottom="0" percent="0" rank="0" text="" dxfId="0">
      <formula>0</formula>
    </cfRule>
    <cfRule type="cellIs" priority="19" operator="greaterThan" aboveAverage="0" equalAverage="0" bottom="0" percent="0" rank="0" text="" dxfId="1">
      <formula>0</formula>
    </cfRule>
  </conditionalFormatting>
  <conditionalFormatting sqref="J30:J36">
    <cfRule type="expression" priority="20" aboveAverage="0" equalAverage="0" bottom="0" percent="0" rank="0" text="" dxfId="2">
      <formula>ISNUMBER(SEARCH("On track",J30))</formula>
    </cfRule>
    <cfRule type="expression" priority="21" aboveAverage="0" equalAverage="0" bottom="0" percent="0" rank="0" text="" dxfId="3">
      <formula>ISNUMBER(SEARCH("Watch",J30))</formula>
    </cfRule>
    <cfRule type="expression" priority="22" aboveAverage="0" equalAverage="0" bottom="0" percent="0" rank="0" text="" dxfId="4">
      <formula>ISNUMBER(SEARCH("Off track",J30))</formula>
    </cfRule>
  </conditionalFormatting>
  <dataValidations count="1">
    <dataValidation allowBlank="false" errorStyle="stop" operator="between" showDropDown="false" showErrorMessage="false" showInputMessage="false" sqref="C4" type="list">
      <formula1>"FY24,FY25,FY26"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9" min="3" style="0" width="13"/>
  </cols>
  <sheetData>
    <row r="1" customFormat="false" ht="30" hidden="false" customHeight="true" outlineLevel="0" collapsed="false">
      <c r="A1" s="1"/>
      <c r="B1" s="2" t="s">
        <v>47</v>
      </c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B2" s="3" t="s">
        <v>48</v>
      </c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B3" s="11" t="s">
        <v>49</v>
      </c>
      <c r="C3" s="12"/>
      <c r="D3" s="12"/>
      <c r="E3" s="12"/>
      <c r="F3" s="12"/>
      <c r="G3" s="12"/>
      <c r="H3" s="12"/>
      <c r="I3" s="12"/>
    </row>
    <row r="4" customFormat="false" ht="30" hidden="false" customHeight="true" outlineLevel="0" collapsed="false">
      <c r="B4" s="13" t="s">
        <v>50</v>
      </c>
      <c r="C4" s="14" t="s">
        <v>40</v>
      </c>
      <c r="D4" s="14" t="s">
        <v>41</v>
      </c>
      <c r="E4" s="14" t="s">
        <v>42</v>
      </c>
      <c r="F4" s="14" t="s">
        <v>43</v>
      </c>
      <c r="G4" s="14" t="s">
        <v>44</v>
      </c>
      <c r="H4" s="14" t="s">
        <v>45</v>
      </c>
      <c r="I4" s="14" t="s">
        <v>51</v>
      </c>
    </row>
    <row r="5" customFormat="false" ht="15" hidden="false" customHeight="false" outlineLevel="0" collapsed="false">
      <c r="B5" s="4" t="s">
        <v>33</v>
      </c>
      <c r="C5" s="32" t="n">
        <f aca="false">(SUMIFS(Data!$R$6:$R$1085,Data!$A$6:$A$1085,Exec_Summary!$C$4,Data!$D$6:$D$1085,$B5,Data!$E$6:$E$1085,C$4))/(SUMIFS(Data!$G$6:$G$1085,Data!$A$6:$A$1085,Exec_Summary!$C$4,Data!$D$6:$D$1085,$B5,Data!$E$6:$E$1085,C$4))</f>
        <v>0.259441412514918</v>
      </c>
      <c r="D5" s="32" t="n">
        <f aca="false">(SUMIFS(Data!$R$6:$R$1085,Data!$A$6:$A$1085,Exec_Summary!$C$4,Data!$D$6:$D$1085,$B5,Data!$E$6:$E$1085,D$4))/(SUMIFS(Data!$G$6:$G$1085,Data!$A$6:$A$1085,Exec_Summary!$C$4,Data!$D$6:$D$1085,$B5,Data!$E$6:$E$1085,D$4))</f>
        <v>0.230624155249193</v>
      </c>
      <c r="E5" s="32" t="n">
        <f aca="false">(SUMIFS(Data!$R$6:$R$1085,Data!$A$6:$A$1085,Exec_Summary!$C$4,Data!$D$6:$D$1085,$B5,Data!$E$6:$E$1085,E$4))/(SUMIFS(Data!$G$6:$G$1085,Data!$A$6:$A$1085,Exec_Summary!$C$4,Data!$D$6:$D$1085,$B5,Data!$E$6:$E$1085,E$4))</f>
        <v>0.241545501295012</v>
      </c>
      <c r="F5" s="32" t="n">
        <f aca="false">(SUMIFS(Data!$R$6:$R$1085,Data!$A$6:$A$1085,Exec_Summary!$C$4,Data!$D$6:$D$1085,$B5,Data!$E$6:$E$1085,F$4))/(SUMIFS(Data!$G$6:$G$1085,Data!$A$6:$A$1085,Exec_Summary!$C$4,Data!$D$6:$D$1085,$B5,Data!$E$6:$E$1085,F$4))</f>
        <v>0.257996155600838</v>
      </c>
      <c r="G5" s="32" t="n">
        <f aca="false">(SUMIFS(Data!$R$6:$R$1085,Data!$A$6:$A$1085,Exec_Summary!$C$4,Data!$D$6:$D$1085,$B5,Data!$E$6:$E$1085,G$4))/(SUMIFS(Data!$G$6:$G$1085,Data!$A$6:$A$1085,Exec_Summary!$C$4,Data!$D$6:$D$1085,$B5,Data!$E$6:$E$1085,G$4))</f>
        <v>0.253574824222361</v>
      </c>
      <c r="H5" s="32" t="n">
        <f aca="false">(SUMIFS(Data!$R$6:$R$1085,Data!$A$6:$A$1085,Exec_Summary!$C$4,Data!$D$6:$D$1085,$B5,Data!$E$6:$E$1085,H$4))/(SUMIFS(Data!$G$6:$G$1085,Data!$A$6:$A$1085,Exec_Summary!$C$4,Data!$D$6:$D$1085,$B5,Data!$E$6:$E$1085,H$4))</f>
        <v>0.257851150176927</v>
      </c>
      <c r="I5" s="33" t="n">
        <f aca="false">(SUMIFS(Data!$R$6:$R$1085,Data!$A$6:$A$1085,Exec_Summary!$C$4,Data!$D$6:$D$1085,$B5))/(SUMIFS(Data!$G$6:$G$1085,Data!$A$6:$A$1085,Exec_Summary!$C$4,Data!$D$6:$D$1085,$B5))</f>
        <v>0.249679050523508</v>
      </c>
    </row>
    <row r="6" customFormat="false" ht="15" hidden="false" customHeight="false" outlineLevel="0" collapsed="false">
      <c r="B6" s="4" t="s">
        <v>34</v>
      </c>
      <c r="C6" s="32" t="n">
        <f aca="false">(SUMIFS(Data!$R$6:$R$1085,Data!$A$6:$A$1085,Exec_Summary!$C$4,Data!$D$6:$D$1085,$B6,Data!$E$6:$E$1085,C$4))/(SUMIFS(Data!$G$6:$G$1085,Data!$A$6:$A$1085,Exec_Summary!$C$4,Data!$D$6:$D$1085,$B6,Data!$E$6:$E$1085,C$4))</f>
        <v>0.221800168950908</v>
      </c>
      <c r="D6" s="32" t="n">
        <f aca="false">(SUMIFS(Data!$R$6:$R$1085,Data!$A$6:$A$1085,Exec_Summary!$C$4,Data!$D$6:$D$1085,$B6,Data!$E$6:$E$1085,D$4))/(SUMIFS(Data!$G$6:$G$1085,Data!$A$6:$A$1085,Exec_Summary!$C$4,Data!$D$6:$D$1085,$B6,Data!$E$6:$E$1085,D$4))</f>
        <v>0.191209013541055</v>
      </c>
      <c r="E6" s="32" t="n">
        <f aca="false">(SUMIFS(Data!$R$6:$R$1085,Data!$A$6:$A$1085,Exec_Summary!$C$4,Data!$D$6:$D$1085,$B6,Data!$E$6:$E$1085,E$4))/(SUMIFS(Data!$G$6:$G$1085,Data!$A$6:$A$1085,Exec_Summary!$C$4,Data!$D$6:$D$1085,$B6,Data!$E$6:$E$1085,E$4))</f>
        <v>0.199935052046131</v>
      </c>
      <c r="F6" s="32" t="n">
        <f aca="false">(SUMIFS(Data!$R$6:$R$1085,Data!$A$6:$A$1085,Exec_Summary!$C$4,Data!$D$6:$D$1085,$B6,Data!$E$6:$E$1085,F$4))/(SUMIFS(Data!$G$6:$G$1085,Data!$A$6:$A$1085,Exec_Summary!$C$4,Data!$D$6:$D$1085,$B6,Data!$E$6:$E$1085,F$4))</f>
        <v>0.222577962642054</v>
      </c>
      <c r="G6" s="32" t="n">
        <f aca="false">(SUMIFS(Data!$R$6:$R$1085,Data!$A$6:$A$1085,Exec_Summary!$C$4,Data!$D$6:$D$1085,$B6,Data!$E$6:$E$1085,G$4))/(SUMIFS(Data!$G$6:$G$1085,Data!$A$6:$A$1085,Exec_Summary!$C$4,Data!$D$6:$D$1085,$B6,Data!$E$6:$E$1085,G$4))</f>
        <v>0.218406126627831</v>
      </c>
      <c r="H6" s="32" t="n">
        <f aca="false">(SUMIFS(Data!$R$6:$R$1085,Data!$A$6:$A$1085,Exec_Summary!$C$4,Data!$D$6:$D$1085,$B6,Data!$E$6:$E$1085,H$4))/(SUMIFS(Data!$G$6:$G$1085,Data!$A$6:$A$1085,Exec_Summary!$C$4,Data!$D$6:$D$1085,$B6,Data!$E$6:$E$1085,H$4))</f>
        <v>0.219603256320964</v>
      </c>
      <c r="I6" s="33" t="n">
        <f aca="false">(SUMIFS(Data!$R$6:$R$1085,Data!$A$6:$A$1085,Exec_Summary!$C$4,Data!$D$6:$D$1085,$B6))/(SUMIFS(Data!$G$6:$G$1085,Data!$A$6:$A$1085,Exec_Summary!$C$4,Data!$D$6:$D$1085,$B6))</f>
        <v>0.211599702183761</v>
      </c>
    </row>
    <row r="7" customFormat="false" ht="15" hidden="false" customHeight="false" outlineLevel="0" collapsed="false">
      <c r="B7" s="4" t="s">
        <v>35</v>
      </c>
      <c r="C7" s="32" t="n">
        <f aca="false">(SUMIFS(Data!$R$6:$R$1085,Data!$A$6:$A$1085,Exec_Summary!$C$4,Data!$D$6:$D$1085,$B7,Data!$E$6:$E$1085,C$4))/(SUMIFS(Data!$G$6:$G$1085,Data!$A$6:$A$1085,Exec_Summary!$C$4,Data!$D$6:$D$1085,$B7,Data!$E$6:$E$1085,C$4))</f>
        <v>0.294833539809124</v>
      </c>
      <c r="D7" s="32" t="n">
        <f aca="false">(SUMIFS(Data!$R$6:$R$1085,Data!$A$6:$A$1085,Exec_Summary!$C$4,Data!$D$6:$D$1085,$B7,Data!$E$6:$E$1085,D$4))/(SUMIFS(Data!$G$6:$G$1085,Data!$A$6:$A$1085,Exec_Summary!$C$4,Data!$D$6:$D$1085,$B7,Data!$E$6:$E$1085,D$4))</f>
        <v>0.267238272302571</v>
      </c>
      <c r="E7" s="32" t="n">
        <f aca="false">(SUMIFS(Data!$R$6:$R$1085,Data!$A$6:$A$1085,Exec_Summary!$C$4,Data!$D$6:$D$1085,$B7,Data!$E$6:$E$1085,E$4))/(SUMIFS(Data!$G$6:$G$1085,Data!$A$6:$A$1085,Exec_Summary!$C$4,Data!$D$6:$D$1085,$B7,Data!$E$6:$E$1085,E$4))</f>
        <v>0.279521472906815</v>
      </c>
      <c r="F7" s="32" t="n">
        <f aca="false">(SUMIFS(Data!$R$6:$R$1085,Data!$A$6:$A$1085,Exec_Summary!$C$4,Data!$D$6:$D$1085,$B7,Data!$E$6:$E$1085,F$4))/(SUMIFS(Data!$G$6:$G$1085,Data!$A$6:$A$1085,Exec_Summary!$C$4,Data!$D$6:$D$1085,$B7,Data!$E$6:$E$1085,F$4))</f>
        <v>0.2973819372675</v>
      </c>
      <c r="G7" s="32" t="n">
        <f aca="false">(SUMIFS(Data!$R$6:$R$1085,Data!$A$6:$A$1085,Exec_Summary!$C$4,Data!$D$6:$D$1085,$B7,Data!$E$6:$E$1085,G$4))/(SUMIFS(Data!$G$6:$G$1085,Data!$A$6:$A$1085,Exec_Summary!$C$4,Data!$D$6:$D$1085,$B7,Data!$E$6:$E$1085,G$4))</f>
        <v>0.292951889929589</v>
      </c>
      <c r="H7" s="32" t="n">
        <f aca="false">(SUMIFS(Data!$R$6:$R$1085,Data!$A$6:$A$1085,Exec_Summary!$C$4,Data!$D$6:$D$1085,$B7,Data!$E$6:$E$1085,H$4))/(SUMIFS(Data!$G$6:$G$1085,Data!$A$6:$A$1085,Exec_Summary!$C$4,Data!$D$6:$D$1085,$B7,Data!$E$6:$E$1085,H$4))</f>
        <v>0.295354839562517</v>
      </c>
      <c r="I7" s="33" t="n">
        <f aca="false">(SUMIFS(Data!$R$6:$R$1085,Data!$A$6:$A$1085,Exec_Summary!$C$4,Data!$D$6:$D$1085,$B7))/(SUMIFS(Data!$G$6:$G$1085,Data!$A$6:$A$1085,Exec_Summary!$C$4,Data!$D$6:$D$1085,$B7))</f>
        <v>0.287268870436217</v>
      </c>
    </row>
    <row r="8" customFormat="false" ht="15" hidden="false" customHeight="false" outlineLevel="0" collapsed="false">
      <c r="B8" s="4" t="s">
        <v>36</v>
      </c>
      <c r="C8" s="32" t="n">
        <f aca="false">(SUMIFS(Data!$R$6:$R$1085,Data!$A$6:$A$1085,Exec_Summary!$C$4,Data!$D$6:$D$1085,$B8,Data!$E$6:$E$1085,C$4))/(SUMIFS(Data!$G$6:$G$1085,Data!$A$6:$A$1085,Exec_Summary!$C$4,Data!$D$6:$D$1085,$B8,Data!$E$6:$E$1085,C$4))</f>
        <v>0.164435609345715</v>
      </c>
      <c r="D8" s="32" t="n">
        <f aca="false">(SUMIFS(Data!$R$6:$R$1085,Data!$A$6:$A$1085,Exec_Summary!$C$4,Data!$D$6:$D$1085,$B8,Data!$E$6:$E$1085,D$4))/(SUMIFS(Data!$G$6:$G$1085,Data!$A$6:$A$1085,Exec_Summary!$C$4,Data!$D$6:$D$1085,$B8,Data!$E$6:$E$1085,D$4))</f>
        <v>0.130063096311542</v>
      </c>
      <c r="E8" s="32" t="n">
        <f aca="false">(SUMIFS(Data!$R$6:$R$1085,Data!$A$6:$A$1085,Exec_Summary!$C$4,Data!$D$6:$D$1085,$B8,Data!$E$6:$E$1085,E$4))/(SUMIFS(Data!$G$6:$G$1085,Data!$A$6:$A$1085,Exec_Summary!$C$4,Data!$D$6:$D$1085,$B8,Data!$E$6:$E$1085,E$4))</f>
        <v>0.146581901238794</v>
      </c>
      <c r="F8" s="32" t="n">
        <f aca="false">(SUMIFS(Data!$R$6:$R$1085,Data!$A$6:$A$1085,Exec_Summary!$C$4,Data!$D$6:$D$1085,$B8,Data!$E$6:$E$1085,F$4))/(SUMIFS(Data!$G$6:$G$1085,Data!$A$6:$A$1085,Exec_Summary!$C$4,Data!$D$6:$D$1085,$B8,Data!$E$6:$E$1085,F$4))</f>
        <v>0.16734242819713</v>
      </c>
      <c r="G8" s="32" t="n">
        <f aca="false">(SUMIFS(Data!$R$6:$R$1085,Data!$A$6:$A$1085,Exec_Summary!$C$4,Data!$D$6:$D$1085,$B8,Data!$E$6:$E$1085,G$4))/(SUMIFS(Data!$G$6:$G$1085,Data!$A$6:$A$1085,Exec_Summary!$C$4,Data!$D$6:$D$1085,$B8,Data!$E$6:$E$1085,G$4))</f>
        <v>0.168046134334737</v>
      </c>
      <c r="H8" s="32" t="n">
        <f aca="false">(SUMIFS(Data!$R$6:$R$1085,Data!$A$6:$A$1085,Exec_Summary!$C$4,Data!$D$6:$D$1085,$B8,Data!$E$6:$E$1085,H$4))/(SUMIFS(Data!$G$6:$G$1085,Data!$A$6:$A$1085,Exec_Summary!$C$4,Data!$D$6:$D$1085,$B8,Data!$E$6:$E$1085,H$4))</f>
        <v>0.166090867792466</v>
      </c>
      <c r="I8" s="33" t="n">
        <f aca="false">(SUMIFS(Data!$R$6:$R$1085,Data!$A$6:$A$1085,Exec_Summary!$C$4,Data!$D$6:$D$1085,$B8))/(SUMIFS(Data!$G$6:$G$1085,Data!$A$6:$A$1085,Exec_Summary!$C$4,Data!$D$6:$D$1085,$B8))</f>
        <v>0.156213747542656</v>
      </c>
    </row>
    <row r="9" customFormat="false" ht="15" hidden="false" customHeight="false" outlineLevel="0" collapsed="false">
      <c r="B9" s="4" t="s">
        <v>37</v>
      </c>
      <c r="C9" s="32" t="n">
        <f aca="false">(SUMIFS(Data!$R$6:$R$1085,Data!$A$6:$A$1085,Exec_Summary!$C$4,Data!$D$6:$D$1085,$B9,Data!$E$6:$E$1085,C$4))/(SUMIFS(Data!$G$6:$G$1085,Data!$A$6:$A$1085,Exec_Summary!$C$4,Data!$D$6:$D$1085,$B9,Data!$E$6:$E$1085,C$4))</f>
        <v>0.257782577393809</v>
      </c>
      <c r="D9" s="32" t="n">
        <f aca="false">(SUMIFS(Data!$R$6:$R$1085,Data!$A$6:$A$1085,Exec_Summary!$C$4,Data!$D$6:$D$1085,$B9,Data!$E$6:$E$1085,D$4))/(SUMIFS(Data!$G$6:$G$1085,Data!$A$6:$A$1085,Exec_Summary!$C$4,Data!$D$6:$D$1085,$B9,Data!$E$6:$E$1085,D$4))</f>
        <v>0.223500343947327</v>
      </c>
      <c r="E9" s="32" t="n">
        <f aca="false">(SUMIFS(Data!$R$6:$R$1085,Data!$A$6:$A$1085,Exec_Summary!$C$4,Data!$D$6:$D$1085,$B9,Data!$E$6:$E$1085,E$4))/(SUMIFS(Data!$G$6:$G$1085,Data!$A$6:$A$1085,Exec_Summary!$C$4,Data!$D$6:$D$1085,$B9,Data!$E$6:$E$1085,E$4))</f>
        <v>0.237743718871472</v>
      </c>
      <c r="F9" s="32" t="n">
        <f aca="false">(SUMIFS(Data!$R$6:$R$1085,Data!$A$6:$A$1085,Exec_Summary!$C$4,Data!$D$6:$D$1085,$B9,Data!$E$6:$E$1085,F$4))/(SUMIFS(Data!$G$6:$G$1085,Data!$A$6:$A$1085,Exec_Summary!$C$4,Data!$D$6:$D$1085,$B9,Data!$E$6:$E$1085,F$4))</f>
        <v>0.251167450711872</v>
      </c>
      <c r="G9" s="32" t="n">
        <f aca="false">(SUMIFS(Data!$R$6:$R$1085,Data!$A$6:$A$1085,Exec_Summary!$C$4,Data!$D$6:$D$1085,$B9,Data!$E$6:$E$1085,G$4))/(SUMIFS(Data!$G$6:$G$1085,Data!$A$6:$A$1085,Exec_Summary!$C$4,Data!$D$6:$D$1085,$B9,Data!$E$6:$E$1085,G$4))</f>
        <v>0.255504652437344</v>
      </c>
      <c r="H9" s="32" t="n">
        <f aca="false">(SUMIFS(Data!$R$6:$R$1085,Data!$A$6:$A$1085,Exec_Summary!$C$4,Data!$D$6:$D$1085,$B9,Data!$E$6:$E$1085,H$4))/(SUMIFS(Data!$G$6:$G$1085,Data!$A$6:$A$1085,Exec_Summary!$C$4,Data!$D$6:$D$1085,$B9,Data!$E$6:$E$1085,H$4))</f>
        <v>0.252652124215506</v>
      </c>
      <c r="I9" s="33" t="n">
        <f aca="false">(SUMIFS(Data!$R$6:$R$1085,Data!$A$6:$A$1085,Exec_Summary!$C$4,Data!$D$6:$D$1085,$B9))/(SUMIFS(Data!$G$6:$G$1085,Data!$A$6:$A$1085,Exec_Summary!$C$4,Data!$D$6:$D$1085,$B9))</f>
        <v>0.246161045012595</v>
      </c>
    </row>
    <row r="10" customFormat="false" ht="15" hidden="false" customHeight="false" outlineLevel="0" collapsed="false">
      <c r="B10" s="4" t="s">
        <v>51</v>
      </c>
      <c r="C10" s="33" t="n">
        <f aca="false">(SUMIFS(Data!$R$6:$R$1085,Data!$A$6:$A$1085,Exec_Summary!$C$4,Data!$E$6:$E$1085,C$4))/(SUMIFS(Data!$G$6:$G$1085,Data!$A$6:$A$1085,Exec_Summary!$C$4,Data!$E$6:$E$1085,C$4))</f>
        <v>0.239566190149928</v>
      </c>
      <c r="D10" s="33" t="n">
        <f aca="false">(SUMIFS(Data!$R$6:$R$1085,Data!$A$6:$A$1085,Exec_Summary!$C$4,Data!$E$6:$E$1085,D$4))/(SUMIFS(Data!$G$6:$G$1085,Data!$A$6:$A$1085,Exec_Summary!$C$4,Data!$E$6:$E$1085,D$4))</f>
        <v>0.209148575783561</v>
      </c>
      <c r="E10" s="33" t="n">
        <f aca="false">(SUMIFS(Data!$R$6:$R$1085,Data!$A$6:$A$1085,Exec_Summary!$C$4,Data!$E$6:$E$1085,E$4))/(SUMIFS(Data!$G$6:$G$1085,Data!$A$6:$A$1085,Exec_Summary!$C$4,Data!$E$6:$E$1085,E$4))</f>
        <v>0.221037163477669</v>
      </c>
      <c r="F10" s="33" t="n">
        <f aca="false">(SUMIFS(Data!$R$6:$R$1085,Data!$A$6:$A$1085,Exec_Summary!$C$4,Data!$E$6:$E$1085,F$4))/(SUMIFS(Data!$G$6:$G$1085,Data!$A$6:$A$1085,Exec_Summary!$C$4,Data!$E$6:$E$1085,F$4))</f>
        <v>0.239928984109091</v>
      </c>
      <c r="G10" s="33" t="n">
        <f aca="false">(SUMIFS(Data!$R$6:$R$1085,Data!$A$6:$A$1085,Exec_Summary!$C$4,Data!$E$6:$E$1085,G$4))/(SUMIFS(Data!$G$6:$G$1085,Data!$A$6:$A$1085,Exec_Summary!$C$4,Data!$E$6:$E$1085,G$4))</f>
        <v>0.237375512887681</v>
      </c>
      <c r="H10" s="33" t="n">
        <f aca="false">(SUMIFS(Data!$R$6:$R$1085,Data!$A$6:$A$1085,Exec_Summary!$C$4,Data!$E$6:$E$1085,H$4))/(SUMIFS(Data!$G$6:$G$1085,Data!$A$6:$A$1085,Exec_Summary!$C$4,Data!$E$6:$E$1085,H$4))</f>
        <v>0.23883768846675</v>
      </c>
      <c r="I10" s="33" t="n">
        <f aca="false">(SUMIFS(Data!$R$6:$R$1085,Data!$A$6:$A$1085,Exec_Summary!$C$4))/(SUMIFS(Data!$G$6:$G$1085,Data!$A$6:$A$1085,Exec_Summary!$C$4))</f>
        <v>0.230343907489952</v>
      </c>
    </row>
    <row r="11" customFormat="false" ht="15" hidden="false" customHeight="false" outlineLevel="0" collapsed="false">
      <c r="B11" s="11" t="s">
        <v>52</v>
      </c>
      <c r="C11" s="12"/>
      <c r="D11" s="12"/>
      <c r="E11" s="12"/>
      <c r="F11" s="12"/>
      <c r="G11" s="12"/>
      <c r="H11" s="12"/>
      <c r="I11" s="12"/>
    </row>
    <row r="12" customFormat="false" ht="30" hidden="false" customHeight="true" outlineLevel="0" collapsed="false">
      <c r="B12" s="13" t="s">
        <v>50</v>
      </c>
      <c r="C12" s="14" t="s">
        <v>40</v>
      </c>
      <c r="D12" s="14" t="s">
        <v>41</v>
      </c>
      <c r="E12" s="14" t="s">
        <v>42</v>
      </c>
      <c r="F12" s="14" t="s">
        <v>43</v>
      </c>
      <c r="G12" s="14" t="s">
        <v>44</v>
      </c>
      <c r="H12" s="14" t="s">
        <v>45</v>
      </c>
      <c r="I12" s="14" t="s">
        <v>51</v>
      </c>
    </row>
    <row r="13" customFormat="false" ht="15" hidden="false" customHeight="false" outlineLevel="0" collapsed="false">
      <c r="B13" s="4" t="s">
        <v>33</v>
      </c>
      <c r="C13" s="34" t="n">
        <f aca="false">(SUMIFS(Data!$R$6:$R$1085,Data!$A$6:$A$1085,Exec_Summary!$C$4,Data!$D$6:$D$1085,$B13,Data!$E$6:$E$1085,C$12))/(SUMIFS(Data!$Q$6:$Q$1085,Data!$A$6:$A$1085,Exec_Summary!$C$4,Data!$D$6:$D$1085,$B13,Data!$E$6:$E$1085,C$12))-1</f>
        <v>-0.0288997831841243</v>
      </c>
      <c r="D13" s="34" t="n">
        <f aca="false">(SUMIFS(Data!$R$6:$R$1085,Data!$A$6:$A$1085,Exec_Summary!$C$4,Data!$D$6:$D$1085,$B13,Data!$E$6:$E$1085,D$12))/(SUMIFS(Data!$Q$6:$Q$1085,Data!$A$6:$A$1085,Exec_Summary!$C$4,Data!$D$6:$D$1085,$B13,Data!$E$6:$E$1085,D$12))-1</f>
        <v>-0.138214234828524</v>
      </c>
      <c r="E13" s="34" t="n">
        <f aca="false">(SUMIFS(Data!$R$6:$R$1085,Data!$A$6:$A$1085,Exec_Summary!$C$4,Data!$D$6:$D$1085,$B13,Data!$E$6:$E$1085,E$12))/(SUMIFS(Data!$Q$6:$Q$1085,Data!$A$6:$A$1085,Exec_Summary!$C$4,Data!$D$6:$D$1085,$B13,Data!$E$6:$E$1085,E$12))-1</f>
        <v>-0.0904458824149719</v>
      </c>
      <c r="F13" s="34" t="n">
        <f aca="false">(SUMIFS(Data!$R$6:$R$1085,Data!$A$6:$A$1085,Exec_Summary!$C$4,Data!$D$6:$D$1085,$B13,Data!$E$6:$E$1085,F$12))/(SUMIFS(Data!$Q$6:$Q$1085,Data!$A$6:$A$1085,Exec_Summary!$C$4,Data!$D$6:$D$1085,$B13,Data!$E$6:$E$1085,F$12))-1</f>
        <v>-0.0344200879535482</v>
      </c>
      <c r="G13" s="34" t="n">
        <f aca="false">(SUMIFS(Data!$R$6:$R$1085,Data!$A$6:$A$1085,Exec_Summary!$C$4,Data!$D$6:$D$1085,$B13,Data!$E$6:$E$1085,G$12))/(SUMIFS(Data!$Q$6:$Q$1085,Data!$A$6:$A$1085,Exec_Summary!$C$4,Data!$D$6:$D$1085,$B13,Data!$E$6:$E$1085,G$12))-1</f>
        <v>-0.0646645514584455</v>
      </c>
      <c r="H13" s="34" t="n">
        <f aca="false">(SUMIFS(Data!$R$6:$R$1085,Data!$A$6:$A$1085,Exec_Summary!$C$4,Data!$D$6:$D$1085,$B13,Data!$E$6:$E$1085,H$12))/(SUMIFS(Data!$Q$6:$Q$1085,Data!$A$6:$A$1085,Exec_Summary!$C$4,Data!$D$6:$D$1085,$B13,Data!$E$6:$E$1085,H$12))-1</f>
        <v>-0.0354436601081268</v>
      </c>
      <c r="I13" s="35" t="n">
        <f aca="false">(SUMIFS(Data!$R$6:$R$1085,Data!$A$6:$A$1085,Exec_Summary!$C$4,Data!$D$6:$D$1085,$B13))/(SUMIFS(Data!$Q$6:$Q$1085,Data!$A$6:$A$1085,Exec_Summary!$C$4,Data!$D$6:$D$1085,$B13))-1</f>
        <v>-0.0668259929671128</v>
      </c>
    </row>
    <row r="14" customFormat="false" ht="15" hidden="false" customHeight="false" outlineLevel="0" collapsed="false">
      <c r="B14" s="4" t="s">
        <v>34</v>
      </c>
      <c r="C14" s="34" t="n">
        <f aca="false">(SUMIFS(Data!$R$6:$R$1085,Data!$A$6:$A$1085,Exec_Summary!$C$4,Data!$D$6:$D$1085,$B14,Data!$E$6:$E$1085,C$12))/(SUMIFS(Data!$Q$6:$Q$1085,Data!$A$6:$A$1085,Exec_Summary!$C$4,Data!$D$6:$D$1085,$B14,Data!$E$6:$E$1085,C$12))-1</f>
        <v>-0.069266415969739</v>
      </c>
      <c r="D14" s="34" t="n">
        <f aca="false">(SUMIFS(Data!$R$6:$R$1085,Data!$A$6:$A$1085,Exec_Summary!$C$4,Data!$D$6:$D$1085,$B14,Data!$E$6:$E$1085,D$12))/(SUMIFS(Data!$Q$6:$Q$1085,Data!$A$6:$A$1085,Exec_Summary!$C$4,Data!$D$6:$D$1085,$B14,Data!$E$6:$E$1085,D$12))-1</f>
        <v>-0.216846768476718</v>
      </c>
      <c r="E14" s="34" t="n">
        <f aca="false">(SUMIFS(Data!$R$6:$R$1085,Data!$A$6:$A$1085,Exec_Summary!$C$4,Data!$D$6:$D$1085,$B14,Data!$E$6:$E$1085,E$12))/(SUMIFS(Data!$Q$6:$Q$1085,Data!$A$6:$A$1085,Exec_Summary!$C$4,Data!$D$6:$D$1085,$B14,Data!$E$6:$E$1085,E$12))-1</f>
        <v>-0.174087508387666</v>
      </c>
      <c r="F14" s="34" t="n">
        <f aca="false">(SUMIFS(Data!$R$6:$R$1085,Data!$A$6:$A$1085,Exec_Summary!$C$4,Data!$D$6:$D$1085,$B14,Data!$E$6:$E$1085,F$12))/(SUMIFS(Data!$Q$6:$Q$1085,Data!$A$6:$A$1085,Exec_Summary!$C$4,Data!$D$6:$D$1085,$B14,Data!$E$6:$E$1085,F$12))-1</f>
        <v>-0.143249260581034</v>
      </c>
      <c r="G14" s="34" t="n">
        <f aca="false">(SUMIFS(Data!$R$6:$R$1085,Data!$A$6:$A$1085,Exec_Summary!$C$4,Data!$D$6:$D$1085,$B14,Data!$E$6:$E$1085,G$12))/(SUMIFS(Data!$Q$6:$Q$1085,Data!$A$6:$A$1085,Exec_Summary!$C$4,Data!$D$6:$D$1085,$B14,Data!$E$6:$E$1085,G$12))-1</f>
        <v>-0.0929493942031862</v>
      </c>
      <c r="H14" s="34" t="n">
        <f aca="false">(SUMIFS(Data!$R$6:$R$1085,Data!$A$6:$A$1085,Exec_Summary!$C$4,Data!$D$6:$D$1085,$B14,Data!$E$6:$E$1085,H$12))/(SUMIFS(Data!$Q$6:$Q$1085,Data!$A$6:$A$1085,Exec_Summary!$C$4,Data!$D$6:$D$1085,$B14,Data!$E$6:$E$1085,H$12))-1</f>
        <v>-0.0887648150315107</v>
      </c>
      <c r="I14" s="35" t="n">
        <f aca="false">(SUMIFS(Data!$R$6:$R$1085,Data!$A$6:$A$1085,Exec_Summary!$C$4,Data!$D$6:$D$1085,$B14))/(SUMIFS(Data!$Q$6:$Q$1085,Data!$A$6:$A$1085,Exec_Summary!$C$4,Data!$D$6:$D$1085,$B14))-1</f>
        <v>-0.131716645517487</v>
      </c>
    </row>
    <row r="15" customFormat="false" ht="15" hidden="false" customHeight="false" outlineLevel="0" collapsed="false">
      <c r="B15" s="4" t="s">
        <v>35</v>
      </c>
      <c r="C15" s="34" t="n">
        <f aca="false">(SUMIFS(Data!$R$6:$R$1085,Data!$A$6:$A$1085,Exec_Summary!$C$4,Data!$D$6:$D$1085,$B15,Data!$E$6:$E$1085,C$12))/(SUMIFS(Data!$Q$6:$Q$1085,Data!$A$6:$A$1085,Exec_Summary!$C$4,Data!$D$6:$D$1085,$B15,Data!$E$6:$E$1085,C$12))-1</f>
        <v>0.0604079722953932</v>
      </c>
      <c r="D15" s="34" t="n">
        <f aca="false">(SUMIFS(Data!$R$6:$R$1085,Data!$A$6:$A$1085,Exec_Summary!$C$4,Data!$D$6:$D$1085,$B15,Data!$E$6:$E$1085,D$12))/(SUMIFS(Data!$Q$6:$Q$1085,Data!$A$6:$A$1085,Exec_Summary!$C$4,Data!$D$6:$D$1085,$B15,Data!$E$6:$E$1085,D$12))-1</f>
        <v>-0.044220537302778</v>
      </c>
      <c r="E15" s="34" t="n">
        <f aca="false">(SUMIFS(Data!$R$6:$R$1085,Data!$A$6:$A$1085,Exec_Summary!$C$4,Data!$D$6:$D$1085,$B15,Data!$E$6:$E$1085,E$12))/(SUMIFS(Data!$Q$6:$Q$1085,Data!$A$6:$A$1085,Exec_Summary!$C$4,Data!$D$6:$D$1085,$B15,Data!$E$6:$E$1085,E$12))-1</f>
        <v>-0.00363963978798465</v>
      </c>
      <c r="F15" s="34" t="n">
        <f aca="false">(SUMIFS(Data!$R$6:$R$1085,Data!$A$6:$A$1085,Exec_Summary!$C$4,Data!$D$6:$D$1085,$B15,Data!$E$6:$E$1085,F$12))/(SUMIFS(Data!$Q$6:$Q$1085,Data!$A$6:$A$1085,Exec_Summary!$C$4,Data!$D$6:$D$1085,$B15,Data!$E$6:$E$1085,F$12))-1</f>
        <v>0.0785366924440465</v>
      </c>
      <c r="G15" s="34" t="n">
        <f aca="false">(SUMIFS(Data!$R$6:$R$1085,Data!$A$6:$A$1085,Exec_Summary!$C$4,Data!$D$6:$D$1085,$B15,Data!$E$6:$E$1085,G$12))/(SUMIFS(Data!$Q$6:$Q$1085,Data!$A$6:$A$1085,Exec_Summary!$C$4,Data!$D$6:$D$1085,$B15,Data!$E$6:$E$1085,G$12))-1</f>
        <v>0.0890195822783122</v>
      </c>
      <c r="H15" s="34" t="n">
        <f aca="false">(SUMIFS(Data!$R$6:$R$1085,Data!$A$6:$A$1085,Exec_Summary!$C$4,Data!$D$6:$D$1085,$B15,Data!$E$6:$E$1085,H$12))/(SUMIFS(Data!$Q$6:$Q$1085,Data!$A$6:$A$1085,Exec_Summary!$C$4,Data!$D$6:$D$1085,$B15,Data!$E$6:$E$1085,H$12))-1</f>
        <v>0.0502903428145847</v>
      </c>
      <c r="I15" s="35" t="n">
        <f aca="false">(SUMIFS(Data!$R$6:$R$1085,Data!$A$6:$A$1085,Exec_Summary!$C$4,Data!$D$6:$D$1085,$B15))/(SUMIFS(Data!$Q$6:$Q$1085,Data!$A$6:$A$1085,Exec_Summary!$C$4,Data!$D$6:$D$1085,$B15))-1</f>
        <v>0.0362646881728872</v>
      </c>
    </row>
    <row r="16" customFormat="false" ht="15" hidden="false" customHeight="false" outlineLevel="0" collapsed="false">
      <c r="B16" s="4" t="s">
        <v>36</v>
      </c>
      <c r="C16" s="34" t="n">
        <f aca="false">(SUMIFS(Data!$R$6:$R$1085,Data!$A$6:$A$1085,Exec_Summary!$C$4,Data!$D$6:$D$1085,$B16,Data!$E$6:$E$1085,C$12))/(SUMIFS(Data!$Q$6:$Q$1085,Data!$A$6:$A$1085,Exec_Summary!$C$4,Data!$D$6:$D$1085,$B16,Data!$E$6:$E$1085,C$12))-1</f>
        <v>-0.198016445342303</v>
      </c>
      <c r="D16" s="34" t="n">
        <f aca="false">(SUMIFS(Data!$R$6:$R$1085,Data!$A$6:$A$1085,Exec_Summary!$C$4,Data!$D$6:$D$1085,$B16,Data!$E$6:$E$1085,D$12))/(SUMIFS(Data!$Q$6:$Q$1085,Data!$A$6:$A$1085,Exec_Summary!$C$4,Data!$D$6:$D$1085,$B16,Data!$E$6:$E$1085,D$12))-1</f>
        <v>-0.371817484352191</v>
      </c>
      <c r="E16" s="34" t="n">
        <f aca="false">(SUMIFS(Data!$R$6:$R$1085,Data!$A$6:$A$1085,Exec_Summary!$C$4,Data!$D$6:$D$1085,$B16,Data!$E$6:$E$1085,E$12))/(SUMIFS(Data!$Q$6:$Q$1085,Data!$A$6:$A$1085,Exec_Summary!$C$4,Data!$D$6:$D$1085,$B16,Data!$E$6:$E$1085,E$12))-1</f>
        <v>-0.277238247863248</v>
      </c>
      <c r="F16" s="34" t="n">
        <f aca="false">(SUMIFS(Data!$R$6:$R$1085,Data!$A$6:$A$1085,Exec_Summary!$C$4,Data!$D$6:$D$1085,$B16,Data!$E$6:$E$1085,F$12))/(SUMIFS(Data!$Q$6:$Q$1085,Data!$A$6:$A$1085,Exec_Summary!$C$4,Data!$D$6:$D$1085,$B16,Data!$E$6:$E$1085,F$12))-1</f>
        <v>-0.17394693864974</v>
      </c>
      <c r="G16" s="34" t="n">
        <f aca="false">(SUMIFS(Data!$R$6:$R$1085,Data!$A$6:$A$1085,Exec_Summary!$C$4,Data!$D$6:$D$1085,$B16,Data!$E$6:$E$1085,G$12))/(SUMIFS(Data!$Q$6:$Q$1085,Data!$A$6:$A$1085,Exec_Summary!$C$4,Data!$D$6:$D$1085,$B16,Data!$E$6:$E$1085,G$12))-1</f>
        <v>-0.172664033019204</v>
      </c>
      <c r="H16" s="34" t="n">
        <f aca="false">(SUMIFS(Data!$R$6:$R$1085,Data!$A$6:$A$1085,Exec_Summary!$C$4,Data!$D$6:$D$1085,$B16,Data!$E$6:$E$1085,H$12))/(SUMIFS(Data!$Q$6:$Q$1085,Data!$A$6:$A$1085,Exec_Summary!$C$4,Data!$D$6:$D$1085,$B16,Data!$E$6:$E$1085,H$12))-1</f>
        <v>-0.20439708472937</v>
      </c>
      <c r="I16" s="35" t="n">
        <f aca="false">(SUMIFS(Data!$R$6:$R$1085,Data!$A$6:$A$1085,Exec_Summary!$C$4,Data!$D$6:$D$1085,$B16))/(SUMIFS(Data!$Q$6:$Q$1085,Data!$A$6:$A$1085,Exec_Summary!$C$4,Data!$D$6:$D$1085,$B16))-1</f>
        <v>-0.236249875501584</v>
      </c>
    </row>
    <row r="17" customFormat="false" ht="15" hidden="false" customHeight="false" outlineLevel="0" collapsed="false">
      <c r="B17" s="4" t="s">
        <v>37</v>
      </c>
      <c r="C17" s="34" t="n">
        <f aca="false">(SUMIFS(Data!$R$6:$R$1085,Data!$A$6:$A$1085,Exec_Summary!$C$4,Data!$D$6:$D$1085,$B17,Data!$E$6:$E$1085,C$12))/(SUMIFS(Data!$Q$6:$Q$1085,Data!$A$6:$A$1085,Exec_Summary!$C$4,Data!$D$6:$D$1085,$B17,Data!$E$6:$E$1085,C$12))-1</f>
        <v>-0.00745164977948798</v>
      </c>
      <c r="D17" s="34" t="n">
        <f aca="false">(SUMIFS(Data!$R$6:$R$1085,Data!$A$6:$A$1085,Exec_Summary!$C$4,Data!$D$6:$D$1085,$B17,Data!$E$6:$E$1085,D$12))/(SUMIFS(Data!$Q$6:$Q$1085,Data!$A$6:$A$1085,Exec_Summary!$C$4,Data!$D$6:$D$1085,$B17,Data!$E$6:$E$1085,D$12))-1</f>
        <v>-0.139177038588832</v>
      </c>
      <c r="E17" s="34" t="n">
        <f aca="false">(SUMIFS(Data!$R$6:$R$1085,Data!$A$6:$A$1085,Exec_Summary!$C$4,Data!$D$6:$D$1085,$B17,Data!$E$6:$E$1085,E$12))/(SUMIFS(Data!$Q$6:$Q$1085,Data!$A$6:$A$1085,Exec_Summary!$C$4,Data!$D$6:$D$1085,$B17,Data!$E$6:$E$1085,E$12))-1</f>
        <v>-0.0758303023916999</v>
      </c>
      <c r="F17" s="34" t="n">
        <f aca="false">(SUMIFS(Data!$R$6:$R$1085,Data!$A$6:$A$1085,Exec_Summary!$C$4,Data!$D$6:$D$1085,$B17,Data!$E$6:$E$1085,F$12))/(SUMIFS(Data!$Q$6:$Q$1085,Data!$A$6:$A$1085,Exec_Summary!$C$4,Data!$D$6:$D$1085,$B17,Data!$E$6:$E$1085,F$12))-1</f>
        <v>-0.0603559760202848</v>
      </c>
      <c r="G17" s="34" t="n">
        <f aca="false">(SUMIFS(Data!$R$6:$R$1085,Data!$A$6:$A$1085,Exec_Summary!$C$4,Data!$D$6:$D$1085,$B17,Data!$E$6:$E$1085,G$12))/(SUMIFS(Data!$Q$6:$Q$1085,Data!$A$6:$A$1085,Exec_Summary!$C$4,Data!$D$6:$D$1085,$B17,Data!$E$6:$E$1085,G$12))-1</f>
        <v>-0.0182579710650774</v>
      </c>
      <c r="H17" s="34" t="n">
        <f aca="false">(SUMIFS(Data!$R$6:$R$1085,Data!$A$6:$A$1085,Exec_Summary!$C$4,Data!$D$6:$D$1085,$B17,Data!$E$6:$E$1085,H$12))/(SUMIFS(Data!$Q$6:$Q$1085,Data!$A$6:$A$1085,Exec_Summary!$C$4,Data!$D$6:$D$1085,$B17,Data!$E$6:$E$1085,H$12))-1</f>
        <v>-0.0178962738025099</v>
      </c>
      <c r="I17" s="35" t="n">
        <f aca="false">(SUMIFS(Data!$R$6:$R$1085,Data!$A$6:$A$1085,Exec_Summary!$C$4,Data!$D$6:$D$1085,$B17))/(SUMIFS(Data!$Q$6:$Q$1085,Data!$A$6:$A$1085,Exec_Summary!$C$4,Data!$D$6:$D$1085,$B17))-1</f>
        <v>-0.0539827352631269</v>
      </c>
    </row>
    <row r="18" customFormat="false" ht="15" hidden="false" customHeight="false" outlineLevel="0" collapsed="false">
      <c r="B18" s="4" t="s">
        <v>51</v>
      </c>
      <c r="C18" s="35" t="n">
        <f aca="false">(SUMIFS(Data!$R$6:$R$1085,Data!$A$6:$A$1085,Exec_Summary!$C$4,Data!$E$6:$E$1085,C$12))/(SUMIFS(Data!$Q$6:$Q$1085,Data!$A$6:$A$1085,Exec_Summary!$C$4,Data!$E$6:$E$1085,C$12))-1</f>
        <v>-0.0429910748736967</v>
      </c>
      <c r="D18" s="35" t="n">
        <f aca="false">(SUMIFS(Data!$R$6:$R$1085,Data!$A$6:$A$1085,Exec_Summary!$C$4,Data!$E$6:$E$1085,D$12))/(SUMIFS(Data!$Q$6:$Q$1085,Data!$A$6:$A$1085,Exec_Summary!$C$4,Data!$E$6:$E$1085,D$12))-1</f>
        <v>-0.171743142983481</v>
      </c>
      <c r="E18" s="35" t="n">
        <f aca="false">(SUMIFS(Data!$R$6:$R$1085,Data!$A$6:$A$1085,Exec_Summary!$C$4,Data!$E$6:$E$1085,E$12))/(SUMIFS(Data!$Q$6:$Q$1085,Data!$A$6:$A$1085,Exec_Summary!$C$4,Data!$E$6:$E$1085,E$12))-1</f>
        <v>-0.117262992313452</v>
      </c>
      <c r="F18" s="35" t="n">
        <f aca="false">(SUMIFS(Data!$R$6:$R$1085,Data!$A$6:$A$1085,Exec_Summary!$C$4,Data!$E$6:$E$1085,F$12))/(SUMIFS(Data!$Q$6:$Q$1085,Data!$A$6:$A$1085,Exec_Summary!$C$4,Data!$E$6:$E$1085,F$12))-1</f>
        <v>-0.059130673127985</v>
      </c>
      <c r="G18" s="35" t="n">
        <f aca="false">(SUMIFS(Data!$R$6:$R$1085,Data!$A$6:$A$1085,Exec_Summary!$C$4,Data!$E$6:$E$1085,G$12))/(SUMIFS(Data!$Q$6:$Q$1085,Data!$A$6:$A$1085,Exec_Summary!$C$4,Data!$E$6:$E$1085,G$12))-1</f>
        <v>-0.051168748119115</v>
      </c>
      <c r="H18" s="35" t="n">
        <f aca="false">(SUMIFS(Data!$R$6:$R$1085,Data!$A$6:$A$1085,Exec_Summary!$C$4,Data!$E$6:$E$1085,H$12))/(SUMIFS(Data!$Q$6:$Q$1085,Data!$A$6:$A$1085,Exec_Summary!$C$4,Data!$E$6:$E$1085,H$12))-1</f>
        <v>-0.0529066887395399</v>
      </c>
      <c r="I18" s="35" t="n">
        <f aca="false">(SUMIFS(Data!$R$6:$R$1085,Data!$A$6:$A$1085,Exec_Summary!$C$4))/(SUMIFS(Data!$Q$6:$Q$1085,Data!$A$6:$A$1085,Exec_Summary!$C$4))-1</f>
        <v>-0.084220725750126</v>
      </c>
    </row>
    <row r="19" customFormat="false" ht="15" hidden="false" customHeight="false" outlineLevel="0" collapsed="false">
      <c r="B19" s="11" t="s">
        <v>53</v>
      </c>
      <c r="C19" s="12"/>
      <c r="D19" s="12"/>
      <c r="E19" s="12"/>
      <c r="F19" s="12"/>
      <c r="G19" s="12"/>
      <c r="H19" s="12"/>
      <c r="I19" s="12"/>
    </row>
    <row r="20" customFormat="false" ht="30" hidden="false" customHeight="true" outlineLevel="0" collapsed="false">
      <c r="B20" s="13" t="s">
        <v>50</v>
      </c>
      <c r="C20" s="14" t="s">
        <v>40</v>
      </c>
      <c r="D20" s="14" t="s">
        <v>41</v>
      </c>
      <c r="E20" s="14" t="s">
        <v>42</v>
      </c>
      <c r="F20" s="14" t="s">
        <v>43</v>
      </c>
      <c r="G20" s="14" t="s">
        <v>44</v>
      </c>
      <c r="H20" s="14" t="s">
        <v>45</v>
      </c>
      <c r="I20" s="14" t="s">
        <v>51</v>
      </c>
    </row>
    <row r="21" customFormat="false" ht="15" hidden="false" customHeight="false" outlineLevel="0" collapsed="false">
      <c r="B21" s="4" t="s">
        <v>33</v>
      </c>
      <c r="C21" s="36" t="n">
        <f aca="false">SUMIFS(Data!$G$6:$G$1085,Data!$A$6:$A$1085,Exec_Summary!$C$4,Data!$D$6:$D$1085,$B21,Data!$E$6:$E$1085,C$20)</f>
        <v>12476470</v>
      </c>
      <c r="D21" s="36" t="n">
        <f aca="false">SUMIFS(Data!$G$6:$G$1085,Data!$A$6:$A$1085,Exec_Summary!$C$4,Data!$D$6:$D$1085,$B21,Data!$E$6:$E$1085,D$20)</f>
        <v>8785875</v>
      </c>
      <c r="E21" s="36" t="n">
        <f aca="false">SUMIFS(Data!$G$6:$G$1085,Data!$A$6:$A$1085,Exec_Summary!$C$4,Data!$D$6:$D$1085,$B21,Data!$E$6:$E$1085,E$20)</f>
        <v>10426934</v>
      </c>
      <c r="F21" s="36" t="n">
        <f aca="false">SUMIFS(Data!$G$6:$G$1085,Data!$A$6:$A$1085,Exec_Summary!$C$4,Data!$D$6:$D$1085,$B21,Data!$E$6:$E$1085,F$20)</f>
        <v>7757259</v>
      </c>
      <c r="G21" s="36" t="n">
        <f aca="false">SUMIFS(Data!$G$6:$G$1085,Data!$A$6:$A$1085,Exec_Summary!$C$4,Data!$D$6:$D$1085,$B21,Data!$E$6:$E$1085,G$20)</f>
        <v>8199564</v>
      </c>
      <c r="H21" s="36" t="n">
        <f aca="false">SUMIFS(Data!$G$6:$G$1085,Data!$A$6:$A$1085,Exec_Summary!$C$4,Data!$D$6:$D$1085,$B21,Data!$E$6:$E$1085,H$20)</f>
        <v>4155665</v>
      </c>
      <c r="I21" s="37" t="n">
        <f aca="false">SUMIFS(Data!$G$6:$G$1085,Data!$A$6:$A$1085,Exec_Summary!$C$4,Data!$D$6:$D$1085,$B21)</f>
        <v>51801767</v>
      </c>
    </row>
    <row r="22" customFormat="false" ht="15" hidden="false" customHeight="false" outlineLevel="0" collapsed="false">
      <c r="B22" s="4" t="s">
        <v>34</v>
      </c>
      <c r="C22" s="36" t="n">
        <f aca="false">SUMIFS(Data!$G$6:$G$1085,Data!$A$6:$A$1085,Exec_Summary!$C$4,Data!$D$6:$D$1085,$B22,Data!$E$6:$E$1085,C$20)</f>
        <v>9087847</v>
      </c>
      <c r="D22" s="36" t="n">
        <f aca="false">SUMIFS(Data!$G$6:$G$1085,Data!$A$6:$A$1085,Exec_Summary!$C$4,Data!$D$6:$D$1085,$B22,Data!$E$6:$E$1085,D$20)</f>
        <v>6257341</v>
      </c>
      <c r="E22" s="36" t="n">
        <f aca="false">SUMIFS(Data!$G$6:$G$1085,Data!$A$6:$A$1085,Exec_Summary!$C$4,Data!$D$6:$D$1085,$B22,Data!$E$6:$E$1085,E$20)</f>
        <v>7405930</v>
      </c>
      <c r="F22" s="36" t="n">
        <f aca="false">SUMIFS(Data!$G$6:$G$1085,Data!$A$6:$A$1085,Exec_Summary!$C$4,Data!$D$6:$D$1085,$B22,Data!$E$6:$E$1085,F$20)</f>
        <v>5190114</v>
      </c>
      <c r="G22" s="36" t="n">
        <f aca="false">SUMIFS(Data!$G$6:$G$1085,Data!$A$6:$A$1085,Exec_Summary!$C$4,Data!$D$6:$D$1085,$B22,Data!$E$6:$E$1085,G$20)</f>
        <v>5944412</v>
      </c>
      <c r="H22" s="36" t="n">
        <f aca="false">SUMIFS(Data!$G$6:$G$1085,Data!$A$6:$A$1085,Exec_Summary!$C$4,Data!$D$6:$D$1085,$B22,Data!$E$6:$E$1085,H$20)</f>
        <v>2978699</v>
      </c>
      <c r="I22" s="37" t="n">
        <f aca="false">SUMIFS(Data!$G$6:$G$1085,Data!$A$6:$A$1085,Exec_Summary!$C$4,Data!$D$6:$D$1085,$B22)</f>
        <v>36864343</v>
      </c>
    </row>
    <row r="23" customFormat="false" ht="15" hidden="false" customHeight="false" outlineLevel="0" collapsed="false">
      <c r="B23" s="4" t="s">
        <v>35</v>
      </c>
      <c r="C23" s="36" t="n">
        <f aca="false">SUMIFS(Data!$G$6:$G$1085,Data!$A$6:$A$1085,Exec_Summary!$C$4,Data!$D$6:$D$1085,$B23,Data!$E$6:$E$1085,C$20)</f>
        <v>7272039</v>
      </c>
      <c r="D23" s="36" t="n">
        <f aca="false">SUMIFS(Data!$G$6:$G$1085,Data!$A$6:$A$1085,Exec_Summary!$C$4,Data!$D$6:$D$1085,$B23,Data!$E$6:$E$1085,D$20)</f>
        <v>5130227</v>
      </c>
      <c r="E23" s="36" t="n">
        <f aca="false">SUMIFS(Data!$G$6:$G$1085,Data!$A$6:$A$1085,Exec_Summary!$C$4,Data!$D$6:$D$1085,$B23,Data!$E$6:$E$1085,E$20)</f>
        <v>6061266</v>
      </c>
      <c r="F23" s="36" t="n">
        <f aca="false">SUMIFS(Data!$G$6:$G$1085,Data!$A$6:$A$1085,Exec_Summary!$C$4,Data!$D$6:$D$1085,$B23,Data!$E$6:$E$1085,F$20)</f>
        <v>4609668</v>
      </c>
      <c r="G23" s="36" t="n">
        <f aca="false">SUMIFS(Data!$G$6:$G$1085,Data!$A$6:$A$1085,Exec_Summary!$C$4,Data!$D$6:$D$1085,$B23,Data!$E$6:$E$1085,G$20)</f>
        <v>5018097</v>
      </c>
      <c r="H23" s="36" t="n">
        <f aca="false">SUMIFS(Data!$G$6:$G$1085,Data!$A$6:$A$1085,Exec_Summary!$C$4,Data!$D$6:$D$1085,$B23,Data!$E$6:$E$1085,H$20)</f>
        <v>2420756</v>
      </c>
      <c r="I23" s="37" t="n">
        <f aca="false">SUMIFS(Data!$G$6:$G$1085,Data!$A$6:$A$1085,Exec_Summary!$C$4,Data!$D$6:$D$1085,$B23)</f>
        <v>30512053</v>
      </c>
    </row>
    <row r="24" customFormat="false" ht="15" hidden="false" customHeight="false" outlineLevel="0" collapsed="false">
      <c r="B24" s="4" t="s">
        <v>36</v>
      </c>
      <c r="C24" s="36" t="n">
        <f aca="false">SUMIFS(Data!$G$6:$G$1085,Data!$A$6:$A$1085,Exec_Summary!$C$4,Data!$D$6:$D$1085,$B24,Data!$E$6:$E$1085,C$20)</f>
        <v>7696575</v>
      </c>
      <c r="D24" s="36" t="n">
        <f aca="false">SUMIFS(Data!$G$6:$G$1085,Data!$A$6:$A$1085,Exec_Summary!$C$4,Data!$D$6:$D$1085,$B24,Data!$E$6:$E$1085,D$20)</f>
        <v>5369886</v>
      </c>
      <c r="E24" s="36" t="n">
        <f aca="false">SUMIFS(Data!$G$6:$G$1085,Data!$A$6:$A$1085,Exec_Summary!$C$4,Data!$D$6:$D$1085,$B24,Data!$E$6:$E$1085,E$20)</f>
        <v>6461282</v>
      </c>
      <c r="F24" s="36" t="n">
        <f aca="false">SUMIFS(Data!$G$6:$G$1085,Data!$A$6:$A$1085,Exec_Summary!$C$4,Data!$D$6:$D$1085,$B24,Data!$E$6:$E$1085,F$20)</f>
        <v>4805936</v>
      </c>
      <c r="G24" s="36" t="n">
        <f aca="false">SUMIFS(Data!$G$6:$G$1085,Data!$A$6:$A$1085,Exec_Summary!$C$4,Data!$D$6:$D$1085,$B24,Data!$E$6:$E$1085,G$20)</f>
        <v>5175668</v>
      </c>
      <c r="H24" s="36" t="n">
        <f aca="false">SUMIFS(Data!$G$6:$G$1085,Data!$A$6:$A$1085,Exec_Summary!$C$4,Data!$D$6:$D$1085,$B24,Data!$E$6:$E$1085,H$20)</f>
        <v>2496242</v>
      </c>
      <c r="I24" s="37" t="n">
        <f aca="false">SUMIFS(Data!$G$6:$G$1085,Data!$A$6:$A$1085,Exec_Summary!$C$4,Data!$D$6:$D$1085,$B24)</f>
        <v>32005589</v>
      </c>
    </row>
    <row r="25" customFormat="false" ht="15" hidden="false" customHeight="false" outlineLevel="0" collapsed="false">
      <c r="B25" s="4" t="s">
        <v>37</v>
      </c>
      <c r="C25" s="36" t="n">
        <f aca="false">SUMIFS(Data!$G$6:$G$1085,Data!$A$6:$A$1085,Exec_Summary!$C$4,Data!$D$6:$D$1085,$B25,Data!$E$6:$E$1085,C$20)</f>
        <v>4930950</v>
      </c>
      <c r="D25" s="36" t="n">
        <f aca="false">SUMIFS(Data!$G$6:$G$1085,Data!$A$6:$A$1085,Exec_Summary!$C$4,Data!$D$6:$D$1085,$B25,Data!$E$6:$E$1085,D$20)</f>
        <v>3500536</v>
      </c>
      <c r="E25" s="36" t="n">
        <f aca="false">SUMIFS(Data!$G$6:$G$1085,Data!$A$6:$A$1085,Exec_Summary!$C$4,Data!$D$6:$D$1085,$B25,Data!$E$6:$E$1085,E$20)</f>
        <v>4131861</v>
      </c>
      <c r="F25" s="36" t="n">
        <f aca="false">SUMIFS(Data!$G$6:$G$1085,Data!$A$6:$A$1085,Exec_Summary!$C$4,Data!$D$6:$D$1085,$B25,Data!$E$6:$E$1085,F$20)</f>
        <v>3017258</v>
      </c>
      <c r="G25" s="36" t="n">
        <f aca="false">SUMIFS(Data!$G$6:$G$1085,Data!$A$6:$A$1085,Exec_Summary!$C$4,Data!$D$6:$D$1085,$B25,Data!$E$6:$E$1085,G$20)</f>
        <v>3302570</v>
      </c>
      <c r="H25" s="36" t="n">
        <f aca="false">SUMIFS(Data!$G$6:$G$1085,Data!$A$6:$A$1085,Exec_Summary!$C$4,Data!$D$6:$D$1085,$B25,Data!$E$6:$E$1085,H$20)</f>
        <v>1669228</v>
      </c>
      <c r="I25" s="37" t="n">
        <f aca="false">SUMIFS(Data!$G$6:$G$1085,Data!$A$6:$A$1085,Exec_Summary!$C$4,Data!$D$6:$D$1085,$B25)</f>
        <v>20552403</v>
      </c>
    </row>
    <row r="26" customFormat="false" ht="15" hidden="false" customHeight="false" outlineLevel="0" collapsed="false">
      <c r="B26" s="4" t="s">
        <v>51</v>
      </c>
      <c r="C26" s="37" t="n">
        <f aca="false">SUMIFS(Data!$G$6:$G$1085,Data!$A$6:$A$1085,Exec_Summary!$C$4,Data!$E$6:$E$1085,C$20)</f>
        <v>41463881</v>
      </c>
      <c r="D26" s="37" t="n">
        <f aca="false">SUMIFS(Data!$G$6:$G$1085,Data!$A$6:$A$1085,Exec_Summary!$C$4,Data!$E$6:$E$1085,D$20)</f>
        <v>29043865</v>
      </c>
      <c r="E26" s="37" t="n">
        <f aca="false">SUMIFS(Data!$G$6:$G$1085,Data!$A$6:$A$1085,Exec_Summary!$C$4,Data!$E$6:$E$1085,E$20)</f>
        <v>34487273</v>
      </c>
      <c r="F26" s="37" t="n">
        <f aca="false">SUMIFS(Data!$G$6:$G$1085,Data!$A$6:$A$1085,Exec_Summary!$C$4,Data!$E$6:$E$1085,F$20)</f>
        <v>25380235</v>
      </c>
      <c r="G26" s="37" t="n">
        <f aca="false">SUMIFS(Data!$G$6:$G$1085,Data!$A$6:$A$1085,Exec_Summary!$C$4,Data!$E$6:$E$1085,G$20)</f>
        <v>27640311</v>
      </c>
      <c r="H26" s="37" t="n">
        <f aca="false">SUMIFS(Data!$G$6:$G$1085,Data!$A$6:$A$1085,Exec_Summary!$C$4,Data!$E$6:$E$1085,H$20)</f>
        <v>13720590</v>
      </c>
      <c r="I26" s="37" t="n">
        <f aca="false">SUMIFS(Data!$G$6:$G$1085,Data!$A$6:$A$1085,Exec_Summary!$C$4)</f>
        <v>171736155</v>
      </c>
    </row>
    <row r="27" customFormat="false" ht="15" hidden="false" customHeight="false" outlineLevel="0" collapsed="false">
      <c r="B27" s="11" t="s">
        <v>54</v>
      </c>
      <c r="C27" s="12"/>
      <c r="D27" s="12"/>
      <c r="E27" s="12"/>
      <c r="F27" s="12"/>
      <c r="G27" s="12"/>
      <c r="H27" s="12"/>
      <c r="I27" s="12"/>
    </row>
    <row r="28" customFormat="false" ht="30" hidden="false" customHeight="true" outlineLevel="0" collapsed="false">
      <c r="B28" s="13" t="s">
        <v>50</v>
      </c>
      <c r="C28" s="14" t="s">
        <v>40</v>
      </c>
      <c r="D28" s="14" t="s">
        <v>41</v>
      </c>
      <c r="E28" s="14" t="s">
        <v>42</v>
      </c>
      <c r="F28" s="14" t="s">
        <v>43</v>
      </c>
      <c r="G28" s="14" t="s">
        <v>44</v>
      </c>
      <c r="H28" s="14" t="s">
        <v>45</v>
      </c>
      <c r="I28" s="14" t="s">
        <v>51</v>
      </c>
    </row>
    <row r="29" customFormat="false" ht="15" hidden="false" customHeight="false" outlineLevel="0" collapsed="false">
      <c r="B29" s="4" t="s">
        <v>33</v>
      </c>
      <c r="C29" s="36" t="n">
        <f aca="false">SUMIFS(Data!$F$6:$F$1085,Data!$A$6:$A$1085,Exec_Summary!$C$4,Data!$D$6:$D$1085,$B29,Data!$E$6:$E$1085,C$28)</f>
        <v>12722282</v>
      </c>
      <c r="D29" s="36" t="n">
        <f aca="false">SUMIFS(Data!$F$6:$F$1085,Data!$A$6:$A$1085,Exec_Summary!$C$4,Data!$D$6:$D$1085,$B29,Data!$E$6:$E$1085,D$28)</f>
        <v>8974069</v>
      </c>
      <c r="E29" s="36" t="n">
        <f aca="false">SUMIFS(Data!$F$6:$F$1085,Data!$A$6:$A$1085,Exec_Summary!$C$4,Data!$D$6:$D$1085,$B29,Data!$E$6:$E$1085,E$28)</f>
        <v>10568806</v>
      </c>
      <c r="F29" s="36" t="n">
        <f aca="false">SUMIFS(Data!$F$6:$F$1085,Data!$A$6:$A$1085,Exec_Summary!$C$4,Data!$D$6:$D$1085,$B29,Data!$E$6:$E$1085,F$28)</f>
        <v>7911009</v>
      </c>
      <c r="G29" s="36" t="n">
        <f aca="false">SUMIFS(Data!$F$6:$F$1085,Data!$A$6:$A$1085,Exec_Summary!$C$4,Data!$D$6:$D$1085,$B29,Data!$E$6:$E$1085,G$28)</f>
        <v>8484541</v>
      </c>
      <c r="H29" s="36" t="n">
        <f aca="false">SUMIFS(Data!$F$6:$F$1085,Data!$A$6:$A$1085,Exec_Summary!$C$4,Data!$D$6:$D$1085,$B29,Data!$E$6:$E$1085,H$28)</f>
        <v>4240140</v>
      </c>
      <c r="I29" s="37" t="n">
        <f aca="false">SUMIFS(Data!$F$6:$F$1085,Data!$A$6:$A$1085,Exec_Summary!$C$4,Data!$D$6:$D$1085,$B29)</f>
        <v>52900847</v>
      </c>
    </row>
    <row r="30" customFormat="false" ht="15" hidden="false" customHeight="false" outlineLevel="0" collapsed="false">
      <c r="B30" s="4" t="s">
        <v>34</v>
      </c>
      <c r="C30" s="36" t="n">
        <f aca="false">SUMIFS(Data!$F$6:$F$1085,Data!$A$6:$A$1085,Exec_Summary!$C$4,Data!$D$6:$D$1085,$B30,Data!$E$6:$E$1085,C$28)</f>
        <v>9540513</v>
      </c>
      <c r="D30" s="36" t="n">
        <f aca="false">SUMIFS(Data!$F$6:$F$1085,Data!$A$6:$A$1085,Exec_Summary!$C$4,Data!$D$6:$D$1085,$B30,Data!$E$6:$E$1085,D$28)</f>
        <v>6730168</v>
      </c>
      <c r="E30" s="36" t="n">
        <f aca="false">SUMIFS(Data!$F$6:$F$1085,Data!$A$6:$A$1085,Exec_Summary!$C$4,Data!$D$6:$D$1085,$B30,Data!$E$6:$E$1085,E$28)</f>
        <v>7897842</v>
      </c>
      <c r="F30" s="36" t="n">
        <f aca="false">SUMIFS(Data!$F$6:$F$1085,Data!$A$6:$A$1085,Exec_Summary!$C$4,Data!$D$6:$D$1085,$B30,Data!$E$6:$E$1085,F$28)</f>
        <v>5939899</v>
      </c>
      <c r="G30" s="36" t="n">
        <f aca="false">SUMIFS(Data!$F$6:$F$1085,Data!$A$6:$A$1085,Exec_Summary!$C$4,Data!$D$6:$D$1085,$B30,Data!$E$6:$E$1085,G$28)</f>
        <v>6305450</v>
      </c>
      <c r="H30" s="36" t="n">
        <f aca="false">SUMIFS(Data!$F$6:$F$1085,Data!$A$6:$A$1085,Exec_Summary!$C$4,Data!$D$6:$D$1085,$B30,Data!$E$6:$E$1085,H$28)</f>
        <v>3162348</v>
      </c>
      <c r="I30" s="37" t="n">
        <f aca="false">SUMIFS(Data!$F$6:$F$1085,Data!$A$6:$A$1085,Exec_Summary!$C$4,Data!$D$6:$D$1085,$B30)</f>
        <v>39576220</v>
      </c>
    </row>
    <row r="31" customFormat="false" ht="15" hidden="false" customHeight="false" outlineLevel="0" collapsed="false">
      <c r="B31" s="4" t="s">
        <v>35</v>
      </c>
      <c r="C31" s="36" t="n">
        <f aca="false">SUMIFS(Data!$F$6:$F$1085,Data!$A$6:$A$1085,Exec_Summary!$C$4,Data!$D$6:$D$1085,$B31,Data!$E$6:$E$1085,C$28)</f>
        <v>6807745</v>
      </c>
      <c r="D31" s="36" t="n">
        <f aca="false">SUMIFS(Data!$F$6:$F$1085,Data!$A$6:$A$1085,Exec_Summary!$C$4,Data!$D$6:$D$1085,$B31,Data!$E$6:$E$1085,D$28)</f>
        <v>4829712</v>
      </c>
      <c r="E31" s="36" t="n">
        <f aca="false">SUMIFS(Data!$F$6:$F$1085,Data!$A$6:$A$1085,Exec_Summary!$C$4,Data!$D$6:$D$1085,$B31,Data!$E$6:$E$1085,E$28)</f>
        <v>5725395</v>
      </c>
      <c r="F31" s="36" t="n">
        <f aca="false">SUMIFS(Data!$F$6:$F$1085,Data!$A$6:$A$1085,Exec_Summary!$C$4,Data!$D$6:$D$1085,$B31,Data!$E$6:$E$1085,F$28)</f>
        <v>4279505</v>
      </c>
      <c r="G31" s="36" t="n">
        <f aca="false">SUMIFS(Data!$F$6:$F$1085,Data!$A$6:$A$1085,Exec_Summary!$C$4,Data!$D$6:$D$1085,$B31,Data!$E$6:$E$1085,G$28)</f>
        <v>4545103</v>
      </c>
      <c r="H31" s="36" t="n">
        <f aca="false">SUMIFS(Data!$F$6:$F$1085,Data!$A$6:$A$1085,Exec_Summary!$C$4,Data!$D$6:$D$1085,$B31,Data!$E$6:$E$1085,H$28)</f>
        <v>2292068</v>
      </c>
      <c r="I31" s="37" t="n">
        <f aca="false">SUMIFS(Data!$F$6:$F$1085,Data!$A$6:$A$1085,Exec_Summary!$C$4,Data!$D$6:$D$1085,$B31)</f>
        <v>28479528</v>
      </c>
    </row>
    <row r="32" customFormat="false" ht="15" hidden="false" customHeight="false" outlineLevel="0" collapsed="false">
      <c r="B32" s="4" t="s">
        <v>36</v>
      </c>
      <c r="C32" s="36" t="n">
        <f aca="false">SUMIFS(Data!$F$6:$F$1085,Data!$A$6:$A$1085,Exec_Summary!$C$4,Data!$D$6:$D$1085,$B32,Data!$E$6:$E$1085,C$28)</f>
        <v>8219133</v>
      </c>
      <c r="D32" s="36" t="n">
        <f aca="false">SUMIFS(Data!$F$6:$F$1085,Data!$A$6:$A$1085,Exec_Summary!$C$4,Data!$D$6:$D$1085,$B32,Data!$E$6:$E$1085,D$28)</f>
        <v>5790718</v>
      </c>
      <c r="E32" s="36" t="n">
        <f aca="false">SUMIFS(Data!$F$6:$F$1085,Data!$A$6:$A$1085,Exec_Summary!$C$4,Data!$D$6:$D$1085,$B32,Data!$E$6:$E$1085,E$28)</f>
        <v>6824985</v>
      </c>
      <c r="F32" s="36" t="n">
        <f aca="false">SUMIFS(Data!$F$6:$F$1085,Data!$A$6:$A$1085,Exec_Summary!$C$4,Data!$D$6:$D$1085,$B32,Data!$E$6:$E$1085,F$28)</f>
        <v>5070773</v>
      </c>
      <c r="G32" s="36" t="n">
        <f aca="false">SUMIFS(Data!$F$6:$F$1085,Data!$A$6:$A$1085,Exec_Summary!$C$4,Data!$D$6:$D$1085,$B32,Data!$E$6:$E$1085,G$28)</f>
        <v>5475343</v>
      </c>
      <c r="H32" s="36" t="n">
        <f aca="false">SUMIFS(Data!$F$6:$F$1085,Data!$A$6:$A$1085,Exec_Summary!$C$4,Data!$D$6:$D$1085,$B32,Data!$E$6:$E$1085,H$28)</f>
        <v>2714166</v>
      </c>
      <c r="I32" s="37" t="n">
        <f aca="false">SUMIFS(Data!$F$6:$F$1085,Data!$A$6:$A$1085,Exec_Summary!$C$4,Data!$D$6:$D$1085,$B32)</f>
        <v>34095118</v>
      </c>
    </row>
    <row r="33" customFormat="false" ht="15" hidden="false" customHeight="false" outlineLevel="0" collapsed="false">
      <c r="B33" s="4" t="s">
        <v>37</v>
      </c>
      <c r="C33" s="36" t="n">
        <f aca="false">SUMIFS(Data!$F$6:$F$1085,Data!$A$6:$A$1085,Exec_Summary!$C$4,Data!$D$6:$D$1085,$B33,Data!$E$6:$E$1085,C$28)</f>
        <v>4983094</v>
      </c>
      <c r="D33" s="36" t="n">
        <f aca="false">SUMIFS(Data!$F$6:$F$1085,Data!$A$6:$A$1085,Exec_Summary!$C$4,Data!$D$6:$D$1085,$B33,Data!$E$6:$E$1085,D$28)</f>
        <v>3536430</v>
      </c>
      <c r="E33" s="36" t="n">
        <f aca="false">SUMIFS(Data!$F$6:$F$1085,Data!$A$6:$A$1085,Exec_Summary!$C$4,Data!$D$6:$D$1085,$B33,Data!$E$6:$E$1085,E$28)</f>
        <v>4135907</v>
      </c>
      <c r="F33" s="36" t="n">
        <f aca="false">SUMIFS(Data!$F$6:$F$1085,Data!$A$6:$A$1085,Exec_Summary!$C$4,Data!$D$6:$D$1085,$B33,Data!$E$6:$E$1085,F$28)</f>
        <v>3138184</v>
      </c>
      <c r="G33" s="36" t="n">
        <f aca="false">SUMIFS(Data!$F$6:$F$1085,Data!$A$6:$A$1085,Exec_Summary!$C$4,Data!$D$6:$D$1085,$B33,Data!$E$6:$E$1085,G$28)</f>
        <v>3344414</v>
      </c>
      <c r="H33" s="36" t="n">
        <f aca="false">SUMIFS(Data!$F$6:$F$1085,Data!$A$6:$A$1085,Exec_Summary!$C$4,Data!$D$6:$D$1085,$B33,Data!$E$6:$E$1085,H$28)</f>
        <v>1670880</v>
      </c>
      <c r="I33" s="37" t="n">
        <f aca="false">SUMIFS(Data!$F$6:$F$1085,Data!$A$6:$A$1085,Exec_Summary!$C$4,Data!$D$6:$D$1085,$B33)</f>
        <v>20808909</v>
      </c>
    </row>
    <row r="34" customFormat="false" ht="15" hidden="false" customHeight="false" outlineLevel="0" collapsed="false">
      <c r="B34" s="4" t="s">
        <v>51</v>
      </c>
      <c r="C34" s="37" t="n">
        <f aca="false">SUMIFS(Data!$F$6:$F$1085,Data!$A$6:$A$1085,Exec_Summary!$C$4,Data!$E$6:$E$1085,C$28)</f>
        <v>42272767</v>
      </c>
      <c r="D34" s="37" t="n">
        <f aca="false">SUMIFS(Data!$F$6:$F$1085,Data!$A$6:$A$1085,Exec_Summary!$C$4,Data!$E$6:$E$1085,D$28)</f>
        <v>29861097</v>
      </c>
      <c r="E34" s="37" t="n">
        <f aca="false">SUMIFS(Data!$F$6:$F$1085,Data!$A$6:$A$1085,Exec_Summary!$C$4,Data!$E$6:$E$1085,E$28)</f>
        <v>35152935</v>
      </c>
      <c r="F34" s="37" t="n">
        <f aca="false">SUMIFS(Data!$F$6:$F$1085,Data!$A$6:$A$1085,Exec_Summary!$C$4,Data!$E$6:$E$1085,F$28)</f>
        <v>26339370</v>
      </c>
      <c r="G34" s="37" t="n">
        <f aca="false">SUMIFS(Data!$F$6:$F$1085,Data!$A$6:$A$1085,Exec_Summary!$C$4,Data!$E$6:$E$1085,G$28)</f>
        <v>28154851</v>
      </c>
      <c r="H34" s="37" t="n">
        <f aca="false">SUMIFS(Data!$F$6:$F$1085,Data!$A$6:$A$1085,Exec_Summary!$C$4,Data!$E$6:$E$1085,H$28)</f>
        <v>14079602</v>
      </c>
      <c r="I34" s="37" t="n">
        <f aca="false">SUMIFS(Data!$F$6:$F$1085,Data!$A$6:$A$1085,Exec_Summary!$C$4)</f>
        <v>175860622</v>
      </c>
    </row>
    <row r="35" customFormat="false" ht="15" hidden="false" customHeight="false" outlineLevel="0" collapsed="false">
      <c r="B35" s="11" t="s">
        <v>55</v>
      </c>
      <c r="C35" s="12"/>
      <c r="D35" s="12"/>
      <c r="E35" s="12"/>
      <c r="F35" s="12"/>
      <c r="G35" s="12"/>
      <c r="H35" s="12"/>
      <c r="I35" s="12"/>
    </row>
    <row r="36" customFormat="false" ht="30" hidden="false" customHeight="true" outlineLevel="0" collapsed="false">
      <c r="B36" s="13" t="s">
        <v>50</v>
      </c>
      <c r="C36" s="14" t="s">
        <v>40</v>
      </c>
      <c r="D36" s="14" t="s">
        <v>41</v>
      </c>
      <c r="E36" s="14" t="s">
        <v>42</v>
      </c>
      <c r="F36" s="14" t="s">
        <v>43</v>
      </c>
      <c r="G36" s="14" t="s">
        <v>44</v>
      </c>
      <c r="H36" s="14" t="s">
        <v>45</v>
      </c>
      <c r="I36" s="14" t="s">
        <v>51</v>
      </c>
    </row>
    <row r="37" customFormat="false" ht="15" hidden="false" customHeight="false" outlineLevel="0" collapsed="false">
      <c r="B37" s="4" t="s">
        <v>33</v>
      </c>
      <c r="C37" s="36" t="n">
        <f aca="false">ABS(SUMIFS(Data!$G$6:$G$1085,Data!$A$6:$A$1085,Exec_Summary!$C$4,Data!$D$6:$D$1085,$B37,Data!$E$6:$E$1085,C$36)-SUMIFS(Data!$F$6:$F$1085,Data!$A$6:$A$1085,Exec_Summary!$C$4,Data!$D$6:$D$1085,$B37,Data!$E$6:$E$1085,C$36))</f>
        <v>245812</v>
      </c>
      <c r="D37" s="36" t="n">
        <f aca="false">ABS(SUMIFS(Data!$G$6:$G$1085,Data!$A$6:$A$1085,Exec_Summary!$C$4,Data!$D$6:$D$1085,$B37,Data!$E$6:$E$1085,D$36)-SUMIFS(Data!$F$6:$F$1085,Data!$A$6:$A$1085,Exec_Summary!$C$4,Data!$D$6:$D$1085,$B37,Data!$E$6:$E$1085,D$36))</f>
        <v>188194</v>
      </c>
      <c r="E37" s="36" t="n">
        <f aca="false">ABS(SUMIFS(Data!$G$6:$G$1085,Data!$A$6:$A$1085,Exec_Summary!$C$4,Data!$D$6:$D$1085,$B37,Data!$E$6:$E$1085,E$36)-SUMIFS(Data!$F$6:$F$1085,Data!$A$6:$A$1085,Exec_Summary!$C$4,Data!$D$6:$D$1085,$B37,Data!$E$6:$E$1085,E$36))</f>
        <v>141872</v>
      </c>
      <c r="F37" s="36" t="n">
        <f aca="false">ABS(SUMIFS(Data!$G$6:$G$1085,Data!$A$6:$A$1085,Exec_Summary!$C$4,Data!$D$6:$D$1085,$B37,Data!$E$6:$E$1085,F$36)-SUMIFS(Data!$F$6:$F$1085,Data!$A$6:$A$1085,Exec_Summary!$C$4,Data!$D$6:$D$1085,$B37,Data!$E$6:$E$1085,F$36))</f>
        <v>153750</v>
      </c>
      <c r="G37" s="36" t="n">
        <f aca="false">ABS(SUMIFS(Data!$G$6:$G$1085,Data!$A$6:$A$1085,Exec_Summary!$C$4,Data!$D$6:$D$1085,$B37,Data!$E$6:$E$1085,G$36)-SUMIFS(Data!$F$6:$F$1085,Data!$A$6:$A$1085,Exec_Summary!$C$4,Data!$D$6:$D$1085,$B37,Data!$E$6:$E$1085,G$36))</f>
        <v>284977</v>
      </c>
      <c r="H37" s="36" t="n">
        <f aca="false">ABS(SUMIFS(Data!$G$6:$G$1085,Data!$A$6:$A$1085,Exec_Summary!$C$4,Data!$D$6:$D$1085,$B37,Data!$E$6:$E$1085,H$36)-SUMIFS(Data!$F$6:$F$1085,Data!$A$6:$A$1085,Exec_Summary!$C$4,Data!$D$6:$D$1085,$B37,Data!$E$6:$E$1085,H$36))</f>
        <v>84475</v>
      </c>
      <c r="I37" s="38" t="n">
        <f aca="false">SUM(C37:H37)</f>
        <v>1099080</v>
      </c>
    </row>
    <row r="38" customFormat="false" ht="15" hidden="false" customHeight="false" outlineLevel="0" collapsed="false">
      <c r="B38" s="4" t="s">
        <v>34</v>
      </c>
      <c r="C38" s="36" t="n">
        <f aca="false">ABS(SUMIFS(Data!$G$6:$G$1085,Data!$A$6:$A$1085,Exec_Summary!$C$4,Data!$D$6:$D$1085,$B38,Data!$E$6:$E$1085,C$36)-SUMIFS(Data!$F$6:$F$1085,Data!$A$6:$A$1085,Exec_Summary!$C$4,Data!$D$6:$D$1085,$B38,Data!$E$6:$E$1085,C$36))</f>
        <v>452666</v>
      </c>
      <c r="D38" s="36" t="n">
        <f aca="false">ABS(SUMIFS(Data!$G$6:$G$1085,Data!$A$6:$A$1085,Exec_Summary!$C$4,Data!$D$6:$D$1085,$B38,Data!$E$6:$E$1085,D$36)-SUMIFS(Data!$F$6:$F$1085,Data!$A$6:$A$1085,Exec_Summary!$C$4,Data!$D$6:$D$1085,$B38,Data!$E$6:$E$1085,D$36))</f>
        <v>472827</v>
      </c>
      <c r="E38" s="36" t="n">
        <f aca="false">ABS(SUMIFS(Data!$G$6:$G$1085,Data!$A$6:$A$1085,Exec_Summary!$C$4,Data!$D$6:$D$1085,$B38,Data!$E$6:$E$1085,E$36)-SUMIFS(Data!$F$6:$F$1085,Data!$A$6:$A$1085,Exec_Summary!$C$4,Data!$D$6:$D$1085,$B38,Data!$E$6:$E$1085,E$36))</f>
        <v>491912</v>
      </c>
      <c r="F38" s="36" t="n">
        <f aca="false">ABS(SUMIFS(Data!$G$6:$G$1085,Data!$A$6:$A$1085,Exec_Summary!$C$4,Data!$D$6:$D$1085,$B38,Data!$E$6:$E$1085,F$36)-SUMIFS(Data!$F$6:$F$1085,Data!$A$6:$A$1085,Exec_Summary!$C$4,Data!$D$6:$D$1085,$B38,Data!$E$6:$E$1085,F$36))</f>
        <v>749785</v>
      </c>
      <c r="G38" s="36" t="n">
        <f aca="false">ABS(SUMIFS(Data!$G$6:$G$1085,Data!$A$6:$A$1085,Exec_Summary!$C$4,Data!$D$6:$D$1085,$B38,Data!$E$6:$E$1085,G$36)-SUMIFS(Data!$F$6:$F$1085,Data!$A$6:$A$1085,Exec_Summary!$C$4,Data!$D$6:$D$1085,$B38,Data!$E$6:$E$1085,G$36))</f>
        <v>361038</v>
      </c>
      <c r="H38" s="36" t="n">
        <f aca="false">ABS(SUMIFS(Data!$G$6:$G$1085,Data!$A$6:$A$1085,Exec_Summary!$C$4,Data!$D$6:$D$1085,$B38,Data!$E$6:$E$1085,H$36)-SUMIFS(Data!$F$6:$F$1085,Data!$A$6:$A$1085,Exec_Summary!$C$4,Data!$D$6:$D$1085,$B38,Data!$E$6:$E$1085,H$36))</f>
        <v>183649</v>
      </c>
      <c r="I38" s="38" t="n">
        <f aca="false">SUM(C38:H38)</f>
        <v>2711877</v>
      </c>
    </row>
    <row r="39" customFormat="false" ht="15" hidden="false" customHeight="false" outlineLevel="0" collapsed="false">
      <c r="B39" s="4" t="s">
        <v>35</v>
      </c>
      <c r="C39" s="36" t="n">
        <f aca="false">ABS(SUMIFS(Data!$G$6:$G$1085,Data!$A$6:$A$1085,Exec_Summary!$C$4,Data!$D$6:$D$1085,$B39,Data!$E$6:$E$1085,C$36)-SUMIFS(Data!$F$6:$F$1085,Data!$A$6:$A$1085,Exec_Summary!$C$4,Data!$D$6:$D$1085,$B39,Data!$E$6:$E$1085,C$36))</f>
        <v>464294</v>
      </c>
      <c r="D39" s="36" t="n">
        <f aca="false">ABS(SUMIFS(Data!$G$6:$G$1085,Data!$A$6:$A$1085,Exec_Summary!$C$4,Data!$D$6:$D$1085,$B39,Data!$E$6:$E$1085,D$36)-SUMIFS(Data!$F$6:$F$1085,Data!$A$6:$A$1085,Exec_Summary!$C$4,Data!$D$6:$D$1085,$B39,Data!$E$6:$E$1085,D$36))</f>
        <v>300515</v>
      </c>
      <c r="E39" s="36" t="n">
        <f aca="false">ABS(SUMIFS(Data!$G$6:$G$1085,Data!$A$6:$A$1085,Exec_Summary!$C$4,Data!$D$6:$D$1085,$B39,Data!$E$6:$E$1085,E$36)-SUMIFS(Data!$F$6:$F$1085,Data!$A$6:$A$1085,Exec_Summary!$C$4,Data!$D$6:$D$1085,$B39,Data!$E$6:$E$1085,E$36))</f>
        <v>335871</v>
      </c>
      <c r="F39" s="36" t="n">
        <f aca="false">ABS(SUMIFS(Data!$G$6:$G$1085,Data!$A$6:$A$1085,Exec_Summary!$C$4,Data!$D$6:$D$1085,$B39,Data!$E$6:$E$1085,F$36)-SUMIFS(Data!$F$6:$F$1085,Data!$A$6:$A$1085,Exec_Summary!$C$4,Data!$D$6:$D$1085,$B39,Data!$E$6:$E$1085,F$36))</f>
        <v>330163</v>
      </c>
      <c r="G39" s="36" t="n">
        <f aca="false">ABS(SUMIFS(Data!$G$6:$G$1085,Data!$A$6:$A$1085,Exec_Summary!$C$4,Data!$D$6:$D$1085,$B39,Data!$E$6:$E$1085,G$36)-SUMIFS(Data!$F$6:$F$1085,Data!$A$6:$A$1085,Exec_Summary!$C$4,Data!$D$6:$D$1085,$B39,Data!$E$6:$E$1085,G$36))</f>
        <v>472994</v>
      </c>
      <c r="H39" s="36" t="n">
        <f aca="false">ABS(SUMIFS(Data!$G$6:$G$1085,Data!$A$6:$A$1085,Exec_Summary!$C$4,Data!$D$6:$D$1085,$B39,Data!$E$6:$E$1085,H$36)-SUMIFS(Data!$F$6:$F$1085,Data!$A$6:$A$1085,Exec_Summary!$C$4,Data!$D$6:$D$1085,$B39,Data!$E$6:$E$1085,H$36))</f>
        <v>128688</v>
      </c>
      <c r="I39" s="38" t="n">
        <f aca="false">SUM(C39:H39)</f>
        <v>2032525</v>
      </c>
    </row>
    <row r="40" customFormat="false" ht="15" hidden="false" customHeight="false" outlineLevel="0" collapsed="false">
      <c r="B40" s="4" t="s">
        <v>36</v>
      </c>
      <c r="C40" s="36" t="n">
        <f aca="false">ABS(SUMIFS(Data!$G$6:$G$1085,Data!$A$6:$A$1085,Exec_Summary!$C$4,Data!$D$6:$D$1085,$B40,Data!$E$6:$E$1085,C$36)-SUMIFS(Data!$F$6:$F$1085,Data!$A$6:$A$1085,Exec_Summary!$C$4,Data!$D$6:$D$1085,$B40,Data!$E$6:$E$1085,C$36))</f>
        <v>522558</v>
      </c>
      <c r="D40" s="36" t="n">
        <f aca="false">ABS(SUMIFS(Data!$G$6:$G$1085,Data!$A$6:$A$1085,Exec_Summary!$C$4,Data!$D$6:$D$1085,$B40,Data!$E$6:$E$1085,D$36)-SUMIFS(Data!$F$6:$F$1085,Data!$A$6:$A$1085,Exec_Summary!$C$4,Data!$D$6:$D$1085,$B40,Data!$E$6:$E$1085,D$36))</f>
        <v>420832</v>
      </c>
      <c r="E40" s="36" t="n">
        <f aca="false">ABS(SUMIFS(Data!$G$6:$G$1085,Data!$A$6:$A$1085,Exec_Summary!$C$4,Data!$D$6:$D$1085,$B40,Data!$E$6:$E$1085,E$36)-SUMIFS(Data!$F$6:$F$1085,Data!$A$6:$A$1085,Exec_Summary!$C$4,Data!$D$6:$D$1085,$B40,Data!$E$6:$E$1085,E$36))</f>
        <v>363703</v>
      </c>
      <c r="F40" s="36" t="n">
        <f aca="false">ABS(SUMIFS(Data!$G$6:$G$1085,Data!$A$6:$A$1085,Exec_Summary!$C$4,Data!$D$6:$D$1085,$B40,Data!$E$6:$E$1085,F$36)-SUMIFS(Data!$F$6:$F$1085,Data!$A$6:$A$1085,Exec_Summary!$C$4,Data!$D$6:$D$1085,$B40,Data!$E$6:$E$1085,F$36))</f>
        <v>264837</v>
      </c>
      <c r="G40" s="36" t="n">
        <f aca="false">ABS(SUMIFS(Data!$G$6:$G$1085,Data!$A$6:$A$1085,Exec_Summary!$C$4,Data!$D$6:$D$1085,$B40,Data!$E$6:$E$1085,G$36)-SUMIFS(Data!$F$6:$F$1085,Data!$A$6:$A$1085,Exec_Summary!$C$4,Data!$D$6:$D$1085,$B40,Data!$E$6:$E$1085,G$36))</f>
        <v>299675</v>
      </c>
      <c r="H40" s="36" t="n">
        <f aca="false">ABS(SUMIFS(Data!$G$6:$G$1085,Data!$A$6:$A$1085,Exec_Summary!$C$4,Data!$D$6:$D$1085,$B40,Data!$E$6:$E$1085,H$36)-SUMIFS(Data!$F$6:$F$1085,Data!$A$6:$A$1085,Exec_Summary!$C$4,Data!$D$6:$D$1085,$B40,Data!$E$6:$E$1085,H$36))</f>
        <v>217924</v>
      </c>
      <c r="I40" s="38" t="n">
        <f aca="false">SUM(C40:H40)</f>
        <v>2089529</v>
      </c>
    </row>
    <row r="41" customFormat="false" ht="15" hidden="false" customHeight="false" outlineLevel="0" collapsed="false">
      <c r="B41" s="4" t="s">
        <v>37</v>
      </c>
      <c r="C41" s="36" t="n">
        <f aca="false">ABS(SUMIFS(Data!$G$6:$G$1085,Data!$A$6:$A$1085,Exec_Summary!$C$4,Data!$D$6:$D$1085,$B41,Data!$E$6:$E$1085,C$36)-SUMIFS(Data!$F$6:$F$1085,Data!$A$6:$A$1085,Exec_Summary!$C$4,Data!$D$6:$D$1085,$B41,Data!$E$6:$E$1085,C$36))</f>
        <v>52144</v>
      </c>
      <c r="D41" s="36" t="n">
        <f aca="false">ABS(SUMIFS(Data!$G$6:$G$1085,Data!$A$6:$A$1085,Exec_Summary!$C$4,Data!$D$6:$D$1085,$B41,Data!$E$6:$E$1085,D$36)-SUMIFS(Data!$F$6:$F$1085,Data!$A$6:$A$1085,Exec_Summary!$C$4,Data!$D$6:$D$1085,$B41,Data!$E$6:$E$1085,D$36))</f>
        <v>35894</v>
      </c>
      <c r="E41" s="36" t="n">
        <f aca="false">ABS(SUMIFS(Data!$G$6:$G$1085,Data!$A$6:$A$1085,Exec_Summary!$C$4,Data!$D$6:$D$1085,$B41,Data!$E$6:$E$1085,E$36)-SUMIFS(Data!$F$6:$F$1085,Data!$A$6:$A$1085,Exec_Summary!$C$4,Data!$D$6:$D$1085,$B41,Data!$E$6:$E$1085,E$36))</f>
        <v>4046</v>
      </c>
      <c r="F41" s="36" t="n">
        <f aca="false">ABS(SUMIFS(Data!$G$6:$G$1085,Data!$A$6:$A$1085,Exec_Summary!$C$4,Data!$D$6:$D$1085,$B41,Data!$E$6:$E$1085,F$36)-SUMIFS(Data!$F$6:$F$1085,Data!$A$6:$A$1085,Exec_Summary!$C$4,Data!$D$6:$D$1085,$B41,Data!$E$6:$E$1085,F$36))</f>
        <v>120926</v>
      </c>
      <c r="G41" s="36" t="n">
        <f aca="false">ABS(SUMIFS(Data!$G$6:$G$1085,Data!$A$6:$A$1085,Exec_Summary!$C$4,Data!$D$6:$D$1085,$B41,Data!$E$6:$E$1085,G$36)-SUMIFS(Data!$F$6:$F$1085,Data!$A$6:$A$1085,Exec_Summary!$C$4,Data!$D$6:$D$1085,$B41,Data!$E$6:$E$1085,G$36))</f>
        <v>41844</v>
      </c>
      <c r="H41" s="36" t="n">
        <f aca="false">ABS(SUMIFS(Data!$G$6:$G$1085,Data!$A$6:$A$1085,Exec_Summary!$C$4,Data!$D$6:$D$1085,$B41,Data!$E$6:$E$1085,H$36)-SUMIFS(Data!$F$6:$F$1085,Data!$A$6:$A$1085,Exec_Summary!$C$4,Data!$D$6:$D$1085,$B41,Data!$E$6:$E$1085,H$36))</f>
        <v>1652</v>
      </c>
      <c r="I41" s="38" t="n">
        <f aca="false">SUM(C41:H41)</f>
        <v>256506</v>
      </c>
    </row>
    <row r="42" customFormat="false" ht="15" hidden="false" customHeight="false" outlineLevel="0" collapsed="false">
      <c r="B42" s="28" t="s">
        <v>56</v>
      </c>
      <c r="C42" s="29" t="n">
        <f aca="false">SUM(I37:I41)</f>
        <v>8189517</v>
      </c>
    </row>
    <row r="43" customFormat="false" ht="15" hidden="false" customHeight="false" outlineLevel="0" collapsed="false">
      <c r="B43" s="4" t="s">
        <v>57</v>
      </c>
      <c r="C43" s="16" t="n">
        <f aca="false">I34</f>
        <v>175860622</v>
      </c>
    </row>
    <row r="44" customFormat="false" ht="15" hidden="false" customHeight="false" outlineLevel="0" collapsed="false">
      <c r="B44" s="4" t="s">
        <v>58</v>
      </c>
      <c r="C44" s="39" t="n">
        <f aca="false">C42/C43</f>
        <v>0.0465682249207557</v>
      </c>
    </row>
  </sheetData>
  <mergeCells count="2">
    <mergeCell ref="B1:I1"/>
    <mergeCell ref="B2:I2"/>
  </mergeCells>
  <conditionalFormatting sqref="C5:H9">
    <cfRule type="colorScale" priority="2">
      <colorScale>
        <cfvo type="min" val="0"/>
        <cfvo type="percentile" val="50"/>
        <cfvo type="max" val="0"/>
        <color rgb="FFF4B6AE"/>
        <color rgb="FFFFF4CC"/>
        <color rgb="FFB7E1CD"/>
      </colorScale>
    </cfRule>
  </conditionalFormatting>
  <conditionalFormatting sqref="C13:H17">
    <cfRule type="colorScale" priority="3">
      <colorScale>
        <cfvo type="min" val="0"/>
        <cfvo type="percentile" val="50"/>
        <cfvo type="max" val="0"/>
        <color rgb="FFF4B6AE"/>
        <color rgb="FFFFF4CC"/>
        <color rgb="FFB7E1CD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14"/>
  </cols>
  <sheetData>
    <row r="1" customFormat="false" ht="30" hidden="false" customHeight="true" outlineLevel="0" collapsed="false">
      <c r="A1" s="1"/>
      <c r="B1" s="2" t="s">
        <v>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B2" s="3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B3" s="4" t="s">
        <v>61</v>
      </c>
      <c r="C3" s="7" t="str">
        <f aca="false">Exec_Summary!C4</f>
        <v>FY26</v>
      </c>
    </row>
    <row r="5" customFormat="false" ht="30" hidden="false" customHeight="true" outlineLevel="0" collapsed="false">
      <c r="B5" s="13" t="s">
        <v>62</v>
      </c>
      <c r="C5" s="14" t="s">
        <v>63</v>
      </c>
    </row>
    <row r="6" customFormat="false" ht="15" hidden="false" customHeight="false" outlineLevel="0" collapsed="false">
      <c r="B6" s="4" t="s">
        <v>64</v>
      </c>
      <c r="C6" s="40" t="n">
        <f aca="false">I20</f>
        <v>43196410</v>
      </c>
    </row>
    <row r="7" customFormat="false" ht="15" hidden="false" customHeight="false" outlineLevel="0" collapsed="false">
      <c r="B7" s="20" t="s">
        <v>65</v>
      </c>
      <c r="C7" s="16" t="n">
        <f aca="false">J20</f>
        <v>-767006.985370329</v>
      </c>
    </row>
    <row r="8" customFormat="false" ht="15" hidden="false" customHeight="false" outlineLevel="0" collapsed="false">
      <c r="B8" s="20" t="s">
        <v>66</v>
      </c>
      <c r="C8" s="16" t="n">
        <f aca="false">K20</f>
        <v>-2293774.30018091</v>
      </c>
    </row>
    <row r="9" customFormat="false" ht="15" hidden="false" customHeight="false" outlineLevel="0" collapsed="false">
      <c r="B9" s="20" t="s">
        <v>67</v>
      </c>
      <c r="C9" s="16" t="n">
        <f aca="false">L20</f>
        <v>-577251.714448756</v>
      </c>
    </row>
    <row r="10" customFormat="false" ht="15" hidden="false" customHeight="false" outlineLevel="0" collapsed="false">
      <c r="B10" s="4" t="s">
        <v>68</v>
      </c>
      <c r="C10" s="29" t="n">
        <f aca="false">SUM(C6:C9)</f>
        <v>39558377</v>
      </c>
    </row>
    <row r="13" customFormat="false" ht="15" hidden="false" customHeight="false" outlineLevel="0" collapsed="false">
      <c r="B13" s="11" t="s">
        <v>69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30" hidden="false" customHeight="true" outlineLevel="0" collapsed="false">
      <c r="B14" s="13" t="s">
        <v>50</v>
      </c>
      <c r="C14" s="14" t="s">
        <v>70</v>
      </c>
      <c r="D14" s="14" t="s">
        <v>71</v>
      </c>
      <c r="E14" s="14" t="s">
        <v>72</v>
      </c>
      <c r="F14" s="14" t="s">
        <v>73</v>
      </c>
      <c r="G14" s="14" t="s">
        <v>74</v>
      </c>
      <c r="H14" s="14" t="s">
        <v>75</v>
      </c>
      <c r="I14" s="14" t="s">
        <v>76</v>
      </c>
      <c r="J14" s="14" t="s">
        <v>77</v>
      </c>
      <c r="K14" s="14" t="s">
        <v>78</v>
      </c>
      <c r="L14" s="14" t="s">
        <v>79</v>
      </c>
      <c r="M14" s="14" t="s">
        <v>80</v>
      </c>
      <c r="N14" s="14" t="s">
        <v>81</v>
      </c>
    </row>
    <row r="15" customFormat="false" ht="15" hidden="false" customHeight="false" outlineLevel="0" collapsed="false">
      <c r="B15" s="4" t="s">
        <v>33</v>
      </c>
      <c r="C15" s="15" t="n">
        <f aca="false">SUMIFS(Data!$F$6:$F$1085,Data!$A$6:$A$1085,Exec_Summary!$C$4,Data!$D$6:$D$1085,$B15)</f>
        <v>52900847</v>
      </c>
      <c r="D15" s="15" t="n">
        <f aca="false">SUMIFS(Data!$G$6:$G$1085,Data!$A$6:$A$1085,Exec_Summary!$C$4,Data!$D$6:$D$1085,$B15)</f>
        <v>51801767</v>
      </c>
      <c r="E15" s="15" t="n">
        <f aca="false">SUMIFS(Data!$H$6:$H$1085,Data!$A$6:$A$1085,Exec_Summary!$C$4,Data!$D$6:$D$1085,$B15)</f>
        <v>30391533</v>
      </c>
      <c r="F15" s="15" t="n">
        <f aca="false">SUMIFS(Data!$I$6:$I$1085,Data!$A$6:$A$1085,Exec_Summary!$C$4,Data!$D$6:$D$1085,$B15)</f>
        <v>30276738</v>
      </c>
      <c r="G15" s="15" t="n">
        <f aca="false">SUMIFS(Data!$J$6:$J$1085,Data!$A$6:$A$1085,Exec_Summary!$C$4,Data!$D$6:$D$1085,$B15)</f>
        <v>8649288</v>
      </c>
      <c r="H15" s="15" t="n">
        <f aca="false">SUMIFS(Data!$K$6:$K$1085,Data!$A$6:$A$1085,Exec_Summary!$C$4,Data!$D$6:$D$1085,$B15)</f>
        <v>8591213</v>
      </c>
      <c r="I15" s="16" t="n">
        <f aca="false">C15-E15-G15</f>
        <v>13860026</v>
      </c>
      <c r="J15" s="16" t="n">
        <f aca="false">(D15-C15)*(1-E15/C15-G15/C15)</f>
        <v>-287959.044891663</v>
      </c>
      <c r="K15" s="16" t="n">
        <f aca="false">-D15*(F15/D15-E15/C15)</f>
        <v>-516626.385174416</v>
      </c>
      <c r="L15" s="16" t="n">
        <f aca="false">-D15*(H15/D15-G15/C15)</f>
        <v>-121624.569933919</v>
      </c>
      <c r="M15" s="16" t="n">
        <f aca="false">SUM(I15:L15)</f>
        <v>12933816</v>
      </c>
      <c r="N15" s="41" t="n">
        <f aca="false">ROUND(M15-(D15-F15-H15),2)</f>
        <v>0</v>
      </c>
    </row>
    <row r="16" customFormat="false" ht="15" hidden="false" customHeight="false" outlineLevel="0" collapsed="false">
      <c r="B16" s="4" t="s">
        <v>34</v>
      </c>
      <c r="C16" s="15" t="n">
        <f aca="false">SUMIFS(Data!$F$6:$F$1085,Data!$A$6:$A$1085,Exec_Summary!$C$4,Data!$D$6:$D$1085,$B16)</f>
        <v>39576220</v>
      </c>
      <c r="D16" s="15" t="n">
        <f aca="false">SUMIFS(Data!$G$6:$G$1085,Data!$A$6:$A$1085,Exec_Summary!$C$4,Data!$D$6:$D$1085,$B16)</f>
        <v>36864343</v>
      </c>
      <c r="E16" s="15" t="n">
        <f aca="false">SUMIFS(Data!$H$6:$H$1085,Data!$A$6:$A$1085,Exec_Summary!$C$4,Data!$D$6:$D$1085,$B16)</f>
        <v>24715353</v>
      </c>
      <c r="F16" s="15" t="n">
        <f aca="false">SUMIFS(Data!$I$6:$I$1085,Data!$A$6:$A$1085,Exec_Summary!$C$4,Data!$D$6:$D$1085,$B16)</f>
        <v>23278541</v>
      </c>
      <c r="G16" s="15" t="n">
        <f aca="false">SUMIFS(Data!$J$6:$J$1085,Data!$A$6:$A$1085,Exec_Summary!$C$4,Data!$D$6:$D$1085,$B16)</f>
        <v>5877067</v>
      </c>
      <c r="H16" s="15" t="n">
        <f aca="false">SUMIFS(Data!$K$6:$K$1085,Data!$A$6:$A$1085,Exec_Summary!$C$4,Data!$D$6:$D$1085,$B16)</f>
        <v>5785318</v>
      </c>
      <c r="I16" s="16" t="n">
        <f aca="false">C16-E16-G16</f>
        <v>8983800</v>
      </c>
      <c r="J16" s="16" t="n">
        <f aca="false">(D16-C16)*(1-E16/C16-G16/C16)</f>
        <v>-615595.946065592</v>
      </c>
      <c r="K16" s="16" t="n">
        <f aca="false">-D16*(F16/D16-E16/C16)</f>
        <v>-256755.433867637</v>
      </c>
      <c r="L16" s="16" t="n">
        <f aca="false">-D16*(H16/D16-G16/C16)</f>
        <v>-310964.620066772</v>
      </c>
      <c r="M16" s="16" t="n">
        <f aca="false">SUM(I16:L16)</f>
        <v>7800484</v>
      </c>
      <c r="N16" s="41" t="n">
        <f aca="false">ROUND(M16-(D16-F16-H16),2)</f>
        <v>0</v>
      </c>
    </row>
    <row r="17" customFormat="false" ht="15" hidden="false" customHeight="false" outlineLevel="0" collapsed="false">
      <c r="B17" s="4" t="s">
        <v>35</v>
      </c>
      <c r="C17" s="15" t="n">
        <f aca="false">SUMIFS(Data!$F$6:$F$1085,Data!$A$6:$A$1085,Exec_Summary!$C$4,Data!$D$6:$D$1085,$B17)</f>
        <v>28479528</v>
      </c>
      <c r="D17" s="15" t="n">
        <f aca="false">SUMIFS(Data!$G$6:$G$1085,Data!$A$6:$A$1085,Exec_Summary!$C$4,Data!$D$6:$D$1085,$B17)</f>
        <v>30512053</v>
      </c>
      <c r="E17" s="15" t="n">
        <f aca="false">SUMIFS(Data!$H$6:$H$1085,Data!$A$6:$A$1085,Exec_Summary!$C$4,Data!$D$6:$D$1085,$B17)</f>
        <v>15507102</v>
      </c>
      <c r="F17" s="15" t="n">
        <f aca="false">SUMIFS(Data!$I$6:$I$1085,Data!$A$6:$A$1085,Exec_Summary!$C$4,Data!$D$6:$D$1085,$B17)</f>
        <v>16897534</v>
      </c>
      <c r="G17" s="15" t="n">
        <f aca="false">SUMIFS(Data!$J$6:$J$1085,Data!$A$6:$A$1085,Exec_Summary!$C$4,Data!$D$6:$D$1085,$B17)</f>
        <v>4514005</v>
      </c>
      <c r="H17" s="15" t="n">
        <f aca="false">SUMIFS(Data!$K$6:$K$1085,Data!$A$6:$A$1085,Exec_Summary!$C$4,Data!$D$6:$D$1085,$B17)</f>
        <v>4849356</v>
      </c>
      <c r="I17" s="16" t="n">
        <f aca="false">C17-E17-G17</f>
        <v>8458421</v>
      </c>
      <c r="J17" s="16" t="n">
        <f aca="false">(D17-C17)*(1-E17/C17-G17/C17)</f>
        <v>603660.009499631</v>
      </c>
      <c r="K17" s="16" t="n">
        <f aca="false">-D17*(F17/D17-E17/C17)</f>
        <v>-283722.208582459</v>
      </c>
      <c r="L17" s="16" t="n">
        <f aca="false">-D17*(H17/D17-G17/C17)</f>
        <v>-13195.800917171</v>
      </c>
      <c r="M17" s="16" t="n">
        <f aca="false">SUM(I17:L17)</f>
        <v>8765163</v>
      </c>
      <c r="N17" s="41" t="n">
        <f aca="false">ROUND(M17-(D17-F17-H17),2)</f>
        <v>0</v>
      </c>
    </row>
    <row r="18" customFormat="false" ht="15" hidden="false" customHeight="false" outlineLevel="0" collapsed="false">
      <c r="B18" s="4" t="s">
        <v>36</v>
      </c>
      <c r="C18" s="15" t="n">
        <f aca="false">SUMIFS(Data!$F$6:$F$1085,Data!$A$6:$A$1085,Exec_Summary!$C$4,Data!$D$6:$D$1085,$B18)</f>
        <v>34095118</v>
      </c>
      <c r="D18" s="15" t="n">
        <f aca="false">SUMIFS(Data!$G$6:$G$1085,Data!$A$6:$A$1085,Exec_Summary!$C$4,Data!$D$6:$D$1085,$B18)</f>
        <v>32005589</v>
      </c>
      <c r="E18" s="15" t="n">
        <f aca="false">SUMIFS(Data!$H$6:$H$1085,Data!$A$6:$A$1085,Exec_Summary!$C$4,Data!$D$6:$D$1085,$B18)</f>
        <v>22997151</v>
      </c>
      <c r="F18" s="15" t="n">
        <f aca="false">SUMIFS(Data!$I$6:$I$1085,Data!$A$6:$A$1085,Exec_Summary!$C$4,Data!$D$6:$D$1085,$B18)</f>
        <v>22643499</v>
      </c>
      <c r="G18" s="15" t="n">
        <f aca="false">SUMIFS(Data!$J$6:$J$1085,Data!$A$6:$A$1085,Exec_Summary!$C$4,Data!$D$6:$D$1085,$B18)</f>
        <v>4551699</v>
      </c>
      <c r="H18" s="15" t="n">
        <f aca="false">SUMIFS(Data!$K$6:$K$1085,Data!$A$6:$A$1085,Exec_Summary!$C$4,Data!$D$6:$D$1085,$B18)</f>
        <v>4362377</v>
      </c>
      <c r="I18" s="16" t="n">
        <f aca="false">C18-E18-G18</f>
        <v>6546268</v>
      </c>
      <c r="J18" s="16" t="n">
        <f aca="false">(D18-C18)*(1-E18/C18-G18/C18)</f>
        <v>-401189.895508559</v>
      </c>
      <c r="K18" s="16" t="n">
        <f aca="false">-D18*(F18/D18-E18/C18)</f>
        <v>-1055734.93721133</v>
      </c>
      <c r="L18" s="16" t="n">
        <f aca="false">-D18*(H18/D18-G18/C18)</f>
        <v>-89630.1672801068</v>
      </c>
      <c r="M18" s="16" t="n">
        <f aca="false">SUM(I18:L18)</f>
        <v>4999713</v>
      </c>
      <c r="N18" s="41" t="n">
        <f aca="false">ROUND(M18-(D18-F18-H18),2)</f>
        <v>0</v>
      </c>
    </row>
    <row r="19" customFormat="false" ht="15" hidden="false" customHeight="false" outlineLevel="0" collapsed="false">
      <c r="B19" s="4" t="s">
        <v>37</v>
      </c>
      <c r="C19" s="15" t="n">
        <f aca="false">SUMIFS(Data!$F$6:$F$1085,Data!$A$6:$A$1085,Exec_Summary!$C$4,Data!$D$6:$D$1085,$B19)</f>
        <v>20808909</v>
      </c>
      <c r="D19" s="15" t="n">
        <f aca="false">SUMIFS(Data!$G$6:$G$1085,Data!$A$6:$A$1085,Exec_Summary!$C$4,Data!$D$6:$D$1085,$B19)</f>
        <v>20552403</v>
      </c>
      <c r="E19" s="15" t="n">
        <f aca="false">SUMIFS(Data!$H$6:$H$1085,Data!$A$6:$A$1085,Exec_Summary!$C$4,Data!$D$6:$D$1085,$B19)</f>
        <v>12474940</v>
      </c>
      <c r="F19" s="15" t="n">
        <f aca="false">SUMIFS(Data!$I$6:$I$1085,Data!$A$6:$A$1085,Exec_Summary!$C$4,Data!$D$6:$D$1085,$B19)</f>
        <v>12502100</v>
      </c>
      <c r="G19" s="15" t="n">
        <f aca="false">SUMIFS(Data!$J$6:$J$1085,Data!$A$6:$A$1085,Exec_Summary!$C$4,Data!$D$6:$D$1085,$B19)</f>
        <v>2986074</v>
      </c>
      <c r="H19" s="15" t="n">
        <f aca="false">SUMIFS(Data!$K$6:$K$1085,Data!$A$6:$A$1085,Exec_Summary!$C$4,Data!$D$6:$D$1085,$B19)</f>
        <v>2991102</v>
      </c>
      <c r="I19" s="16" t="n">
        <f aca="false">C19-E19-G19</f>
        <v>5347895</v>
      </c>
      <c r="J19" s="16" t="n">
        <f aca="false">(D19-C19)*(1-E19/C19-G19/C19)</f>
        <v>-65922.1084041456</v>
      </c>
      <c r="K19" s="16" t="n">
        <f aca="false">-D19*(F19/D19-E19/C19)</f>
        <v>-180935.335345069</v>
      </c>
      <c r="L19" s="16" t="n">
        <f aca="false">-D19*(H19/D19-G19/C19)</f>
        <v>-41836.5562507869</v>
      </c>
      <c r="M19" s="16" t="n">
        <f aca="false">SUM(I19:L19)</f>
        <v>5059201</v>
      </c>
      <c r="N19" s="41" t="n">
        <f aca="false">ROUND(M19-(D19-F19-H19),2)</f>
        <v>0</v>
      </c>
    </row>
    <row r="20" customFormat="false" ht="15" hidden="false" customHeight="false" outlineLevel="0" collapsed="false">
      <c r="B20" s="28" t="s">
        <v>38</v>
      </c>
      <c r="C20" s="29" t="n">
        <f aca="false">SUM(C15:C19)</f>
        <v>175860622</v>
      </c>
      <c r="D20" s="29" t="n">
        <f aca="false">SUM(D15:D19)</f>
        <v>171736155</v>
      </c>
      <c r="E20" s="29" t="n">
        <f aca="false">SUM(E15:E19)</f>
        <v>106086079</v>
      </c>
      <c r="F20" s="29" t="n">
        <f aca="false">SUM(F15:F19)</f>
        <v>105598412</v>
      </c>
      <c r="G20" s="29" t="n">
        <f aca="false">SUM(G15:G19)</f>
        <v>26578133</v>
      </c>
      <c r="H20" s="29" t="n">
        <f aca="false">SUM(H15:H19)</f>
        <v>26579366</v>
      </c>
      <c r="I20" s="29" t="n">
        <f aca="false">SUM(I15:I19)</f>
        <v>43196410</v>
      </c>
      <c r="J20" s="29" t="n">
        <f aca="false">SUM(J15:J19)</f>
        <v>-767006.985370329</v>
      </c>
      <c r="K20" s="29" t="n">
        <f aca="false">SUM(K15:K19)</f>
        <v>-2293774.30018091</v>
      </c>
      <c r="L20" s="29" t="n">
        <f aca="false">SUM(L15:L19)</f>
        <v>-577251.714448756</v>
      </c>
      <c r="M20" s="29" t="n">
        <f aca="false">SUM(M15:M19)</f>
        <v>39558377</v>
      </c>
      <c r="N20" s="42" t="n">
        <f aca="false">SUM(N15:N19)</f>
        <v>0</v>
      </c>
    </row>
    <row r="23" customFormat="false" ht="15" hidden="false" customHeight="false" outlineLevel="0" collapsed="false">
      <c r="B23" s="11" t="s">
        <v>82</v>
      </c>
      <c r="C23" s="12"/>
      <c r="D23" s="12"/>
      <c r="E23" s="12"/>
      <c r="F23" s="12"/>
      <c r="G23" s="12"/>
      <c r="H23" s="12"/>
      <c r="I23" s="12"/>
    </row>
    <row r="24" customFormat="false" ht="30" hidden="false" customHeight="true" outlineLevel="0" collapsed="false">
      <c r="B24" s="13" t="s">
        <v>62</v>
      </c>
      <c r="C24" s="14" t="s">
        <v>83</v>
      </c>
      <c r="D24" s="14" t="s">
        <v>84</v>
      </c>
      <c r="E24" s="14" t="s">
        <v>85</v>
      </c>
      <c r="F24" s="14" t="s">
        <v>86</v>
      </c>
      <c r="G24" s="14" t="s">
        <v>87</v>
      </c>
      <c r="H24" s="14" t="s">
        <v>38</v>
      </c>
    </row>
    <row r="25" customFormat="false" ht="15" hidden="false" customHeight="false" outlineLevel="0" collapsed="false">
      <c r="B25" s="20" t="s">
        <v>76</v>
      </c>
      <c r="C25" s="16" t="n">
        <f aca="false">C6</f>
        <v>43196410</v>
      </c>
      <c r="D25" s="16" t="n">
        <f aca="false">C25</f>
        <v>43196410</v>
      </c>
      <c r="E25" s="16" t="n">
        <f aca="false">0</f>
        <v>0</v>
      </c>
      <c r="F25" s="16" t="n">
        <f aca="false">0</f>
        <v>0</v>
      </c>
      <c r="G25" s="16" t="n">
        <f aca="false">0</f>
        <v>0</v>
      </c>
      <c r="H25" s="16" t="n">
        <f aca="false">C25</f>
        <v>43196410</v>
      </c>
    </row>
    <row r="26" customFormat="false" ht="15" hidden="false" customHeight="false" outlineLevel="0" collapsed="false">
      <c r="B26" s="20" t="s">
        <v>77</v>
      </c>
      <c r="C26" s="16" t="n">
        <f aca="false">C7</f>
        <v>-767006.985370329</v>
      </c>
      <c r="D26" s="16" t="n">
        <f aca="false">D25+C26</f>
        <v>42429403.0146297</v>
      </c>
      <c r="E26" s="16" t="n">
        <f aca="false">MIN(D25,D26)</f>
        <v>42429403.0146297</v>
      </c>
      <c r="F26" s="16" t="n">
        <f aca="false">MAX(C26,0)</f>
        <v>0</v>
      </c>
      <c r="G26" s="16" t="n">
        <f aca="false">MAX(-C26,0)</f>
        <v>767006.985370329</v>
      </c>
      <c r="H26" s="16" t="n">
        <f aca="false">0</f>
        <v>0</v>
      </c>
    </row>
    <row r="27" customFormat="false" ht="15" hidden="false" customHeight="false" outlineLevel="0" collapsed="false">
      <c r="B27" s="20" t="s">
        <v>78</v>
      </c>
      <c r="C27" s="16" t="n">
        <f aca="false">C8</f>
        <v>-2293774.30018091</v>
      </c>
      <c r="D27" s="16" t="n">
        <f aca="false">D26+C27</f>
        <v>40135628.7144488</v>
      </c>
      <c r="E27" s="16" t="n">
        <f aca="false">MIN(D26,D27)</f>
        <v>40135628.7144488</v>
      </c>
      <c r="F27" s="16" t="n">
        <f aca="false">MAX(C27,0)</f>
        <v>0</v>
      </c>
      <c r="G27" s="16" t="n">
        <f aca="false">MAX(-C27,0)</f>
        <v>2293774.30018091</v>
      </c>
      <c r="H27" s="16" t="n">
        <f aca="false">0</f>
        <v>0</v>
      </c>
    </row>
    <row r="28" customFormat="false" ht="15" hidden="false" customHeight="false" outlineLevel="0" collapsed="false">
      <c r="B28" s="20" t="s">
        <v>79</v>
      </c>
      <c r="C28" s="16" t="n">
        <f aca="false">C9</f>
        <v>-577251.714448756</v>
      </c>
      <c r="D28" s="16" t="n">
        <f aca="false">D27+C28</f>
        <v>39558377</v>
      </c>
      <c r="E28" s="16" t="n">
        <f aca="false">MIN(D27,D28)</f>
        <v>39558377</v>
      </c>
      <c r="F28" s="16" t="n">
        <f aca="false">MAX(C28,0)</f>
        <v>0</v>
      </c>
      <c r="G28" s="16" t="n">
        <f aca="false">MAX(-C28,0)</f>
        <v>577251.714448756</v>
      </c>
      <c r="H28" s="16" t="n">
        <f aca="false">0</f>
        <v>0</v>
      </c>
    </row>
    <row r="29" customFormat="false" ht="15" hidden="false" customHeight="false" outlineLevel="0" collapsed="false">
      <c r="B29" s="20" t="s">
        <v>80</v>
      </c>
      <c r="C29" s="16" t="n">
        <f aca="false">C10</f>
        <v>39558377</v>
      </c>
      <c r="D29" s="16" t="n">
        <f aca="false">C29</f>
        <v>39558377</v>
      </c>
      <c r="E29" s="16" t="n">
        <f aca="false">0</f>
        <v>0</v>
      </c>
      <c r="F29" s="16" t="n">
        <f aca="false">0</f>
        <v>0</v>
      </c>
      <c r="G29" s="16" t="n">
        <f aca="false">0</f>
        <v>0</v>
      </c>
      <c r="H29" s="16" t="n">
        <f aca="false">C29</f>
        <v>39558377</v>
      </c>
    </row>
  </sheetData>
  <mergeCells count="2">
    <mergeCell ref="B1:M1"/>
    <mergeCell ref="B2:M2"/>
  </mergeCells>
  <conditionalFormatting sqref="C7:C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J15:L20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10" min="3" style="0" width="14"/>
  </cols>
  <sheetData>
    <row r="1" customFormat="false" ht="30" hidden="false" customHeight="true" outlineLevel="0" collapsed="false">
      <c r="A1" s="1"/>
      <c r="B1" s="2" t="s">
        <v>88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B2" s="3" t="s">
        <v>89</v>
      </c>
      <c r="C2" s="3"/>
      <c r="D2" s="3"/>
      <c r="E2" s="3"/>
      <c r="F2" s="3"/>
      <c r="G2" s="3"/>
      <c r="H2" s="3"/>
      <c r="I2" s="3"/>
      <c r="J2" s="3"/>
    </row>
    <row r="5" customFormat="false" ht="30" hidden="false" customHeight="true" outlineLevel="0" collapsed="false">
      <c r="B5" s="13" t="s">
        <v>90</v>
      </c>
      <c r="C5" s="14" t="s">
        <v>91</v>
      </c>
      <c r="D5" s="14" t="s">
        <v>92</v>
      </c>
      <c r="E5" s="14" t="s">
        <v>93</v>
      </c>
      <c r="F5" s="14" t="s">
        <v>20</v>
      </c>
      <c r="G5" s="14" t="s">
        <v>94</v>
      </c>
      <c r="H5" s="14" t="s">
        <v>95</v>
      </c>
      <c r="I5" s="14" t="s">
        <v>96</v>
      </c>
      <c r="J5" s="14" t="s">
        <v>97</v>
      </c>
    </row>
    <row r="6" customFormat="false" ht="15" hidden="false" customHeight="false" outlineLevel="0" collapsed="false">
      <c r="B6" s="43" t="n">
        <f aca="false">DATE(2000+VALUE(RIGHT(Exec_Summary!$C$4,2))-1,4,1)</f>
        <v>45748</v>
      </c>
      <c r="C6" s="15" t="n">
        <f aca="false">SUMIFS(Data!$F$6:$F$1085,Data!$C$6:$C$1085,$B6)</f>
        <v>13963521</v>
      </c>
      <c r="D6" s="15" t="n">
        <f aca="false">SUMIFS(Data!$G$6:$G$1085,Data!$C$6:$C$1085,$B6)</f>
        <v>13752296</v>
      </c>
      <c r="E6" s="17" t="n">
        <f aca="false">D6/C6-1</f>
        <v>-0.0151269153389034</v>
      </c>
      <c r="F6" s="26" t="n">
        <f aca="false">(SUMIFS(Data!$O$6:$O$1085,Data!$C$6:$C$1085,$B6))/D6</f>
        <v>0.384525391251032</v>
      </c>
      <c r="G6" s="15" t="n">
        <f aca="false">SUMIFS(Data!$Q$6:$Q$1085,Data!$C$6:$C$1085,$B6)</f>
        <v>3420189</v>
      </c>
      <c r="H6" s="15" t="n">
        <f aca="false">SUMIFS(Data!$R$6:$R$1085,Data!$C$6:$C$1085,$B6)</f>
        <v>3122880</v>
      </c>
      <c r="I6" s="17" t="n">
        <f aca="false">H6/D6</f>
        <v>0.227080627118555</v>
      </c>
      <c r="J6" s="44" t="n">
        <f aca="false">COUNTIFS(Data!$C$6:$C$1085,$B6,Data!$U$6:$U$1085,"ADVERSE")</f>
        <v>9</v>
      </c>
    </row>
    <row r="7" customFormat="false" ht="15" hidden="false" customHeight="false" outlineLevel="0" collapsed="false">
      <c r="B7" s="45" t="n">
        <f aca="false">EDATE(B6,1)</f>
        <v>45778</v>
      </c>
      <c r="C7" s="15" t="n">
        <f aca="false">SUMIFS(Data!$F$6:$F$1085,Data!$C$6:$C$1085,$B7)</f>
        <v>13984396</v>
      </c>
      <c r="D7" s="15" t="n">
        <f aca="false">SUMIFS(Data!$G$6:$G$1085,Data!$C$6:$C$1085,$B7)</f>
        <v>13814565</v>
      </c>
      <c r="E7" s="17" t="n">
        <f aca="false">D7/C7-1</f>
        <v>-0.0121443214279687</v>
      </c>
      <c r="F7" s="26" t="n">
        <f aca="false">(SUMIFS(Data!$O$6:$O$1085,Data!$C$6:$C$1085,$B7))/D7</f>
        <v>0.383494594292328</v>
      </c>
      <c r="G7" s="15" t="n">
        <f aca="false">SUMIFS(Data!$Q$6:$Q$1085,Data!$C$6:$C$1085,$B7)</f>
        <v>3426513</v>
      </c>
      <c r="H7" s="15" t="n">
        <f aca="false">SUMIFS(Data!$R$6:$R$1085,Data!$C$6:$C$1085,$B7)</f>
        <v>3179333</v>
      </c>
      <c r="I7" s="17" t="n">
        <f aca="false">H7/D7</f>
        <v>0.230143547770053</v>
      </c>
      <c r="J7" s="44" t="n">
        <f aca="false">COUNTIFS(Data!$C$6:$C$1085,$B7,Data!$U$6:$U$1085,"ADVERSE")</f>
        <v>8</v>
      </c>
    </row>
    <row r="8" customFormat="false" ht="15" hidden="false" customHeight="false" outlineLevel="0" collapsed="false">
      <c r="B8" s="45" t="n">
        <f aca="false">EDATE(B7,1)</f>
        <v>45809</v>
      </c>
      <c r="C8" s="15" t="n">
        <f aca="false">SUMIFS(Data!$F$6:$F$1085,Data!$C$6:$C$1085,$B8)</f>
        <v>14300927</v>
      </c>
      <c r="D8" s="15" t="n">
        <f aca="false">SUMIFS(Data!$G$6:$G$1085,Data!$C$6:$C$1085,$B8)</f>
        <v>13944756</v>
      </c>
      <c r="E8" s="17" t="n">
        <f aca="false">D8/C8-1</f>
        <v>-0.0249054484370139</v>
      </c>
      <c r="F8" s="26" t="n">
        <f aca="false">(SUMIFS(Data!$O$6:$O$1085,Data!$C$6:$C$1085,$B8))/D8</f>
        <v>0.385477953145971</v>
      </c>
      <c r="G8" s="15" t="n">
        <f aca="false">SUMIFS(Data!$Q$6:$Q$1085,Data!$C$6:$C$1085,$B8)</f>
        <v>3507297</v>
      </c>
      <c r="H8" s="15" t="n">
        <f aca="false">SUMIFS(Data!$R$6:$R$1085,Data!$C$6:$C$1085,$B8)</f>
        <v>3205988</v>
      </c>
      <c r="I8" s="17" t="n">
        <f aca="false">H8/D8</f>
        <v>0.229906353327373</v>
      </c>
      <c r="J8" s="44" t="n">
        <f aca="false">COUNTIFS(Data!$C$6:$C$1085,$B8,Data!$U$6:$U$1085,"ADVERSE")</f>
        <v>9</v>
      </c>
    </row>
    <row r="9" customFormat="false" ht="15" hidden="false" customHeight="false" outlineLevel="0" collapsed="false">
      <c r="B9" s="45" t="n">
        <f aca="false">EDATE(B8,1)</f>
        <v>45839</v>
      </c>
      <c r="C9" s="15" t="n">
        <f aca="false">SUMIFS(Data!$F$6:$F$1085,Data!$C$6:$C$1085,$B9)</f>
        <v>14580210</v>
      </c>
      <c r="D9" s="15" t="n">
        <f aca="false">SUMIFS(Data!$G$6:$G$1085,Data!$C$6:$C$1085,$B9)</f>
        <v>14131317</v>
      </c>
      <c r="E9" s="17" t="n">
        <f aca="false">D9/C9-1</f>
        <v>-0.0307878281588537</v>
      </c>
      <c r="F9" s="26" t="n">
        <f aca="false">(SUMIFS(Data!$O$6:$O$1085,Data!$C$6:$C$1085,$B9))/D9</f>
        <v>0.383881488186841</v>
      </c>
      <c r="G9" s="15" t="n">
        <f aca="false">SUMIFS(Data!$Q$6:$Q$1085,Data!$C$6:$C$1085,$B9)</f>
        <v>3576805</v>
      </c>
      <c r="H9" s="15" t="n">
        <f aca="false">SUMIFS(Data!$R$6:$R$1085,Data!$C$6:$C$1085,$B9)</f>
        <v>3243707</v>
      </c>
      <c r="I9" s="17" t="n">
        <f aca="false">H9/D9</f>
        <v>0.22954031814586</v>
      </c>
      <c r="J9" s="44" t="n">
        <f aca="false">COUNTIFS(Data!$C$6:$C$1085,$B9,Data!$U$6:$U$1085,"ADVERSE")</f>
        <v>10</v>
      </c>
    </row>
    <row r="10" customFormat="false" ht="15" hidden="false" customHeight="false" outlineLevel="0" collapsed="false">
      <c r="B10" s="45" t="n">
        <f aca="false">EDATE(B9,1)</f>
        <v>45870</v>
      </c>
      <c r="C10" s="15" t="n">
        <f aca="false">SUMIFS(Data!$F$6:$F$1085,Data!$C$6:$C$1085,$B10)</f>
        <v>14127260</v>
      </c>
      <c r="D10" s="15" t="n">
        <f aca="false">SUMIFS(Data!$G$6:$G$1085,Data!$C$6:$C$1085,$B10)</f>
        <v>14003303</v>
      </c>
      <c r="E10" s="17" t="n">
        <f aca="false">D10/C10-1</f>
        <v>-0.00877431292409148</v>
      </c>
      <c r="F10" s="26" t="n">
        <f aca="false">(SUMIFS(Data!$O$6:$O$1085,Data!$C$6:$C$1085,$B10))/D10</f>
        <v>0.386253371793783</v>
      </c>
      <c r="G10" s="15" t="n">
        <f aca="false">SUMIFS(Data!$Q$6:$Q$1085,Data!$C$6:$C$1085,$B10)</f>
        <v>3467405</v>
      </c>
      <c r="H10" s="15" t="n">
        <f aca="false">SUMIFS(Data!$R$6:$R$1085,Data!$C$6:$C$1085,$B10)</f>
        <v>3267889</v>
      </c>
      <c r="I10" s="17" t="n">
        <f aca="false">H10/D10</f>
        <v>0.233365585247995</v>
      </c>
      <c r="J10" s="44" t="n">
        <f aca="false">COUNTIFS(Data!$C$6:$C$1085,$B10,Data!$U$6:$U$1085,"ADVERSE")</f>
        <v>7</v>
      </c>
    </row>
    <row r="11" customFormat="false" ht="15" hidden="false" customHeight="false" outlineLevel="0" collapsed="false">
      <c r="B11" s="45" t="n">
        <f aca="false">EDATE(B10,1)</f>
        <v>45901</v>
      </c>
      <c r="C11" s="15" t="n">
        <f aca="false">SUMIFS(Data!$F$6:$F$1085,Data!$C$6:$C$1085,$B11)</f>
        <v>14546136</v>
      </c>
      <c r="D11" s="15" t="n">
        <f aca="false">SUMIFS(Data!$G$6:$G$1085,Data!$C$6:$C$1085,$B11)</f>
        <v>14340747</v>
      </c>
      <c r="E11" s="17" t="n">
        <f aca="false">D11/C11-1</f>
        <v>-0.0141198322358598</v>
      </c>
      <c r="F11" s="26" t="n">
        <f aca="false">(SUMIFS(Data!$O$6:$O$1085,Data!$C$6:$C$1085,$B11))/D11</f>
        <v>0.383523536117052</v>
      </c>
      <c r="G11" s="15" t="n">
        <f aca="false">SUMIFS(Data!$Q$6:$Q$1085,Data!$C$6:$C$1085,$B11)</f>
        <v>3571054</v>
      </c>
      <c r="H11" s="15" t="n">
        <f aca="false">SUMIFS(Data!$R$6:$R$1085,Data!$C$6:$C$1085,$B11)</f>
        <v>3273677</v>
      </c>
      <c r="I11" s="17" t="n">
        <f aca="false">H11/D11</f>
        <v>0.22827799695511</v>
      </c>
      <c r="J11" s="44" t="n">
        <f aca="false">COUNTIFS(Data!$C$6:$C$1085,$B11,Data!$U$6:$U$1085,"ADVERSE")</f>
        <v>9</v>
      </c>
    </row>
    <row r="12" customFormat="false" ht="15" hidden="false" customHeight="false" outlineLevel="0" collapsed="false">
      <c r="B12" s="45" t="n">
        <f aca="false">EDATE(B11,1)</f>
        <v>45931</v>
      </c>
      <c r="C12" s="15" t="n">
        <f aca="false">SUMIFS(Data!$F$6:$F$1085,Data!$C$6:$C$1085,$B12)</f>
        <v>15080602</v>
      </c>
      <c r="D12" s="15" t="n">
        <f aca="false">SUMIFS(Data!$G$6:$G$1085,Data!$C$6:$C$1085,$B12)</f>
        <v>14671871</v>
      </c>
      <c r="E12" s="17" t="n">
        <f aca="false">D12/C12-1</f>
        <v>-0.0271030957517479</v>
      </c>
      <c r="F12" s="26" t="n">
        <f aca="false">(SUMIFS(Data!$O$6:$O$1085,Data!$C$6:$C$1085,$B12))/D12</f>
        <v>0.3838792612067</v>
      </c>
      <c r="G12" s="15" t="n">
        <f aca="false">SUMIFS(Data!$Q$6:$Q$1085,Data!$C$6:$C$1085,$B12)</f>
        <v>3704854</v>
      </c>
      <c r="H12" s="15" t="n">
        <f aca="false">SUMIFS(Data!$R$6:$R$1085,Data!$C$6:$C$1085,$B12)</f>
        <v>3382462</v>
      </c>
      <c r="I12" s="17" t="n">
        <f aca="false">H12/D12</f>
        <v>0.230540603853455</v>
      </c>
      <c r="J12" s="44" t="n">
        <f aca="false">COUNTIFS(Data!$C$6:$C$1085,$B12,Data!$U$6:$U$1085,"ADVERSE")</f>
        <v>7</v>
      </c>
    </row>
    <row r="13" customFormat="false" ht="15" hidden="false" customHeight="false" outlineLevel="0" collapsed="false">
      <c r="B13" s="45" t="n">
        <f aca="false">EDATE(B12,1)</f>
        <v>45962</v>
      </c>
      <c r="C13" s="15" t="n">
        <f aca="false">SUMIFS(Data!$F$6:$F$1085,Data!$C$6:$C$1085,$B13)</f>
        <v>14995115</v>
      </c>
      <c r="D13" s="15" t="n">
        <f aca="false">SUMIFS(Data!$G$6:$G$1085,Data!$C$6:$C$1085,$B13)</f>
        <v>14596887</v>
      </c>
      <c r="E13" s="17" t="n">
        <f aca="false">D13/C13-1</f>
        <v>-0.0265571821223112</v>
      </c>
      <c r="F13" s="26" t="n">
        <f aca="false">(SUMIFS(Data!$O$6:$O$1085,Data!$C$6:$C$1085,$B13))/D13</f>
        <v>0.386395537623878</v>
      </c>
      <c r="G13" s="15" t="n">
        <f aca="false">SUMIFS(Data!$Q$6:$Q$1085,Data!$C$6:$C$1085,$B13)</f>
        <v>3685539</v>
      </c>
      <c r="H13" s="15" t="n">
        <f aca="false">SUMIFS(Data!$R$6:$R$1085,Data!$C$6:$C$1085,$B13)</f>
        <v>3369820</v>
      </c>
      <c r="I13" s="17" t="n">
        <f aca="false">H13/D13</f>
        <v>0.230858812567365</v>
      </c>
      <c r="J13" s="44" t="n">
        <f aca="false">COUNTIFS(Data!$C$6:$C$1085,$B13,Data!$U$6:$U$1085,"ADVERSE")</f>
        <v>9</v>
      </c>
    </row>
    <row r="14" customFormat="false" ht="15" hidden="false" customHeight="false" outlineLevel="0" collapsed="false">
      <c r="B14" s="45" t="n">
        <f aca="false">EDATE(B13,1)</f>
        <v>45992</v>
      </c>
      <c r="C14" s="15" t="n">
        <f aca="false">SUMIFS(Data!$F$6:$F$1085,Data!$C$6:$C$1085,$B14)</f>
        <v>14889651</v>
      </c>
      <c r="D14" s="15" t="n">
        <f aca="false">SUMIFS(Data!$G$6:$G$1085,Data!$C$6:$C$1085,$B14)</f>
        <v>14405688</v>
      </c>
      <c r="E14" s="17" t="n">
        <f aca="false">D14/C14-1</f>
        <v>-0.0325033138788814</v>
      </c>
      <c r="F14" s="26" t="n">
        <f aca="false">(SUMIFS(Data!$O$6:$O$1085,Data!$C$6:$C$1085,$B14))/D14</f>
        <v>0.382967824931374</v>
      </c>
      <c r="G14" s="15" t="n">
        <f aca="false">SUMIFS(Data!$Q$6:$Q$1085,Data!$C$6:$C$1085,$B14)</f>
        <v>3662613</v>
      </c>
      <c r="H14" s="15" t="n">
        <f aca="false">SUMIFS(Data!$R$6:$R$1085,Data!$C$6:$C$1085,$B14)</f>
        <v>3302069</v>
      </c>
      <c r="I14" s="17" t="n">
        <f aca="false">H14/D14</f>
        <v>0.22921980539909</v>
      </c>
      <c r="J14" s="44" t="n">
        <f aca="false">COUNTIFS(Data!$C$6:$C$1085,$B14,Data!$U$6:$U$1085,"ADVERSE")</f>
        <v>10</v>
      </c>
    </row>
    <row r="15" customFormat="false" ht="15" hidden="false" customHeight="false" outlineLevel="0" collapsed="false">
      <c r="B15" s="45" t="n">
        <f aca="false">EDATE(B14,1)</f>
        <v>46023</v>
      </c>
      <c r="C15" s="15" t="n">
        <f aca="false">SUMIFS(Data!$F$6:$F$1085,Data!$C$6:$C$1085,$B15)</f>
        <v>14496325</v>
      </c>
      <c r="D15" s="15" t="n">
        <f aca="false">SUMIFS(Data!$G$6:$G$1085,Data!$C$6:$C$1085,$B15)</f>
        <v>14161709</v>
      </c>
      <c r="E15" s="17" t="n">
        <f aca="false">D15/C15-1</f>
        <v>-0.0230828158171122</v>
      </c>
      <c r="F15" s="26" t="n">
        <f aca="false">(SUMIFS(Data!$O$6:$O$1085,Data!$C$6:$C$1085,$B15))/D15</f>
        <v>0.386225843222735</v>
      </c>
      <c r="G15" s="15" t="n">
        <f aca="false">SUMIFS(Data!$Q$6:$Q$1085,Data!$C$6:$C$1085,$B15)</f>
        <v>3566698</v>
      </c>
      <c r="H15" s="15" t="n">
        <f aca="false">SUMIFS(Data!$R$6:$R$1085,Data!$C$6:$C$1085,$B15)</f>
        <v>3273988</v>
      </c>
      <c r="I15" s="17" t="n">
        <f aca="false">H15/D15</f>
        <v>0.231185939493602</v>
      </c>
      <c r="J15" s="44" t="n">
        <f aca="false">COUNTIFS(Data!$C$6:$C$1085,$B15,Data!$U$6:$U$1085,"ADVERSE")</f>
        <v>7</v>
      </c>
    </row>
    <row r="16" customFormat="false" ht="15" hidden="false" customHeight="false" outlineLevel="0" collapsed="false">
      <c r="B16" s="45" t="n">
        <f aca="false">EDATE(B15,1)</f>
        <v>46054</v>
      </c>
      <c r="C16" s="15" t="n">
        <f aca="false">SUMIFS(Data!$F$6:$F$1085,Data!$C$6:$C$1085,$B16)</f>
        <v>14769347</v>
      </c>
      <c r="D16" s="15" t="n">
        <f aca="false">SUMIFS(Data!$G$6:$G$1085,Data!$C$6:$C$1085,$B16)</f>
        <v>14445787</v>
      </c>
      <c r="E16" s="17" t="n">
        <f aca="false">D16/C16-1</f>
        <v>-0.0219075359255897</v>
      </c>
      <c r="F16" s="26" t="n">
        <f aca="false">(SUMIFS(Data!$O$6:$O$1085,Data!$C$6:$C$1085,$B16))/D16</f>
        <v>0.387844082153503</v>
      </c>
      <c r="G16" s="15" t="n">
        <f aca="false">SUMIFS(Data!$Q$6:$Q$1085,Data!$C$6:$C$1085,$B16)</f>
        <v>3636648</v>
      </c>
      <c r="H16" s="15" t="n">
        <f aca="false">SUMIFS(Data!$R$6:$R$1085,Data!$C$6:$C$1085,$B16)</f>
        <v>3360722</v>
      </c>
      <c r="I16" s="17" t="n">
        <f aca="false">H16/D16</f>
        <v>0.232643745889372</v>
      </c>
      <c r="J16" s="44" t="n">
        <f aca="false">COUNTIFS(Data!$C$6:$C$1085,$B16,Data!$U$6:$U$1085,"ADVERSE")</f>
        <v>9</v>
      </c>
    </row>
    <row r="17" customFormat="false" ht="15" hidden="false" customHeight="false" outlineLevel="0" collapsed="false">
      <c r="B17" s="45" t="n">
        <f aca="false">EDATE(B16,1)</f>
        <v>46082</v>
      </c>
      <c r="C17" s="15" t="n">
        <f aca="false">SUMIFS(Data!$F$6:$F$1085,Data!$C$6:$C$1085,$B17)</f>
        <v>16127132</v>
      </c>
      <c r="D17" s="15" t="n">
        <f aca="false">SUMIFS(Data!$G$6:$G$1085,Data!$C$6:$C$1085,$B17)</f>
        <v>15467229</v>
      </c>
      <c r="E17" s="17" t="n">
        <f aca="false">D17/C17-1</f>
        <v>-0.0409188068901526</v>
      </c>
      <c r="F17" s="26" t="n">
        <f aca="false">(SUMIFS(Data!$O$6:$O$1085,Data!$C$6:$C$1085,$B17))/D17</f>
        <v>0.386701199031837</v>
      </c>
      <c r="G17" s="15" t="n">
        <f aca="false">SUMIFS(Data!$Q$6:$Q$1085,Data!$C$6:$C$1085,$B17)</f>
        <v>3970795</v>
      </c>
      <c r="H17" s="15" t="n">
        <f aca="false">SUMIFS(Data!$R$6:$R$1085,Data!$C$6:$C$1085,$B17)</f>
        <v>3575842</v>
      </c>
      <c r="I17" s="17" t="n">
        <f aca="false">H17/D17</f>
        <v>0.231188275546965</v>
      </c>
      <c r="J17" s="44" t="n">
        <f aca="false">COUNTIFS(Data!$C$6:$C$1085,$B17,Data!$U$6:$U$1085,"ADVERSE")</f>
        <v>10</v>
      </c>
    </row>
    <row r="18" customFormat="false" ht="15" hidden="false" customHeight="false" outlineLevel="0" collapsed="false">
      <c r="B18" s="28" t="s">
        <v>98</v>
      </c>
      <c r="C18" s="29" t="n">
        <f aca="false">SUM(C6:C17)</f>
        <v>175860622</v>
      </c>
      <c r="D18" s="29" t="n">
        <f aca="false">SUM(D6:D17)</f>
        <v>171736155</v>
      </c>
      <c r="E18" s="30" t="n">
        <f aca="false">D18/C18-1</f>
        <v>-0.023453044536599</v>
      </c>
      <c r="G18" s="29" t="n">
        <f aca="false">SUM(G6:G17)</f>
        <v>43196410</v>
      </c>
      <c r="H18" s="29" t="n">
        <f aca="false">SUM(H6:H17)</f>
        <v>39558377</v>
      </c>
      <c r="I18" s="30" t="n">
        <f aca="false">H18/D18</f>
        <v>0.230343907489952</v>
      </c>
      <c r="J18" s="46" t="n">
        <f aca="false">SUM(J6:J17)</f>
        <v>104</v>
      </c>
    </row>
  </sheetData>
  <mergeCells count="2">
    <mergeCell ref="B1:J1"/>
    <mergeCell ref="B2:J2"/>
  </mergeCells>
  <conditionalFormatting sqref="E6:E1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11" min="3" style="0" width="12"/>
  </cols>
  <sheetData>
    <row r="1" customFormat="false" ht="30" hidden="false" customHeight="true" outlineLevel="0" collapsed="false">
      <c r="A1" s="1"/>
      <c r="B1" s="2" t="s">
        <v>99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B2" s="3" t="s">
        <v>100</v>
      </c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false" outlineLevel="0" collapsed="false">
      <c r="B4" s="11" t="s">
        <v>101</v>
      </c>
      <c r="C4" s="12"/>
      <c r="D4" s="12"/>
      <c r="E4" s="12"/>
      <c r="F4" s="12"/>
      <c r="G4" s="12"/>
      <c r="H4" s="12"/>
      <c r="I4" s="12"/>
      <c r="J4" s="12"/>
      <c r="K4" s="12"/>
    </row>
    <row r="5" customFormat="false" ht="30" hidden="false" customHeight="true" outlineLevel="0" collapsed="false">
      <c r="B5" s="13" t="s">
        <v>28</v>
      </c>
      <c r="C5" s="14" t="s">
        <v>102</v>
      </c>
      <c r="D5" s="14" t="s">
        <v>103</v>
      </c>
      <c r="E5" s="14" t="s">
        <v>104</v>
      </c>
      <c r="F5" s="14" t="s">
        <v>105</v>
      </c>
      <c r="G5" s="14" t="s">
        <v>106</v>
      </c>
      <c r="H5" s="14" t="s">
        <v>107</v>
      </c>
      <c r="I5" s="14" t="s">
        <v>108</v>
      </c>
      <c r="J5" s="14" t="s">
        <v>109</v>
      </c>
      <c r="K5" s="14" t="s">
        <v>110</v>
      </c>
    </row>
    <row r="6" customFormat="false" ht="15" hidden="false" customHeight="false" outlineLevel="0" collapsed="false">
      <c r="B6" s="4" t="s">
        <v>33</v>
      </c>
      <c r="C6" s="15" t="n">
        <f aca="false">SUMIFS(Data!$G$6:$G$1085,Data!$D$6:$D$1085,$B6,Data!$A$6:$A$1085,"FY24")</f>
        <v>43657852</v>
      </c>
      <c r="D6" s="15" t="n">
        <f aca="false">SUMIFS(Data!$G$6:$G$1085,Data!$D$6:$D$1085,$B6,Data!$A$6:$A$1085,"FY25")</f>
        <v>47783218</v>
      </c>
      <c r="E6" s="15" t="n">
        <f aca="false">SUMIFS(Data!$G$6:$G$1085,Data!$D$6:$D$1085,$B6,Data!$A$6:$A$1085,"FY26")</f>
        <v>51801767</v>
      </c>
      <c r="F6" s="26" t="n">
        <f aca="false">(SUMIFS(Data!$R$6:$R$1085,Data!$D$6:$D$1085,$B6,Data!$A$6:$A$1085,"FY24"))/C6</f>
        <v>0.25974260025436</v>
      </c>
      <c r="G6" s="26" t="n">
        <f aca="false">(SUMIFS(Data!$R$6:$R$1085,Data!$D$6:$D$1085,$B6,Data!$A$6:$A$1085,"FY25"))/D6</f>
        <v>0.259680166371382</v>
      </c>
      <c r="H6" s="26" t="n">
        <f aca="false">(SUMIFS(Data!$R$6:$R$1085,Data!$D$6:$D$1085,$B6,Data!$A$6:$A$1085,"FY26"))/E6</f>
        <v>0.249679050523508</v>
      </c>
      <c r="I6" s="26" t="n">
        <f aca="false">C6/(SUMIFS(Data!$F$6:$F$1085,Data!$D$6:$D$1085,$B6,Data!$A$6:$A$1085,"FY24"))-1</f>
        <v>0.0292571182254262</v>
      </c>
      <c r="J6" s="26" t="n">
        <f aca="false">D6/(SUMIFS(Data!$F$6:$F$1085,Data!$D$6:$D$1085,$B6,Data!$A$6:$A$1085,"FY25"))-1</f>
        <v>0.00801850241237312</v>
      </c>
      <c r="K6" s="26" t="n">
        <f aca="false">E6/(SUMIFS(Data!$F$6:$F$1085,Data!$D$6:$D$1085,$B6,Data!$A$6:$A$1085,"FY26"))-1</f>
        <v>-0.0207762268910363</v>
      </c>
    </row>
    <row r="7" customFormat="false" ht="15" hidden="false" customHeight="false" outlineLevel="0" collapsed="false">
      <c r="B7" s="4" t="s">
        <v>34</v>
      </c>
      <c r="C7" s="15" t="n">
        <f aca="false">SUMIFS(Data!$G$6:$G$1085,Data!$D$6:$D$1085,$B7,Data!$A$6:$A$1085,"FY24")</f>
        <v>33661462</v>
      </c>
      <c r="D7" s="15" t="n">
        <f aca="false">SUMIFS(Data!$G$6:$G$1085,Data!$D$6:$D$1085,$B7,Data!$A$6:$A$1085,"FY25")</f>
        <v>35641222</v>
      </c>
      <c r="E7" s="15" t="n">
        <f aca="false">SUMIFS(Data!$G$6:$G$1085,Data!$D$6:$D$1085,$B7,Data!$A$6:$A$1085,"FY26")</f>
        <v>36864343</v>
      </c>
      <c r="F7" s="26" t="n">
        <f aca="false">(SUMIFS(Data!$R$6:$R$1085,Data!$D$6:$D$1085,$B7,Data!$A$6:$A$1085,"FY24"))/C7</f>
        <v>0.22556940634367</v>
      </c>
      <c r="G7" s="26" t="n">
        <f aca="false">(SUMIFS(Data!$R$6:$R$1085,Data!$D$6:$D$1085,$B7,Data!$A$6:$A$1085,"FY25"))/D7</f>
        <v>0.224032021124304</v>
      </c>
      <c r="H7" s="26" t="n">
        <f aca="false">(SUMIFS(Data!$R$6:$R$1085,Data!$D$6:$D$1085,$B7,Data!$A$6:$A$1085,"FY26"))/E7</f>
        <v>0.211599702183761</v>
      </c>
      <c r="I7" s="26" t="n">
        <f aca="false">C7/(SUMIFS(Data!$F$6:$F$1085,Data!$D$6:$D$1085,$B7,Data!$A$6:$A$1085,"FY24"))-1</f>
        <v>0.00384243817548979</v>
      </c>
      <c r="J7" s="26" t="n">
        <f aca="false">D7/(SUMIFS(Data!$F$6:$F$1085,Data!$D$6:$D$1085,$B7,Data!$A$6:$A$1085,"FY25"))-1</f>
        <v>-0.0159215344161912</v>
      </c>
      <c r="K7" s="26" t="n">
        <f aca="false">E7/(SUMIFS(Data!$F$6:$F$1085,Data!$D$6:$D$1085,$B7,Data!$A$6:$A$1085,"FY26"))-1</f>
        <v>-0.0685228907662228</v>
      </c>
    </row>
    <row r="8" customFormat="false" ht="15" hidden="false" customHeight="false" outlineLevel="0" collapsed="false">
      <c r="B8" s="4" t="s">
        <v>35</v>
      </c>
      <c r="C8" s="15" t="n">
        <f aca="false">SUMIFS(Data!$G$6:$G$1085,Data!$D$6:$D$1085,$B8,Data!$A$6:$A$1085,"FY24")</f>
        <v>21829426</v>
      </c>
      <c r="D8" s="15" t="n">
        <f aca="false">SUMIFS(Data!$G$6:$G$1085,Data!$D$6:$D$1085,$B8,Data!$A$6:$A$1085,"FY25")</f>
        <v>25871048</v>
      </c>
      <c r="E8" s="15" t="n">
        <f aca="false">SUMIFS(Data!$G$6:$G$1085,Data!$D$6:$D$1085,$B8,Data!$A$6:$A$1085,"FY26")</f>
        <v>30512053</v>
      </c>
      <c r="F8" s="26" t="n">
        <f aca="false">(SUMIFS(Data!$R$6:$R$1085,Data!$D$6:$D$1085,$B8,Data!$A$6:$A$1085,"FY24"))/C8</f>
        <v>0.296968458996586</v>
      </c>
      <c r="G8" s="26" t="n">
        <f aca="false">(SUMIFS(Data!$R$6:$R$1085,Data!$D$6:$D$1085,$B8,Data!$A$6:$A$1085,"FY25"))/D8</f>
        <v>0.294455562836109</v>
      </c>
      <c r="H8" s="26" t="n">
        <f aca="false">(SUMIFS(Data!$R$6:$R$1085,Data!$D$6:$D$1085,$B8,Data!$A$6:$A$1085,"FY26"))/E8</f>
        <v>0.287268870436217</v>
      </c>
      <c r="I8" s="26" t="n">
        <f aca="false">C8/(SUMIFS(Data!$F$6:$F$1085,Data!$D$6:$D$1085,$B8,Data!$A$6:$A$1085,"FY24"))-1</f>
        <v>0.0281650205388782</v>
      </c>
      <c r="J8" s="26" t="n">
        <f aca="false">D8/(SUMIFS(Data!$F$6:$F$1085,Data!$D$6:$D$1085,$B8,Data!$A$6:$A$1085,"FY25"))-1</f>
        <v>0.0600274514272443</v>
      </c>
      <c r="K8" s="26" t="n">
        <f aca="false">E8/(SUMIFS(Data!$F$6:$F$1085,Data!$D$6:$D$1085,$B8,Data!$A$6:$A$1085,"FY26"))-1</f>
        <v>0.071367931378638</v>
      </c>
    </row>
    <row r="9" customFormat="false" ht="15" hidden="false" customHeight="false" outlineLevel="0" collapsed="false">
      <c r="B9" s="4" t="s">
        <v>36</v>
      </c>
      <c r="C9" s="15" t="n">
        <f aca="false">SUMIFS(Data!$G$6:$G$1085,Data!$D$6:$D$1085,$B9,Data!$A$6:$A$1085,"FY24")</f>
        <v>30599428</v>
      </c>
      <c r="D9" s="15" t="n">
        <f aca="false">SUMIFS(Data!$G$6:$G$1085,Data!$D$6:$D$1085,$B9,Data!$A$6:$A$1085,"FY25")</f>
        <v>31304979</v>
      </c>
      <c r="E9" s="15" t="n">
        <f aca="false">SUMIFS(Data!$G$6:$G$1085,Data!$D$6:$D$1085,$B9,Data!$A$6:$A$1085,"FY26")</f>
        <v>32005589</v>
      </c>
      <c r="F9" s="26" t="n">
        <f aca="false">(SUMIFS(Data!$R$6:$R$1085,Data!$D$6:$D$1085,$B9,Data!$A$6:$A$1085,"FY24"))/C9</f>
        <v>0.18983240471031</v>
      </c>
      <c r="G9" s="26" t="n">
        <f aca="false">(SUMIFS(Data!$R$6:$R$1085,Data!$D$6:$D$1085,$B9,Data!$A$6:$A$1085,"FY25"))/D9</f>
        <v>0.176447714595177</v>
      </c>
      <c r="H9" s="26" t="n">
        <f aca="false">(SUMIFS(Data!$R$6:$R$1085,Data!$D$6:$D$1085,$B9,Data!$A$6:$A$1085,"FY26"))/E9</f>
        <v>0.156213747542656</v>
      </c>
      <c r="I9" s="26" t="n">
        <f aca="false">C9/(SUMIFS(Data!$F$6:$F$1085,Data!$D$6:$D$1085,$B9,Data!$A$6:$A$1085,"FY24"))-1</f>
        <v>0.0116956183437202</v>
      </c>
      <c r="J9" s="26" t="n">
        <f aca="false">D9/(SUMIFS(Data!$F$6:$F$1085,Data!$D$6:$D$1085,$B9,Data!$A$6:$A$1085,"FY25"))-1</f>
        <v>-0.0264305392944001</v>
      </c>
      <c r="K9" s="26" t="n">
        <f aca="false">E9/(SUMIFS(Data!$F$6:$F$1085,Data!$D$6:$D$1085,$B9,Data!$A$6:$A$1085,"FY26"))-1</f>
        <v>-0.0612852843037528</v>
      </c>
    </row>
    <row r="10" customFormat="false" ht="15" hidden="false" customHeight="false" outlineLevel="0" collapsed="false">
      <c r="B10" s="4" t="s">
        <v>37</v>
      </c>
      <c r="C10" s="15" t="n">
        <f aca="false">SUMIFS(Data!$G$6:$G$1085,Data!$D$6:$D$1085,$B10,Data!$A$6:$A$1085,"FY24")</f>
        <v>18257337</v>
      </c>
      <c r="D10" s="15" t="n">
        <f aca="false">SUMIFS(Data!$G$6:$G$1085,Data!$D$6:$D$1085,$B10,Data!$A$6:$A$1085,"FY25")</f>
        <v>19375603</v>
      </c>
      <c r="E10" s="15" t="n">
        <f aca="false">SUMIFS(Data!$G$6:$G$1085,Data!$D$6:$D$1085,$B10,Data!$A$6:$A$1085,"FY26")</f>
        <v>20552403</v>
      </c>
      <c r="F10" s="26" t="n">
        <f aca="false">(SUMIFS(Data!$R$6:$R$1085,Data!$D$6:$D$1085,$B10,Data!$A$6:$A$1085,"FY24"))/C10</f>
        <v>0.253124374053018</v>
      </c>
      <c r="G10" s="26" t="n">
        <f aca="false">(SUMIFS(Data!$R$6:$R$1085,Data!$D$6:$D$1085,$B10,Data!$A$6:$A$1085,"FY25"))/D10</f>
        <v>0.251951590874359</v>
      </c>
      <c r="H10" s="26" t="n">
        <f aca="false">(SUMIFS(Data!$R$6:$R$1085,Data!$D$6:$D$1085,$B10,Data!$A$6:$A$1085,"FY26"))/E10</f>
        <v>0.246161045012595</v>
      </c>
      <c r="I10" s="26" t="n">
        <f aca="false">C10/(SUMIFS(Data!$F$6:$F$1085,Data!$D$6:$D$1085,$B10,Data!$A$6:$A$1085,"FY24"))-1</f>
        <v>0.0320185519108693</v>
      </c>
      <c r="J10" s="26" t="n">
        <f aca="false">D10/(SUMIFS(Data!$F$6:$F$1085,Data!$D$6:$D$1085,$B10,Data!$A$6:$A$1085,"FY25"))-1</f>
        <v>0.013322408445182</v>
      </c>
      <c r="K10" s="26" t="n">
        <f aca="false">E10/(SUMIFS(Data!$F$6:$F$1085,Data!$D$6:$D$1085,$B10,Data!$A$6:$A$1085,"FY26"))-1</f>
        <v>-0.0123267394749047</v>
      </c>
    </row>
    <row r="13" customFormat="false" ht="15" hidden="false" customHeight="false" outlineLevel="0" collapsed="false">
      <c r="B13" s="11" t="s">
        <v>111</v>
      </c>
      <c r="C13" s="12"/>
      <c r="D13" s="12"/>
      <c r="E13" s="12"/>
      <c r="F13" s="12"/>
      <c r="G13" s="12"/>
      <c r="H13" s="12"/>
      <c r="I13" s="12"/>
      <c r="J13" s="12"/>
      <c r="K13" s="12"/>
    </row>
    <row r="14" customFormat="false" ht="30" hidden="false" customHeight="true" outlineLevel="0" collapsed="false">
      <c r="B14" s="13" t="s">
        <v>28</v>
      </c>
      <c r="C14" s="14" t="s">
        <v>102</v>
      </c>
      <c r="D14" s="14" t="s">
        <v>103</v>
      </c>
      <c r="E14" s="14" t="s">
        <v>104</v>
      </c>
      <c r="F14" s="14" t="s">
        <v>105</v>
      </c>
      <c r="G14" s="14" t="s">
        <v>106</v>
      </c>
      <c r="H14" s="14" t="s">
        <v>107</v>
      </c>
      <c r="I14" s="14" t="s">
        <v>108</v>
      </c>
      <c r="J14" s="14" t="s">
        <v>109</v>
      </c>
      <c r="K14" s="14" t="s">
        <v>110</v>
      </c>
    </row>
    <row r="15" customFormat="false" ht="15" hidden="false" customHeight="false" outlineLevel="0" collapsed="false">
      <c r="B15" s="4" t="s">
        <v>40</v>
      </c>
      <c r="C15" s="15" t="n">
        <f aca="false">SUMIFS(Data!$G$6:$G$1085,Data!$E$6:$E$1085,$B15,Data!$A$6:$A$1085,"FY24")</f>
        <v>35632409</v>
      </c>
      <c r="D15" s="15" t="n">
        <f aca="false">SUMIFS(Data!$G$6:$G$1085,Data!$E$6:$E$1085,$B15,Data!$A$6:$A$1085,"FY25")</f>
        <v>38447818</v>
      </c>
      <c r="E15" s="15" t="n">
        <f aca="false">SUMIFS(Data!$G$6:$G$1085,Data!$E$6:$E$1085,$B15,Data!$A$6:$A$1085,"FY26")</f>
        <v>41463881</v>
      </c>
      <c r="F15" s="26" t="n">
        <f aca="false">(SUMIFS(Data!$R$6:$R$1085,Data!$E$6:$E$1085,$B15,Data!$A$6:$A$1085,"FY24"))/C15</f>
        <v>0.240917025845769</v>
      </c>
      <c r="G15" s="26" t="n">
        <f aca="false">(SUMIFS(Data!$R$6:$R$1085,Data!$E$6:$E$1085,$B15,Data!$A$6:$A$1085,"FY25"))/D15</f>
        <v>0.242318926915436</v>
      </c>
      <c r="H15" s="26" t="n">
        <f aca="false">(SUMIFS(Data!$R$6:$R$1085,Data!$E$6:$E$1085,$B15,Data!$A$6:$A$1085,"FY26"))/E15</f>
        <v>0.239566190149928</v>
      </c>
      <c r="I15" s="26" t="n">
        <f aca="false">C15/(SUMIFS(Data!$F$6:$F$1085,Data!$E$6:$E$1085,$B15,Data!$A$6:$A$1085,"FY24"))-1</f>
        <v>0.0228674798415722</v>
      </c>
      <c r="J15" s="26" t="n">
        <f aca="false">D15/(SUMIFS(Data!$F$6:$F$1085,Data!$E$6:$E$1085,$B15,Data!$A$6:$A$1085,"FY25"))-1</f>
        <v>0.00703545201694844</v>
      </c>
      <c r="K15" s="26" t="n">
        <f aca="false">E15/(SUMIFS(Data!$F$6:$F$1085,Data!$E$6:$E$1085,$B15,Data!$A$6:$A$1085,"FY26"))-1</f>
        <v>-0.0191349196516991</v>
      </c>
    </row>
    <row r="16" customFormat="false" ht="15" hidden="false" customHeight="false" outlineLevel="0" collapsed="false">
      <c r="B16" s="4" t="s">
        <v>41</v>
      </c>
      <c r="C16" s="15" t="n">
        <f aca="false">SUMIFS(Data!$G$6:$G$1085,Data!$E$6:$E$1085,$B16,Data!$A$6:$A$1085,"FY24")</f>
        <v>25147464</v>
      </c>
      <c r="D16" s="15" t="n">
        <f aca="false">SUMIFS(Data!$G$6:$G$1085,Data!$E$6:$E$1085,$B16,Data!$A$6:$A$1085,"FY25")</f>
        <v>27337810</v>
      </c>
      <c r="E16" s="15" t="n">
        <f aca="false">SUMIFS(Data!$G$6:$G$1085,Data!$E$6:$E$1085,$B16,Data!$A$6:$A$1085,"FY26")</f>
        <v>29043865</v>
      </c>
      <c r="F16" s="26" t="n">
        <f aca="false">(SUMIFS(Data!$R$6:$R$1085,Data!$E$6:$E$1085,$B16,Data!$A$6:$A$1085,"FY24"))/C16</f>
        <v>0.240760817870144</v>
      </c>
      <c r="G16" s="26" t="n">
        <f aca="false">(SUMIFS(Data!$R$6:$R$1085,Data!$E$6:$E$1085,$B16,Data!$A$6:$A$1085,"FY25"))/D16</f>
        <v>0.230619936271413</v>
      </c>
      <c r="H16" s="26" t="n">
        <f aca="false">(SUMIFS(Data!$R$6:$R$1085,Data!$E$6:$E$1085,$B16,Data!$A$6:$A$1085,"FY26"))/E16</f>
        <v>0.209148575783561</v>
      </c>
      <c r="I16" s="26" t="n">
        <f aca="false">C16/(SUMIFS(Data!$F$6:$F$1085,Data!$E$6:$E$1085,$B16,Data!$A$6:$A$1085,"FY24"))-1</f>
        <v>0.0185213394043597</v>
      </c>
      <c r="J16" s="26" t="n">
        <f aca="false">D16/(SUMIFS(Data!$F$6:$F$1085,Data!$E$6:$E$1085,$B16,Data!$A$6:$A$1085,"FY25"))-1</f>
        <v>0.00819242248401997</v>
      </c>
      <c r="K16" s="26" t="n">
        <f aca="false">E16/(SUMIFS(Data!$F$6:$F$1085,Data!$E$6:$E$1085,$B16,Data!$A$6:$A$1085,"FY26"))-1</f>
        <v>-0.0273677822351939</v>
      </c>
    </row>
    <row r="17" customFormat="false" ht="15" hidden="false" customHeight="false" outlineLevel="0" collapsed="false">
      <c r="B17" s="4" t="s">
        <v>42</v>
      </c>
      <c r="C17" s="15" t="n">
        <f aca="false">SUMIFS(Data!$G$6:$G$1085,Data!$E$6:$E$1085,$B17,Data!$A$6:$A$1085,"FY24")</f>
        <v>29653279</v>
      </c>
      <c r="D17" s="15" t="n">
        <f aca="false">SUMIFS(Data!$G$6:$G$1085,Data!$E$6:$E$1085,$B17,Data!$A$6:$A$1085,"FY25")</f>
        <v>31970185</v>
      </c>
      <c r="E17" s="15" t="n">
        <f aca="false">SUMIFS(Data!$G$6:$G$1085,Data!$E$6:$E$1085,$B17,Data!$A$6:$A$1085,"FY26")</f>
        <v>34487273</v>
      </c>
      <c r="F17" s="26" t="n">
        <f aca="false">(SUMIFS(Data!$R$6:$R$1085,Data!$E$6:$E$1085,$B17,Data!$A$6:$A$1085,"FY24"))/C17</f>
        <v>0.241710301245269</v>
      </c>
      <c r="G17" s="26" t="n">
        <f aca="false">(SUMIFS(Data!$R$6:$R$1085,Data!$E$6:$E$1085,$B17,Data!$A$6:$A$1085,"FY25"))/D17</f>
        <v>0.244446599229876</v>
      </c>
      <c r="H17" s="26" t="n">
        <f aca="false">(SUMIFS(Data!$R$6:$R$1085,Data!$E$6:$E$1085,$B17,Data!$A$6:$A$1085,"FY26"))/E17</f>
        <v>0.221037163477669</v>
      </c>
      <c r="I17" s="26" t="n">
        <f aca="false">C17/(SUMIFS(Data!$F$6:$F$1085,Data!$E$6:$E$1085,$B17,Data!$A$6:$A$1085,"FY24"))-1</f>
        <v>0.0228279967391778</v>
      </c>
      <c r="J17" s="26" t="n">
        <f aca="false">D17/(SUMIFS(Data!$F$6:$F$1085,Data!$E$6:$E$1085,$B17,Data!$A$6:$A$1085,"FY25"))-1</f>
        <v>0.00203483669763194</v>
      </c>
      <c r="K17" s="26" t="n">
        <f aca="false">E17/(SUMIFS(Data!$F$6:$F$1085,Data!$E$6:$E$1085,$B17,Data!$A$6:$A$1085,"FY26"))-1</f>
        <v>-0.0189361713324933</v>
      </c>
    </row>
    <row r="18" customFormat="false" ht="15" hidden="false" customHeight="false" outlineLevel="0" collapsed="false">
      <c r="B18" s="4" t="s">
        <v>43</v>
      </c>
      <c r="C18" s="15" t="n">
        <f aca="false">SUMIFS(Data!$G$6:$G$1085,Data!$E$6:$E$1085,$B18,Data!$A$6:$A$1085,"FY24")</f>
        <v>22173019</v>
      </c>
      <c r="D18" s="15" t="n">
        <f aca="false">SUMIFS(Data!$G$6:$G$1085,Data!$E$6:$E$1085,$B18,Data!$A$6:$A$1085,"FY25")</f>
        <v>23912893</v>
      </c>
      <c r="E18" s="15" t="n">
        <f aca="false">SUMIFS(Data!$G$6:$G$1085,Data!$E$6:$E$1085,$B18,Data!$A$6:$A$1085,"FY26")</f>
        <v>25380235</v>
      </c>
      <c r="F18" s="26" t="n">
        <f aca="false">(SUMIFS(Data!$R$6:$R$1085,Data!$E$6:$E$1085,$B18,Data!$A$6:$A$1085,"FY24"))/C18</f>
        <v>0.243808702820306</v>
      </c>
      <c r="G18" s="26" t="n">
        <f aca="false">(SUMIFS(Data!$R$6:$R$1085,Data!$E$6:$E$1085,$B18,Data!$A$6:$A$1085,"FY25"))/D18</f>
        <v>0.240220913462875</v>
      </c>
      <c r="H18" s="26" t="n">
        <f aca="false">(SUMIFS(Data!$R$6:$R$1085,Data!$E$6:$E$1085,$B18,Data!$A$6:$A$1085,"FY26"))/E18</f>
        <v>0.239928984109091</v>
      </c>
      <c r="I18" s="26" t="n">
        <f aca="false">C18/(SUMIFS(Data!$F$6:$F$1085,Data!$E$6:$E$1085,$B18,Data!$A$6:$A$1085,"FY24"))-1</f>
        <v>0.0174991065399077</v>
      </c>
      <c r="J18" s="26" t="n">
        <f aca="false">D18/(SUMIFS(Data!$F$6:$F$1085,Data!$E$6:$E$1085,$B18,Data!$A$6:$A$1085,"FY25"))-1</f>
        <v>0.00100507001520334</v>
      </c>
      <c r="K18" s="26" t="n">
        <f aca="false">E18/(SUMIFS(Data!$F$6:$F$1085,Data!$E$6:$E$1085,$B18,Data!$A$6:$A$1085,"FY26"))-1</f>
        <v>-0.0364145004227512</v>
      </c>
    </row>
    <row r="19" customFormat="false" ht="15" hidden="false" customHeight="false" outlineLevel="0" collapsed="false">
      <c r="B19" s="4" t="s">
        <v>44</v>
      </c>
      <c r="C19" s="15" t="n">
        <f aca="false">SUMIFS(Data!$G$6:$G$1085,Data!$E$6:$E$1085,$B19,Data!$A$6:$A$1085,"FY24")</f>
        <v>23577417</v>
      </c>
      <c r="D19" s="15" t="n">
        <f aca="false">SUMIFS(Data!$G$6:$G$1085,Data!$E$6:$E$1085,$B19,Data!$A$6:$A$1085,"FY25")</f>
        <v>25539185</v>
      </c>
      <c r="E19" s="15" t="n">
        <f aca="false">SUMIFS(Data!$G$6:$G$1085,Data!$E$6:$E$1085,$B19,Data!$A$6:$A$1085,"FY26")</f>
        <v>27640311</v>
      </c>
      <c r="F19" s="26" t="n">
        <f aca="false">(SUMIFS(Data!$R$6:$R$1085,Data!$E$6:$E$1085,$B19,Data!$A$6:$A$1085,"FY24"))/C19</f>
        <v>0.24441663817542</v>
      </c>
      <c r="G19" s="26" t="n">
        <f aca="false">(SUMIFS(Data!$R$6:$R$1085,Data!$E$6:$E$1085,$B19,Data!$A$6:$A$1085,"FY25"))/D19</f>
        <v>0.242313448921726</v>
      </c>
      <c r="H19" s="26" t="n">
        <f aca="false">(SUMIFS(Data!$R$6:$R$1085,Data!$E$6:$E$1085,$B19,Data!$A$6:$A$1085,"FY26"))/E19</f>
        <v>0.237375512887681</v>
      </c>
      <c r="I19" s="26" t="n">
        <f aca="false">C19/(SUMIFS(Data!$F$6:$F$1085,Data!$E$6:$E$1085,$B19,Data!$A$6:$A$1085,"FY24"))-1</f>
        <v>0.0161146809748529</v>
      </c>
      <c r="J19" s="26" t="n">
        <f aca="false">D19/(SUMIFS(Data!$F$6:$F$1085,Data!$E$6:$E$1085,$B19,Data!$A$6:$A$1085,"FY25"))-1</f>
        <v>0.00165160127785646</v>
      </c>
      <c r="K19" s="26" t="n">
        <f aca="false">E19/(SUMIFS(Data!$F$6:$F$1085,Data!$E$6:$E$1085,$B19,Data!$A$6:$A$1085,"FY26"))-1</f>
        <v>-0.0182753586584422</v>
      </c>
    </row>
    <row r="20" customFormat="false" ht="15" hidden="false" customHeight="false" outlineLevel="0" collapsed="false">
      <c r="B20" s="4" t="s">
        <v>45</v>
      </c>
      <c r="C20" s="15" t="n">
        <f aca="false">SUMIFS(Data!$G$6:$G$1085,Data!$E$6:$E$1085,$B20,Data!$A$6:$A$1085,"FY24")</f>
        <v>11821917</v>
      </c>
      <c r="D20" s="15" t="n">
        <f aca="false">SUMIFS(Data!$G$6:$G$1085,Data!$E$6:$E$1085,$B20,Data!$A$6:$A$1085,"FY25")</f>
        <v>12768179</v>
      </c>
      <c r="E20" s="15" t="n">
        <f aca="false">SUMIFS(Data!$G$6:$G$1085,Data!$E$6:$E$1085,$B20,Data!$A$6:$A$1085,"FY26")</f>
        <v>13720590</v>
      </c>
      <c r="F20" s="26" t="n">
        <f aca="false">(SUMIFS(Data!$R$6:$R$1085,Data!$E$6:$E$1085,$B20,Data!$A$6:$A$1085,"FY24"))/C20</f>
        <v>0.242805122045773</v>
      </c>
      <c r="G20" s="26" t="n">
        <f aca="false">(SUMIFS(Data!$R$6:$R$1085,Data!$E$6:$E$1085,$B20,Data!$A$6:$A$1085,"FY25"))/D20</f>
        <v>0.238660736194253</v>
      </c>
      <c r="H20" s="26" t="n">
        <f aca="false">(SUMIFS(Data!$R$6:$R$1085,Data!$E$6:$E$1085,$B20,Data!$A$6:$A$1085,"FY26"))/E20</f>
        <v>0.23883768846675</v>
      </c>
      <c r="I20" s="26" t="n">
        <f aca="false">C20/(SUMIFS(Data!$F$6:$F$1085,Data!$E$6:$E$1085,$B20,Data!$A$6:$A$1085,"FY24"))-1</f>
        <v>0.0187019550304817</v>
      </c>
      <c r="J20" s="26" t="n">
        <f aca="false">D20/(SUMIFS(Data!$F$6:$F$1085,Data!$E$6:$E$1085,$B20,Data!$A$6:$A$1085,"FY25"))-1</f>
        <v>0.00405461577913258</v>
      </c>
      <c r="K20" s="26" t="n">
        <f aca="false">E20/(SUMIFS(Data!$F$6:$F$1085,Data!$E$6:$E$1085,$B20,Data!$A$6:$A$1085,"FY26"))-1</f>
        <v>-0.0254987321374567</v>
      </c>
    </row>
  </sheetData>
  <mergeCells count="2">
    <mergeCell ref="B1:K1"/>
    <mergeCell ref="B2:K2"/>
  </mergeCells>
  <conditionalFormatting sqref="I6:K1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F6:H10">
    <cfRule type="colorScale" priority="4">
      <colorScale>
        <cfvo type="min" val="0"/>
        <cfvo type="max" val="0"/>
        <color rgb="FFF4B6AE"/>
        <color rgb="FFB7E1CD"/>
      </colorScale>
    </cfRule>
  </conditionalFormatting>
  <conditionalFormatting sqref="I15:K20">
    <cfRule type="cellIs" priority="5" operator="lessThan" aboveAverage="0" equalAverage="0" bottom="0" percent="0" rank="0" text="" dxfId="0">
      <formula>0</formula>
    </cfRule>
    <cfRule type="cellIs" priority="6" operator="greaterThan" aboveAverage="0" equalAverage="0" bottom="0" percent="0" rank="0" text="" dxfId="1">
      <formula>0</formula>
    </cfRule>
  </conditionalFormatting>
  <conditionalFormatting sqref="F15:H20">
    <cfRule type="colorScale" priority="7">
      <colorScale>
        <cfvo type="min" val="0"/>
        <cfvo type="max" val="0"/>
        <color rgb="FFF4B6AE"/>
        <color rgb="FFB7E1CD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20" min="6" style="0" width="14"/>
    <col collapsed="false" customWidth="true" hidden="false" outlineLevel="0" max="21" min="21" style="0" width="10"/>
  </cols>
  <sheetData>
    <row r="1" customFormat="false" ht="30" hidden="false" customHeight="true" outlineLevel="0" collapsed="false">
      <c r="A1" s="1"/>
      <c r="B1" s="2" t="s">
        <v>112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B2" s="3" t="s">
        <v>113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5" customFormat="false" ht="30" hidden="false" customHeight="true" outlineLevel="0" collapsed="false">
      <c r="A5" s="13" t="s">
        <v>114</v>
      </c>
      <c r="B5" s="14" t="s">
        <v>115</v>
      </c>
      <c r="C5" s="14" t="s">
        <v>90</v>
      </c>
      <c r="D5" s="14" t="s">
        <v>116</v>
      </c>
      <c r="E5" s="14" t="s">
        <v>117</v>
      </c>
      <c r="F5" s="14" t="s">
        <v>118</v>
      </c>
      <c r="G5" s="14" t="s">
        <v>119</v>
      </c>
      <c r="H5" s="14" t="s">
        <v>120</v>
      </c>
      <c r="I5" s="14" t="s">
        <v>121</v>
      </c>
      <c r="J5" s="14" t="s">
        <v>122</v>
      </c>
      <c r="K5" s="14" t="s">
        <v>123</v>
      </c>
      <c r="L5" s="14" t="s">
        <v>124</v>
      </c>
      <c r="M5" s="14" t="s">
        <v>125</v>
      </c>
      <c r="N5" s="14" t="s">
        <v>126</v>
      </c>
      <c r="O5" s="14" t="s">
        <v>127</v>
      </c>
      <c r="P5" s="14" t="s">
        <v>128</v>
      </c>
      <c r="Q5" s="14" t="s">
        <v>129</v>
      </c>
      <c r="R5" s="14" t="s">
        <v>130</v>
      </c>
      <c r="S5" s="14" t="s">
        <v>131</v>
      </c>
      <c r="T5" s="14" t="s">
        <v>132</v>
      </c>
      <c r="U5" s="14" t="s">
        <v>133</v>
      </c>
    </row>
    <row r="6" customFormat="false" ht="15" hidden="false" customHeight="false" outlineLevel="0" collapsed="false">
      <c r="A6" s="47" t="s">
        <v>134</v>
      </c>
      <c r="B6" s="47" t="s">
        <v>135</v>
      </c>
      <c r="C6" s="48" t="n">
        <v>45017</v>
      </c>
      <c r="D6" s="47" t="s">
        <v>33</v>
      </c>
      <c r="E6" s="47" t="s">
        <v>40</v>
      </c>
      <c r="F6" s="49" t="n">
        <v>806311</v>
      </c>
      <c r="G6" s="49" t="n">
        <v>811009</v>
      </c>
      <c r="H6" s="49" t="n">
        <v>463226</v>
      </c>
      <c r="I6" s="49" t="n">
        <v>454027</v>
      </c>
      <c r="J6" s="49" t="n">
        <v>131832</v>
      </c>
      <c r="K6" s="49" t="n">
        <v>140608</v>
      </c>
      <c r="L6" s="50" t="n">
        <v>56.2</v>
      </c>
      <c r="M6" s="51" t="n">
        <f aca="false">G6-F6</f>
        <v>4698</v>
      </c>
      <c r="N6" s="52" t="n">
        <f aca="false">IF(F6=0,0,M6/F6)</f>
        <v>0.00582653591480211</v>
      </c>
      <c r="O6" s="51" t="n">
        <f aca="false">G6-I6</f>
        <v>356982</v>
      </c>
      <c r="P6" s="51" t="n">
        <f aca="false">F6-H6</f>
        <v>343085</v>
      </c>
      <c r="Q6" s="51" t="n">
        <f aca="false">F6-H6-J6</f>
        <v>211253</v>
      </c>
      <c r="R6" s="51" t="n">
        <f aca="false">G6-I6-K6</f>
        <v>216374</v>
      </c>
      <c r="S6" s="51" t="n">
        <f aca="false">R6-Q6</f>
        <v>5121</v>
      </c>
      <c r="T6" s="52" t="n">
        <f aca="false">IF(Q6=0,0,S6/Q6)</f>
        <v>0.0242410758663782</v>
      </c>
      <c r="U6" s="51" t="str">
        <f aca="false">IF(AND(Q6&gt;0,T6&lt;-0.15),"ADVERSE","")</f>
        <v/>
      </c>
    </row>
    <row r="7" customFormat="false" ht="15" hidden="false" customHeight="false" outlineLevel="0" collapsed="false">
      <c r="A7" s="47" t="s">
        <v>134</v>
      </c>
      <c r="B7" s="47" t="s">
        <v>135</v>
      </c>
      <c r="C7" s="48" t="n">
        <v>45047</v>
      </c>
      <c r="D7" s="47" t="s">
        <v>33</v>
      </c>
      <c r="E7" s="47" t="s">
        <v>40</v>
      </c>
      <c r="F7" s="49" t="n">
        <v>800782</v>
      </c>
      <c r="G7" s="49" t="n">
        <v>823273</v>
      </c>
      <c r="H7" s="49" t="n">
        <v>460049</v>
      </c>
      <c r="I7" s="49" t="n">
        <v>475383</v>
      </c>
      <c r="J7" s="49" t="n">
        <v>130928</v>
      </c>
      <c r="K7" s="49" t="n">
        <v>134518</v>
      </c>
      <c r="L7" s="50" t="n">
        <v>55.8</v>
      </c>
      <c r="M7" s="51" t="n">
        <f aca="false">G7-F7</f>
        <v>22491</v>
      </c>
      <c r="N7" s="52" t="n">
        <f aca="false">IF(F7=0,0,M7/F7)</f>
        <v>0.028086295646006</v>
      </c>
      <c r="O7" s="51" t="n">
        <f aca="false">G7-I7</f>
        <v>347890</v>
      </c>
      <c r="P7" s="51" t="n">
        <f aca="false">F7-H7</f>
        <v>340733</v>
      </c>
      <c r="Q7" s="51" t="n">
        <f aca="false">F7-H7-J7</f>
        <v>209805</v>
      </c>
      <c r="R7" s="51" t="n">
        <f aca="false">G7-I7-K7</f>
        <v>213372</v>
      </c>
      <c r="S7" s="51" t="n">
        <f aca="false">R7-Q7</f>
        <v>3567</v>
      </c>
      <c r="T7" s="52" t="n">
        <f aca="false">IF(Q7=0,0,S7/Q7)</f>
        <v>0.0170015013941517</v>
      </c>
      <c r="U7" s="51" t="str">
        <f aca="false">IF(AND(Q7&gt;0,T7&lt;-0.15),"ADVERSE","")</f>
        <v/>
      </c>
    </row>
    <row r="8" customFormat="false" ht="15" hidden="false" customHeight="false" outlineLevel="0" collapsed="false">
      <c r="A8" s="47" t="s">
        <v>134</v>
      </c>
      <c r="B8" s="47" t="s">
        <v>135</v>
      </c>
      <c r="C8" s="48" t="n">
        <v>45078</v>
      </c>
      <c r="D8" s="47" t="s">
        <v>33</v>
      </c>
      <c r="E8" s="47" t="s">
        <v>40</v>
      </c>
      <c r="F8" s="49" t="n">
        <v>830929</v>
      </c>
      <c r="G8" s="49" t="n">
        <v>876235</v>
      </c>
      <c r="H8" s="49" t="n">
        <v>477369</v>
      </c>
      <c r="I8" s="49" t="n">
        <v>503386</v>
      </c>
      <c r="J8" s="49" t="n">
        <v>135857</v>
      </c>
      <c r="K8" s="49" t="n">
        <v>144129</v>
      </c>
      <c r="L8" s="50" t="n">
        <v>56.5</v>
      </c>
      <c r="M8" s="51" t="n">
        <f aca="false">G8-F8</f>
        <v>45306</v>
      </c>
      <c r="N8" s="52" t="n">
        <f aca="false">IF(F8=0,0,M8/F8)</f>
        <v>0.0545245141281626</v>
      </c>
      <c r="O8" s="51" t="n">
        <f aca="false">G8-I8</f>
        <v>372849</v>
      </c>
      <c r="P8" s="51" t="n">
        <f aca="false">F8-H8</f>
        <v>353560</v>
      </c>
      <c r="Q8" s="51" t="n">
        <f aca="false">F8-H8-J8</f>
        <v>217703</v>
      </c>
      <c r="R8" s="51" t="n">
        <f aca="false">G8-I8-K8</f>
        <v>228720</v>
      </c>
      <c r="S8" s="51" t="n">
        <f aca="false">R8-Q8</f>
        <v>11017</v>
      </c>
      <c r="T8" s="52" t="n">
        <f aca="false">IF(Q8=0,0,S8/Q8)</f>
        <v>0.0506056416310294</v>
      </c>
      <c r="U8" s="51" t="str">
        <f aca="false">IF(AND(Q8&gt;0,T8&lt;-0.15),"ADVERSE","")</f>
        <v/>
      </c>
    </row>
    <row r="9" customFormat="false" ht="15" hidden="false" customHeight="false" outlineLevel="0" collapsed="false">
      <c r="A9" s="47" t="s">
        <v>134</v>
      </c>
      <c r="B9" s="47" t="s">
        <v>136</v>
      </c>
      <c r="C9" s="48" t="n">
        <v>45108</v>
      </c>
      <c r="D9" s="47" t="s">
        <v>33</v>
      </c>
      <c r="E9" s="47" t="s">
        <v>40</v>
      </c>
      <c r="F9" s="49" t="n">
        <v>838751</v>
      </c>
      <c r="G9" s="49" t="n">
        <v>850695</v>
      </c>
      <c r="H9" s="49" t="n">
        <v>481862</v>
      </c>
      <c r="I9" s="49" t="n">
        <v>492881</v>
      </c>
      <c r="J9" s="49" t="n">
        <v>137136</v>
      </c>
      <c r="K9" s="49" t="n">
        <v>139699</v>
      </c>
      <c r="L9" s="50" t="n">
        <v>55.5</v>
      </c>
      <c r="M9" s="51" t="n">
        <f aca="false">G9-F9</f>
        <v>11944</v>
      </c>
      <c r="N9" s="52" t="n">
        <f aca="false">IF(F9=0,0,M9/F9)</f>
        <v>0.0142402214721652</v>
      </c>
      <c r="O9" s="51" t="n">
        <f aca="false">G9-I9</f>
        <v>357814</v>
      </c>
      <c r="P9" s="51" t="n">
        <f aca="false">F9-H9</f>
        <v>356889</v>
      </c>
      <c r="Q9" s="51" t="n">
        <f aca="false">F9-H9-J9</f>
        <v>219753</v>
      </c>
      <c r="R9" s="51" t="n">
        <f aca="false">G9-I9-K9</f>
        <v>218115</v>
      </c>
      <c r="S9" s="51" t="n">
        <f aca="false">R9-Q9</f>
        <v>-1638</v>
      </c>
      <c r="T9" s="52" t="n">
        <f aca="false">IF(Q9=0,0,S9/Q9)</f>
        <v>-0.00745382315599787</v>
      </c>
      <c r="U9" s="51" t="str">
        <f aca="false">IF(AND(Q9&gt;0,T9&lt;-0.15),"ADVERSE","")</f>
        <v/>
      </c>
    </row>
    <row r="10" customFormat="false" ht="15" hidden="false" customHeight="false" outlineLevel="0" collapsed="false">
      <c r="A10" s="47" t="s">
        <v>134</v>
      </c>
      <c r="B10" s="47" t="s">
        <v>136</v>
      </c>
      <c r="C10" s="48" t="n">
        <v>45139</v>
      </c>
      <c r="D10" s="47" t="s">
        <v>33</v>
      </c>
      <c r="E10" s="47" t="s">
        <v>40</v>
      </c>
      <c r="F10" s="49" t="n">
        <v>821552</v>
      </c>
      <c r="G10" s="49" t="n">
        <v>827251</v>
      </c>
      <c r="H10" s="49" t="n">
        <v>471982</v>
      </c>
      <c r="I10" s="49" t="n">
        <v>474132</v>
      </c>
      <c r="J10" s="49" t="n">
        <v>134324</v>
      </c>
      <c r="K10" s="49" t="n">
        <v>135758</v>
      </c>
      <c r="L10" s="50" t="n">
        <v>57.5</v>
      </c>
      <c r="M10" s="51" t="n">
        <f aca="false">G10-F10</f>
        <v>5699</v>
      </c>
      <c r="N10" s="52" t="n">
        <f aca="false">IF(F10=0,0,M10/F10)</f>
        <v>0.00693687070325433</v>
      </c>
      <c r="O10" s="51" t="n">
        <f aca="false">G10-I10</f>
        <v>353119</v>
      </c>
      <c r="P10" s="51" t="n">
        <f aca="false">F10-H10</f>
        <v>349570</v>
      </c>
      <c r="Q10" s="51" t="n">
        <f aca="false">F10-H10-J10</f>
        <v>215246</v>
      </c>
      <c r="R10" s="51" t="n">
        <f aca="false">G10-I10-K10</f>
        <v>217361</v>
      </c>
      <c r="S10" s="51" t="n">
        <f aca="false">R10-Q10</f>
        <v>2115</v>
      </c>
      <c r="T10" s="52" t="n">
        <f aca="false">IF(Q10=0,0,S10/Q10)</f>
        <v>0.00982596656848443</v>
      </c>
      <c r="U10" s="51" t="str">
        <f aca="false">IF(AND(Q10&gt;0,T10&lt;-0.15),"ADVERSE","")</f>
        <v/>
      </c>
    </row>
    <row r="11" customFormat="false" ht="15" hidden="false" customHeight="false" outlineLevel="0" collapsed="false">
      <c r="A11" s="47" t="s">
        <v>134</v>
      </c>
      <c r="B11" s="47" t="s">
        <v>136</v>
      </c>
      <c r="C11" s="48" t="n">
        <v>45170</v>
      </c>
      <c r="D11" s="47" t="s">
        <v>33</v>
      </c>
      <c r="E11" s="47" t="s">
        <v>40</v>
      </c>
      <c r="F11" s="49" t="n">
        <v>834133</v>
      </c>
      <c r="G11" s="49" t="n">
        <v>919880</v>
      </c>
      <c r="H11" s="49" t="n">
        <v>479209</v>
      </c>
      <c r="I11" s="49" t="n">
        <v>538853</v>
      </c>
      <c r="J11" s="49" t="n">
        <v>136381</v>
      </c>
      <c r="K11" s="49" t="n">
        <v>144991</v>
      </c>
      <c r="L11" s="50" t="n">
        <v>57.5</v>
      </c>
      <c r="M11" s="51" t="n">
        <f aca="false">G11-F11</f>
        <v>85747</v>
      </c>
      <c r="N11" s="52" t="n">
        <f aca="false">IF(F11=0,0,M11/F11)</f>
        <v>0.102797755274039</v>
      </c>
      <c r="O11" s="51" t="n">
        <f aca="false">G11-I11</f>
        <v>381027</v>
      </c>
      <c r="P11" s="51" t="n">
        <f aca="false">F11-H11</f>
        <v>354924</v>
      </c>
      <c r="Q11" s="51" t="n">
        <f aca="false">F11-H11-J11</f>
        <v>218543</v>
      </c>
      <c r="R11" s="51" t="n">
        <f aca="false">G11-I11-K11</f>
        <v>236036</v>
      </c>
      <c r="S11" s="51" t="n">
        <f aca="false">R11-Q11</f>
        <v>17493</v>
      </c>
      <c r="T11" s="52" t="n">
        <f aca="false">IF(Q11=0,0,S11/Q11)</f>
        <v>0.0800437442517033</v>
      </c>
      <c r="U11" s="51" t="str">
        <f aca="false">IF(AND(Q11&gt;0,T11&lt;-0.15),"ADVERSE","")</f>
        <v/>
      </c>
    </row>
    <row r="12" customFormat="false" ht="15" hidden="false" customHeight="false" outlineLevel="0" collapsed="false">
      <c r="A12" s="47" t="s">
        <v>134</v>
      </c>
      <c r="B12" s="47" t="s">
        <v>137</v>
      </c>
      <c r="C12" s="48" t="n">
        <v>45200</v>
      </c>
      <c r="D12" s="47" t="s">
        <v>33</v>
      </c>
      <c r="E12" s="47" t="s">
        <v>40</v>
      </c>
      <c r="F12" s="49" t="n">
        <v>884683</v>
      </c>
      <c r="G12" s="49" t="n">
        <v>860302</v>
      </c>
      <c r="H12" s="49" t="n">
        <v>508250</v>
      </c>
      <c r="I12" s="49" t="n">
        <v>500413</v>
      </c>
      <c r="J12" s="49" t="n">
        <v>144646</v>
      </c>
      <c r="K12" s="49" t="n">
        <v>147823</v>
      </c>
      <c r="L12" s="50" t="n">
        <v>56.9</v>
      </c>
      <c r="M12" s="51" t="n">
        <f aca="false">G12-F12</f>
        <v>-24381</v>
      </c>
      <c r="N12" s="52" t="n">
        <f aca="false">IF(F12=0,0,M12/F12)</f>
        <v>-0.0275590239667768</v>
      </c>
      <c r="O12" s="51" t="n">
        <f aca="false">G12-I12</f>
        <v>359889</v>
      </c>
      <c r="P12" s="51" t="n">
        <f aca="false">F12-H12</f>
        <v>376433</v>
      </c>
      <c r="Q12" s="51" t="n">
        <f aca="false">F12-H12-J12</f>
        <v>231787</v>
      </c>
      <c r="R12" s="51" t="n">
        <f aca="false">G12-I12-K12</f>
        <v>212066</v>
      </c>
      <c r="S12" s="51" t="n">
        <f aca="false">R12-Q12</f>
        <v>-19721</v>
      </c>
      <c r="T12" s="52" t="n">
        <f aca="false">IF(Q12=0,0,S12/Q12)</f>
        <v>-0.0850824248124356</v>
      </c>
      <c r="U12" s="51" t="str">
        <f aca="false">IF(AND(Q12&gt;0,T12&lt;-0.15),"ADVERSE","")</f>
        <v/>
      </c>
    </row>
    <row r="13" customFormat="false" ht="15" hidden="false" customHeight="false" outlineLevel="0" collapsed="false">
      <c r="A13" s="47" t="s">
        <v>134</v>
      </c>
      <c r="B13" s="47" t="s">
        <v>137</v>
      </c>
      <c r="C13" s="48" t="n">
        <v>45231</v>
      </c>
      <c r="D13" s="47" t="s">
        <v>33</v>
      </c>
      <c r="E13" s="47" t="s">
        <v>40</v>
      </c>
      <c r="F13" s="49" t="n">
        <v>867436</v>
      </c>
      <c r="G13" s="49" t="n">
        <v>916151</v>
      </c>
      <c r="H13" s="49" t="n">
        <v>498342</v>
      </c>
      <c r="I13" s="49" t="n">
        <v>523434</v>
      </c>
      <c r="J13" s="49" t="n">
        <v>141826</v>
      </c>
      <c r="K13" s="49" t="n">
        <v>153949</v>
      </c>
      <c r="L13" s="50" t="n">
        <v>58.8</v>
      </c>
      <c r="M13" s="51" t="n">
        <f aca="false">G13-F13</f>
        <v>48715</v>
      </c>
      <c r="N13" s="52" t="n">
        <f aca="false">IF(F13=0,0,M13/F13)</f>
        <v>0.0561597627951803</v>
      </c>
      <c r="O13" s="51" t="n">
        <f aca="false">G13-I13</f>
        <v>392717</v>
      </c>
      <c r="P13" s="51" t="n">
        <f aca="false">F13-H13</f>
        <v>369094</v>
      </c>
      <c r="Q13" s="51" t="n">
        <f aca="false">F13-H13-J13</f>
        <v>227268</v>
      </c>
      <c r="R13" s="51" t="n">
        <f aca="false">G13-I13-K13</f>
        <v>238768</v>
      </c>
      <c r="S13" s="51" t="n">
        <f aca="false">R13-Q13</f>
        <v>11500</v>
      </c>
      <c r="T13" s="52" t="n">
        <f aca="false">IF(Q13=0,0,S13/Q13)</f>
        <v>0.050601052501892</v>
      </c>
      <c r="U13" s="51" t="str">
        <f aca="false">IF(AND(Q13&gt;0,T13&lt;-0.15),"ADVERSE","")</f>
        <v/>
      </c>
    </row>
    <row r="14" customFormat="false" ht="15" hidden="false" customHeight="false" outlineLevel="0" collapsed="false">
      <c r="A14" s="47" t="s">
        <v>134</v>
      </c>
      <c r="B14" s="47" t="s">
        <v>137</v>
      </c>
      <c r="C14" s="48" t="n">
        <v>45261</v>
      </c>
      <c r="D14" s="47" t="s">
        <v>33</v>
      </c>
      <c r="E14" s="47" t="s">
        <v>40</v>
      </c>
      <c r="F14" s="49" t="n">
        <v>856916</v>
      </c>
      <c r="G14" s="49" t="n">
        <v>889814</v>
      </c>
      <c r="H14" s="49" t="n">
        <v>492298</v>
      </c>
      <c r="I14" s="49" t="n">
        <v>505764</v>
      </c>
      <c r="J14" s="49" t="n">
        <v>140106</v>
      </c>
      <c r="K14" s="49" t="n">
        <v>154530</v>
      </c>
      <c r="L14" s="50" t="n">
        <v>58.8</v>
      </c>
      <c r="M14" s="51" t="n">
        <f aca="false">G14-F14</f>
        <v>32898</v>
      </c>
      <c r="N14" s="52" t="n">
        <f aca="false">IF(F14=0,0,M14/F14)</f>
        <v>0.0383911608605744</v>
      </c>
      <c r="O14" s="51" t="n">
        <f aca="false">G14-I14</f>
        <v>384050</v>
      </c>
      <c r="P14" s="51" t="n">
        <f aca="false">F14-H14</f>
        <v>364618</v>
      </c>
      <c r="Q14" s="51" t="n">
        <f aca="false">F14-H14-J14</f>
        <v>224512</v>
      </c>
      <c r="R14" s="51" t="n">
        <f aca="false">G14-I14-K14</f>
        <v>229520</v>
      </c>
      <c r="S14" s="51" t="n">
        <f aca="false">R14-Q14</f>
        <v>5008</v>
      </c>
      <c r="T14" s="52" t="n">
        <f aca="false">IF(Q14=0,0,S14/Q14)</f>
        <v>0.022306157354618</v>
      </c>
      <c r="U14" s="51" t="str">
        <f aca="false">IF(AND(Q14&gt;0,T14&lt;-0.15),"ADVERSE","")</f>
        <v/>
      </c>
    </row>
    <row r="15" customFormat="false" ht="15" hidden="false" customHeight="false" outlineLevel="0" collapsed="false">
      <c r="A15" s="47" t="s">
        <v>134</v>
      </c>
      <c r="B15" s="47" t="s">
        <v>138</v>
      </c>
      <c r="C15" s="48" t="n">
        <v>45292</v>
      </c>
      <c r="D15" s="47" t="s">
        <v>33</v>
      </c>
      <c r="E15" s="47" t="s">
        <v>40</v>
      </c>
      <c r="F15" s="49" t="n">
        <v>862191</v>
      </c>
      <c r="G15" s="49" t="n">
        <v>884908</v>
      </c>
      <c r="H15" s="49" t="n">
        <v>495329</v>
      </c>
      <c r="I15" s="49" t="n">
        <v>503046</v>
      </c>
      <c r="J15" s="49" t="n">
        <v>140968</v>
      </c>
      <c r="K15" s="49" t="n">
        <v>159599</v>
      </c>
      <c r="L15" s="50" t="n">
        <v>61.4</v>
      </c>
      <c r="M15" s="51" t="n">
        <f aca="false">G15-F15</f>
        <v>22717</v>
      </c>
      <c r="N15" s="52" t="n">
        <f aca="false">IF(F15=0,0,M15/F15)</f>
        <v>0.0263479901785103</v>
      </c>
      <c r="O15" s="51" t="n">
        <f aca="false">G15-I15</f>
        <v>381862</v>
      </c>
      <c r="P15" s="51" t="n">
        <f aca="false">F15-H15</f>
        <v>366862</v>
      </c>
      <c r="Q15" s="51" t="n">
        <f aca="false">F15-H15-J15</f>
        <v>225894</v>
      </c>
      <c r="R15" s="51" t="n">
        <f aca="false">G15-I15-K15</f>
        <v>222263</v>
      </c>
      <c r="S15" s="51" t="n">
        <f aca="false">R15-Q15</f>
        <v>-3631</v>
      </c>
      <c r="T15" s="52" t="n">
        <f aca="false">IF(Q15=0,0,S15/Q15)</f>
        <v>-0.0160739107723091</v>
      </c>
      <c r="U15" s="51" t="str">
        <f aca="false">IF(AND(Q15&gt;0,T15&lt;-0.15),"ADVERSE","")</f>
        <v/>
      </c>
    </row>
    <row r="16" customFormat="false" ht="15" hidden="false" customHeight="false" outlineLevel="0" collapsed="false">
      <c r="A16" s="47" t="s">
        <v>134</v>
      </c>
      <c r="B16" s="47" t="s">
        <v>138</v>
      </c>
      <c r="C16" s="48" t="n">
        <v>45323</v>
      </c>
      <c r="D16" s="47" t="s">
        <v>33</v>
      </c>
      <c r="E16" s="47" t="s">
        <v>40</v>
      </c>
      <c r="F16" s="49" t="n">
        <v>867025</v>
      </c>
      <c r="G16" s="49" t="n">
        <v>928102</v>
      </c>
      <c r="H16" s="49" t="n">
        <v>498106</v>
      </c>
      <c r="I16" s="49" t="n">
        <v>528730</v>
      </c>
      <c r="J16" s="49" t="n">
        <v>141759</v>
      </c>
      <c r="K16" s="49" t="n">
        <v>158675</v>
      </c>
      <c r="L16" s="50" t="n">
        <v>58.6</v>
      </c>
      <c r="M16" s="51" t="n">
        <f aca="false">G16-F16</f>
        <v>61077</v>
      </c>
      <c r="N16" s="52" t="n">
        <f aca="false">IF(F16=0,0,M16/F16)</f>
        <v>0.0704443355151236</v>
      </c>
      <c r="O16" s="51" t="n">
        <f aca="false">G16-I16</f>
        <v>399372</v>
      </c>
      <c r="P16" s="51" t="n">
        <f aca="false">F16-H16</f>
        <v>368919</v>
      </c>
      <c r="Q16" s="51" t="n">
        <f aca="false">F16-H16-J16</f>
        <v>227160</v>
      </c>
      <c r="R16" s="51" t="n">
        <f aca="false">G16-I16-K16</f>
        <v>240697</v>
      </c>
      <c r="S16" s="51" t="n">
        <f aca="false">R16-Q16</f>
        <v>13537</v>
      </c>
      <c r="T16" s="52" t="n">
        <f aca="false">IF(Q16=0,0,S16/Q16)</f>
        <v>0.0595923578094735</v>
      </c>
      <c r="U16" s="51" t="str">
        <f aca="false">IF(AND(Q16&gt;0,T16&lt;-0.15),"ADVERSE","")</f>
        <v/>
      </c>
    </row>
    <row r="17" customFormat="false" ht="15" hidden="false" customHeight="false" outlineLevel="0" collapsed="false">
      <c r="A17" s="47" t="s">
        <v>134</v>
      </c>
      <c r="B17" s="47" t="s">
        <v>138</v>
      </c>
      <c r="C17" s="48" t="n">
        <v>45352</v>
      </c>
      <c r="D17" s="47" t="s">
        <v>33</v>
      </c>
      <c r="E17" s="47" t="s">
        <v>40</v>
      </c>
      <c r="F17" s="49" t="n">
        <v>935509</v>
      </c>
      <c r="G17" s="49" t="n">
        <v>956172</v>
      </c>
      <c r="H17" s="49" t="n">
        <v>537450</v>
      </c>
      <c r="I17" s="49" t="n">
        <v>551970</v>
      </c>
      <c r="J17" s="49" t="n">
        <v>152956</v>
      </c>
      <c r="K17" s="49" t="n">
        <v>165158</v>
      </c>
      <c r="L17" s="50" t="n">
        <v>58.8</v>
      </c>
      <c r="M17" s="51" t="n">
        <f aca="false">G17-F17</f>
        <v>20663</v>
      </c>
      <c r="N17" s="52" t="n">
        <f aca="false">IF(F17=0,0,M17/F17)</f>
        <v>0.0220874411683907</v>
      </c>
      <c r="O17" s="51" t="n">
        <f aca="false">G17-I17</f>
        <v>404202</v>
      </c>
      <c r="P17" s="51" t="n">
        <f aca="false">F17-H17</f>
        <v>398059</v>
      </c>
      <c r="Q17" s="51" t="n">
        <f aca="false">F17-H17-J17</f>
        <v>245103</v>
      </c>
      <c r="R17" s="51" t="n">
        <f aca="false">G17-I17-K17</f>
        <v>239044</v>
      </c>
      <c r="S17" s="51" t="n">
        <f aca="false">R17-Q17</f>
        <v>-6059</v>
      </c>
      <c r="T17" s="52" t="n">
        <f aca="false">IF(Q17=0,0,S17/Q17)</f>
        <v>-0.024720219662754</v>
      </c>
      <c r="U17" s="51" t="str">
        <f aca="false">IF(AND(Q17&gt;0,T17&lt;-0.15),"ADVERSE","")</f>
        <v/>
      </c>
    </row>
    <row r="18" customFormat="false" ht="15" hidden="false" customHeight="false" outlineLevel="0" collapsed="false">
      <c r="A18" s="47" t="s">
        <v>139</v>
      </c>
      <c r="B18" s="47" t="s">
        <v>135</v>
      </c>
      <c r="C18" s="48" t="n">
        <v>45383</v>
      </c>
      <c r="D18" s="47" t="s">
        <v>33</v>
      </c>
      <c r="E18" s="47" t="s">
        <v>40</v>
      </c>
      <c r="F18" s="49" t="n">
        <v>892741</v>
      </c>
      <c r="G18" s="49" t="n">
        <v>877881</v>
      </c>
      <c r="H18" s="49" t="n">
        <v>512880</v>
      </c>
      <c r="I18" s="49" t="n">
        <v>497981</v>
      </c>
      <c r="J18" s="49" t="n">
        <v>145963</v>
      </c>
      <c r="K18" s="49" t="n">
        <v>137312</v>
      </c>
      <c r="L18" s="50" t="n">
        <v>58.9</v>
      </c>
      <c r="M18" s="51" t="n">
        <f aca="false">G18-F18</f>
        <v>-14860</v>
      </c>
      <c r="N18" s="52" t="n">
        <f aca="false">IF(F18=0,0,M18/F18)</f>
        <v>-0.016645365229109</v>
      </c>
      <c r="O18" s="51" t="n">
        <f aca="false">G18-I18</f>
        <v>379900</v>
      </c>
      <c r="P18" s="51" t="n">
        <f aca="false">F18-H18</f>
        <v>379861</v>
      </c>
      <c r="Q18" s="51" t="n">
        <f aca="false">F18-H18-J18</f>
        <v>233898</v>
      </c>
      <c r="R18" s="51" t="n">
        <f aca="false">G18-I18-K18</f>
        <v>242588</v>
      </c>
      <c r="S18" s="51" t="n">
        <f aca="false">R18-Q18</f>
        <v>8690</v>
      </c>
      <c r="T18" s="52" t="n">
        <f aca="false">IF(Q18=0,0,S18/Q18)</f>
        <v>0.0371529470110903</v>
      </c>
      <c r="U18" s="51" t="str">
        <f aca="false">IF(AND(Q18&gt;0,T18&lt;-0.15),"ADVERSE","")</f>
        <v/>
      </c>
    </row>
    <row r="19" customFormat="false" ht="15" hidden="false" customHeight="false" outlineLevel="0" collapsed="false">
      <c r="A19" s="47" t="s">
        <v>139</v>
      </c>
      <c r="B19" s="47" t="s">
        <v>135</v>
      </c>
      <c r="C19" s="48" t="n">
        <v>45413</v>
      </c>
      <c r="D19" s="47" t="s">
        <v>33</v>
      </c>
      <c r="E19" s="47" t="s">
        <v>40</v>
      </c>
      <c r="F19" s="49" t="n">
        <v>895223</v>
      </c>
      <c r="G19" s="49" t="n">
        <v>947673</v>
      </c>
      <c r="H19" s="49" t="n">
        <v>514305</v>
      </c>
      <c r="I19" s="49" t="n">
        <v>546861</v>
      </c>
      <c r="J19" s="49" t="n">
        <v>146369</v>
      </c>
      <c r="K19" s="49" t="n">
        <v>149447</v>
      </c>
      <c r="L19" s="50" t="n">
        <v>60.2</v>
      </c>
      <c r="M19" s="51" t="n">
        <f aca="false">G19-F19</f>
        <v>52450</v>
      </c>
      <c r="N19" s="52" t="n">
        <f aca="false">IF(F19=0,0,M19/F19)</f>
        <v>0.0585887538635625</v>
      </c>
      <c r="O19" s="51" t="n">
        <f aca="false">G19-I19</f>
        <v>400812</v>
      </c>
      <c r="P19" s="51" t="n">
        <f aca="false">F19-H19</f>
        <v>380918</v>
      </c>
      <c r="Q19" s="51" t="n">
        <f aca="false">F19-H19-J19</f>
        <v>234549</v>
      </c>
      <c r="R19" s="51" t="n">
        <f aca="false">G19-I19-K19</f>
        <v>251365</v>
      </c>
      <c r="S19" s="51" t="n">
        <f aca="false">R19-Q19</f>
        <v>16816</v>
      </c>
      <c r="T19" s="52" t="n">
        <f aca="false">IF(Q19=0,0,S19/Q19)</f>
        <v>0.0716950402687711</v>
      </c>
      <c r="U19" s="51" t="str">
        <f aca="false">IF(AND(Q19&gt;0,T19&lt;-0.15),"ADVERSE","")</f>
        <v/>
      </c>
    </row>
    <row r="20" customFormat="false" ht="15" hidden="false" customHeight="false" outlineLevel="0" collapsed="false">
      <c r="A20" s="47" t="s">
        <v>139</v>
      </c>
      <c r="B20" s="47" t="s">
        <v>135</v>
      </c>
      <c r="C20" s="48" t="n">
        <v>45444</v>
      </c>
      <c r="D20" s="47" t="s">
        <v>33</v>
      </c>
      <c r="E20" s="47" t="s">
        <v>40</v>
      </c>
      <c r="F20" s="49" t="n">
        <v>920308</v>
      </c>
      <c r="G20" s="49" t="n">
        <v>874856</v>
      </c>
      <c r="H20" s="49" t="n">
        <v>528717</v>
      </c>
      <c r="I20" s="49" t="n">
        <v>518822</v>
      </c>
      <c r="J20" s="49" t="n">
        <v>150470</v>
      </c>
      <c r="K20" s="49" t="n">
        <v>141291</v>
      </c>
      <c r="L20" s="50" t="n">
        <v>61.4</v>
      </c>
      <c r="M20" s="51" t="n">
        <f aca="false">G20-F20</f>
        <v>-45452</v>
      </c>
      <c r="N20" s="52" t="n">
        <f aca="false">IF(F20=0,0,M20/F20)</f>
        <v>-0.0493878136449971</v>
      </c>
      <c r="O20" s="51" t="n">
        <f aca="false">G20-I20</f>
        <v>356034</v>
      </c>
      <c r="P20" s="51" t="n">
        <f aca="false">F20-H20</f>
        <v>391591</v>
      </c>
      <c r="Q20" s="51" t="n">
        <f aca="false">F20-H20-J20</f>
        <v>241121</v>
      </c>
      <c r="R20" s="51" t="n">
        <f aca="false">G20-I20-K20</f>
        <v>214743</v>
      </c>
      <c r="S20" s="51" t="n">
        <f aca="false">R20-Q20</f>
        <v>-26378</v>
      </c>
      <c r="T20" s="52" t="n">
        <f aca="false">IF(Q20=0,0,S20/Q20)</f>
        <v>-0.109397356513949</v>
      </c>
      <c r="U20" s="51" t="str">
        <f aca="false">IF(AND(Q20&gt;0,T20&lt;-0.15),"ADVERSE","")</f>
        <v/>
      </c>
    </row>
    <row r="21" customFormat="false" ht="15" hidden="false" customHeight="false" outlineLevel="0" collapsed="false">
      <c r="A21" s="47" t="s">
        <v>139</v>
      </c>
      <c r="B21" s="47" t="s">
        <v>136</v>
      </c>
      <c r="C21" s="48" t="n">
        <v>45474</v>
      </c>
      <c r="D21" s="47" t="s">
        <v>33</v>
      </c>
      <c r="E21" s="47" t="s">
        <v>40</v>
      </c>
      <c r="F21" s="49" t="n">
        <v>942691</v>
      </c>
      <c r="G21" s="49" t="n">
        <v>962715</v>
      </c>
      <c r="H21" s="49" t="n">
        <v>541576</v>
      </c>
      <c r="I21" s="49" t="n">
        <v>548539</v>
      </c>
      <c r="J21" s="49" t="n">
        <v>154130</v>
      </c>
      <c r="K21" s="49" t="n">
        <v>166282</v>
      </c>
      <c r="L21" s="50" t="n">
        <v>60.6</v>
      </c>
      <c r="M21" s="51" t="n">
        <f aca="false">G21-F21</f>
        <v>20024</v>
      </c>
      <c r="N21" s="52" t="n">
        <f aca="false">IF(F21=0,0,M21/F21)</f>
        <v>0.0212413187354075</v>
      </c>
      <c r="O21" s="51" t="n">
        <f aca="false">G21-I21</f>
        <v>414176</v>
      </c>
      <c r="P21" s="51" t="n">
        <f aca="false">F21-H21</f>
        <v>401115</v>
      </c>
      <c r="Q21" s="51" t="n">
        <f aca="false">F21-H21-J21</f>
        <v>246985</v>
      </c>
      <c r="R21" s="51" t="n">
        <f aca="false">G21-I21-K21</f>
        <v>247894</v>
      </c>
      <c r="S21" s="51" t="n">
        <f aca="false">R21-Q21</f>
        <v>909</v>
      </c>
      <c r="T21" s="52" t="n">
        <f aca="false">IF(Q21=0,0,S21/Q21)</f>
        <v>0.00368038544850902</v>
      </c>
      <c r="U21" s="51" t="str">
        <f aca="false">IF(AND(Q21&gt;0,T21&lt;-0.15),"ADVERSE","")</f>
        <v/>
      </c>
    </row>
    <row r="22" customFormat="false" ht="15" hidden="false" customHeight="false" outlineLevel="0" collapsed="false">
      <c r="A22" s="47" t="s">
        <v>139</v>
      </c>
      <c r="B22" s="47" t="s">
        <v>136</v>
      </c>
      <c r="C22" s="48" t="n">
        <v>45505</v>
      </c>
      <c r="D22" s="47" t="s">
        <v>33</v>
      </c>
      <c r="E22" s="47" t="s">
        <v>40</v>
      </c>
      <c r="F22" s="49" t="n">
        <v>908454</v>
      </c>
      <c r="G22" s="49" t="n">
        <v>966046</v>
      </c>
      <c r="H22" s="49" t="n">
        <v>521907</v>
      </c>
      <c r="I22" s="49" t="n">
        <v>555920</v>
      </c>
      <c r="J22" s="49" t="n">
        <v>148532</v>
      </c>
      <c r="K22" s="49" t="n">
        <v>162096</v>
      </c>
      <c r="L22" s="50" t="n">
        <v>61.4</v>
      </c>
      <c r="M22" s="51" t="n">
        <f aca="false">G22-F22</f>
        <v>57592</v>
      </c>
      <c r="N22" s="52" t="n">
        <f aca="false">IF(F22=0,0,M22/F22)</f>
        <v>0.0633956149678465</v>
      </c>
      <c r="O22" s="51" t="n">
        <f aca="false">G22-I22</f>
        <v>410126</v>
      </c>
      <c r="P22" s="51" t="n">
        <f aca="false">F22-H22</f>
        <v>386547</v>
      </c>
      <c r="Q22" s="51" t="n">
        <f aca="false">F22-H22-J22</f>
        <v>238015</v>
      </c>
      <c r="R22" s="51" t="n">
        <f aca="false">G22-I22-K22</f>
        <v>248030</v>
      </c>
      <c r="S22" s="51" t="n">
        <f aca="false">R22-Q22</f>
        <v>10015</v>
      </c>
      <c r="T22" s="52" t="n">
        <f aca="false">IF(Q22=0,0,S22/Q22)</f>
        <v>0.0420771800096633</v>
      </c>
      <c r="U22" s="51" t="str">
        <f aca="false">IF(AND(Q22&gt;0,T22&lt;-0.15),"ADVERSE","")</f>
        <v/>
      </c>
    </row>
    <row r="23" customFormat="false" ht="15" hidden="false" customHeight="false" outlineLevel="0" collapsed="false">
      <c r="A23" s="47" t="s">
        <v>139</v>
      </c>
      <c r="B23" s="47" t="s">
        <v>136</v>
      </c>
      <c r="C23" s="48" t="n">
        <v>45536</v>
      </c>
      <c r="D23" s="47" t="s">
        <v>33</v>
      </c>
      <c r="E23" s="47" t="s">
        <v>40</v>
      </c>
      <c r="F23" s="49" t="n">
        <v>935609</v>
      </c>
      <c r="G23" s="49" t="n">
        <v>901782</v>
      </c>
      <c r="H23" s="49" t="n">
        <v>537507</v>
      </c>
      <c r="I23" s="49" t="n">
        <v>517111</v>
      </c>
      <c r="J23" s="49" t="n">
        <v>152972</v>
      </c>
      <c r="K23" s="49" t="n">
        <v>144175</v>
      </c>
      <c r="L23" s="50" t="n">
        <v>62</v>
      </c>
      <c r="M23" s="51" t="n">
        <f aca="false">G23-F23</f>
        <v>-33827</v>
      </c>
      <c r="N23" s="52" t="n">
        <f aca="false">IF(F23=0,0,M23/F23)</f>
        <v>-0.0361550605007006</v>
      </c>
      <c r="O23" s="51" t="n">
        <f aca="false">G23-I23</f>
        <v>384671</v>
      </c>
      <c r="P23" s="51" t="n">
        <f aca="false">F23-H23</f>
        <v>398102</v>
      </c>
      <c r="Q23" s="51" t="n">
        <f aca="false">F23-H23-J23</f>
        <v>245130</v>
      </c>
      <c r="R23" s="51" t="n">
        <f aca="false">G23-I23-K23</f>
        <v>240496</v>
      </c>
      <c r="S23" s="51" t="n">
        <f aca="false">R23-Q23</f>
        <v>-4634</v>
      </c>
      <c r="T23" s="52" t="n">
        <f aca="false">IF(Q23=0,0,S23/Q23)</f>
        <v>-0.018904254885163</v>
      </c>
      <c r="U23" s="51" t="str">
        <f aca="false">IF(AND(Q23&gt;0,T23&lt;-0.15),"ADVERSE","")</f>
        <v/>
      </c>
    </row>
    <row r="24" customFormat="false" ht="15" hidden="false" customHeight="false" outlineLevel="0" collapsed="false">
      <c r="A24" s="47" t="s">
        <v>139</v>
      </c>
      <c r="B24" s="47" t="s">
        <v>137</v>
      </c>
      <c r="C24" s="48" t="n">
        <v>45566</v>
      </c>
      <c r="D24" s="47" t="s">
        <v>33</v>
      </c>
      <c r="E24" s="47" t="s">
        <v>40</v>
      </c>
      <c r="F24" s="49" t="n">
        <v>959441</v>
      </c>
      <c r="G24" s="49" t="n">
        <v>997875</v>
      </c>
      <c r="H24" s="49" t="n">
        <v>551199</v>
      </c>
      <c r="I24" s="49" t="n">
        <v>559367</v>
      </c>
      <c r="J24" s="49" t="n">
        <v>156869</v>
      </c>
      <c r="K24" s="49" t="n">
        <v>156976</v>
      </c>
      <c r="L24" s="50" t="n">
        <v>61.9</v>
      </c>
      <c r="M24" s="51" t="n">
        <f aca="false">G24-F24</f>
        <v>38434</v>
      </c>
      <c r="N24" s="52" t="n">
        <f aca="false">IF(F24=0,0,M24/F24)</f>
        <v>0.0400587425386241</v>
      </c>
      <c r="O24" s="51" t="n">
        <f aca="false">G24-I24</f>
        <v>438508</v>
      </c>
      <c r="P24" s="51" t="n">
        <f aca="false">F24-H24</f>
        <v>408242</v>
      </c>
      <c r="Q24" s="51" t="n">
        <f aca="false">F24-H24-J24</f>
        <v>251373</v>
      </c>
      <c r="R24" s="51" t="n">
        <f aca="false">G24-I24-K24</f>
        <v>281532</v>
      </c>
      <c r="S24" s="51" t="n">
        <f aca="false">R24-Q24</f>
        <v>30159</v>
      </c>
      <c r="T24" s="52" t="n">
        <f aca="false">IF(Q24=0,0,S24/Q24)</f>
        <v>0.119977085844542</v>
      </c>
      <c r="U24" s="51" t="str">
        <f aca="false">IF(AND(Q24&gt;0,T24&lt;-0.15),"ADVERSE","")</f>
        <v/>
      </c>
    </row>
    <row r="25" customFormat="false" ht="15" hidden="false" customHeight="false" outlineLevel="0" collapsed="false">
      <c r="A25" s="47" t="s">
        <v>139</v>
      </c>
      <c r="B25" s="47" t="s">
        <v>137</v>
      </c>
      <c r="C25" s="48" t="n">
        <v>45597</v>
      </c>
      <c r="D25" s="47" t="s">
        <v>33</v>
      </c>
      <c r="E25" s="47" t="s">
        <v>40</v>
      </c>
      <c r="F25" s="49" t="n">
        <v>973819</v>
      </c>
      <c r="G25" s="49" t="n">
        <v>1044637</v>
      </c>
      <c r="H25" s="49" t="n">
        <v>559459</v>
      </c>
      <c r="I25" s="49" t="n">
        <v>602761</v>
      </c>
      <c r="J25" s="49" t="n">
        <v>159219</v>
      </c>
      <c r="K25" s="49" t="n">
        <v>165702</v>
      </c>
      <c r="L25" s="50" t="n">
        <v>61.2</v>
      </c>
      <c r="M25" s="51" t="n">
        <f aca="false">G25-F25</f>
        <v>70818</v>
      </c>
      <c r="N25" s="52" t="n">
        <f aca="false">IF(F25=0,0,M25/F25)</f>
        <v>0.0727219329259339</v>
      </c>
      <c r="O25" s="51" t="n">
        <f aca="false">G25-I25</f>
        <v>441876</v>
      </c>
      <c r="P25" s="51" t="n">
        <f aca="false">F25-H25</f>
        <v>414360</v>
      </c>
      <c r="Q25" s="51" t="n">
        <f aca="false">F25-H25-J25</f>
        <v>255141</v>
      </c>
      <c r="R25" s="51" t="n">
        <f aca="false">G25-I25-K25</f>
        <v>276174</v>
      </c>
      <c r="S25" s="51" t="n">
        <f aca="false">R25-Q25</f>
        <v>21033</v>
      </c>
      <c r="T25" s="52" t="n">
        <f aca="false">IF(Q25=0,0,S25/Q25)</f>
        <v>0.0824367702564464</v>
      </c>
      <c r="U25" s="51" t="str">
        <f aca="false">IF(AND(Q25&gt;0,T25&lt;-0.15),"ADVERSE","")</f>
        <v/>
      </c>
    </row>
    <row r="26" customFormat="false" ht="15" hidden="false" customHeight="false" outlineLevel="0" collapsed="false">
      <c r="A26" s="47" t="s">
        <v>139</v>
      </c>
      <c r="B26" s="47" t="s">
        <v>137</v>
      </c>
      <c r="C26" s="48" t="n">
        <v>45627</v>
      </c>
      <c r="D26" s="47" t="s">
        <v>33</v>
      </c>
      <c r="E26" s="47" t="s">
        <v>40</v>
      </c>
      <c r="F26" s="49" t="n">
        <v>966486</v>
      </c>
      <c r="G26" s="49" t="n">
        <v>897038</v>
      </c>
      <c r="H26" s="49" t="n">
        <v>555246</v>
      </c>
      <c r="I26" s="49" t="n">
        <v>522594</v>
      </c>
      <c r="J26" s="49" t="n">
        <v>158020</v>
      </c>
      <c r="K26" s="49" t="n">
        <v>146091</v>
      </c>
      <c r="L26" s="50" t="n">
        <v>63.8</v>
      </c>
      <c r="M26" s="51" t="n">
        <f aca="false">G26-F26</f>
        <v>-69448</v>
      </c>
      <c r="N26" s="52" t="n">
        <f aca="false">IF(F26=0,0,M26/F26)</f>
        <v>-0.0718561882945019</v>
      </c>
      <c r="O26" s="51" t="n">
        <f aca="false">G26-I26</f>
        <v>374444</v>
      </c>
      <c r="P26" s="51" t="n">
        <f aca="false">F26-H26</f>
        <v>411240</v>
      </c>
      <c r="Q26" s="51" t="n">
        <f aca="false">F26-H26-J26</f>
        <v>253220</v>
      </c>
      <c r="R26" s="51" t="n">
        <f aca="false">G26-I26-K26</f>
        <v>228353</v>
      </c>
      <c r="S26" s="51" t="n">
        <f aca="false">R26-Q26</f>
        <v>-24867</v>
      </c>
      <c r="T26" s="52" t="n">
        <f aca="false">IF(Q26=0,0,S26/Q26)</f>
        <v>-0.098203143511571</v>
      </c>
      <c r="U26" s="51" t="str">
        <f aca="false">IF(AND(Q26&gt;0,T26&lt;-0.15),"ADVERSE","")</f>
        <v/>
      </c>
    </row>
    <row r="27" customFormat="false" ht="15" hidden="false" customHeight="false" outlineLevel="0" collapsed="false">
      <c r="A27" s="47" t="s">
        <v>139</v>
      </c>
      <c r="B27" s="47" t="s">
        <v>138</v>
      </c>
      <c r="C27" s="48" t="n">
        <v>45658</v>
      </c>
      <c r="D27" s="47" t="s">
        <v>33</v>
      </c>
      <c r="E27" s="47" t="s">
        <v>40</v>
      </c>
      <c r="F27" s="49" t="n">
        <v>945604</v>
      </c>
      <c r="G27" s="49" t="n">
        <v>947365</v>
      </c>
      <c r="H27" s="49" t="n">
        <v>543249</v>
      </c>
      <c r="I27" s="49" t="n">
        <v>548655</v>
      </c>
      <c r="J27" s="49" t="n">
        <v>154606</v>
      </c>
      <c r="K27" s="49" t="n">
        <v>159086</v>
      </c>
      <c r="L27" s="50" t="n">
        <v>63.9</v>
      </c>
      <c r="M27" s="51" t="n">
        <f aca="false">G27-F27</f>
        <v>1761</v>
      </c>
      <c r="N27" s="52" t="n">
        <f aca="false">IF(F27=0,0,M27/F27)</f>
        <v>0.001862301766913</v>
      </c>
      <c r="O27" s="51" t="n">
        <f aca="false">G27-I27</f>
        <v>398710</v>
      </c>
      <c r="P27" s="51" t="n">
        <f aca="false">F27-H27</f>
        <v>402355</v>
      </c>
      <c r="Q27" s="51" t="n">
        <f aca="false">F27-H27-J27</f>
        <v>247749</v>
      </c>
      <c r="R27" s="51" t="n">
        <f aca="false">G27-I27-K27</f>
        <v>239624</v>
      </c>
      <c r="S27" s="51" t="n">
        <f aca="false">R27-Q27</f>
        <v>-8125</v>
      </c>
      <c r="T27" s="52" t="n">
        <f aca="false">IF(Q27=0,0,S27/Q27)</f>
        <v>-0.0327952887801767</v>
      </c>
      <c r="U27" s="51" t="str">
        <f aca="false">IF(AND(Q27&gt;0,T27&lt;-0.15),"ADVERSE","")</f>
        <v/>
      </c>
    </row>
    <row r="28" customFormat="false" ht="15" hidden="false" customHeight="false" outlineLevel="0" collapsed="false">
      <c r="A28" s="47" t="s">
        <v>139</v>
      </c>
      <c r="B28" s="47" t="s">
        <v>138</v>
      </c>
      <c r="C28" s="48" t="n">
        <v>45689</v>
      </c>
      <c r="D28" s="47" t="s">
        <v>33</v>
      </c>
      <c r="E28" s="47" t="s">
        <v>40</v>
      </c>
      <c r="F28" s="49" t="n">
        <v>941990</v>
      </c>
      <c r="G28" s="49" t="n">
        <v>930527</v>
      </c>
      <c r="H28" s="49" t="n">
        <v>541173</v>
      </c>
      <c r="I28" s="49" t="n">
        <v>535907</v>
      </c>
      <c r="J28" s="49" t="n">
        <v>154015</v>
      </c>
      <c r="K28" s="49" t="n">
        <v>150122</v>
      </c>
      <c r="L28" s="50" t="n">
        <v>63.2</v>
      </c>
      <c r="M28" s="51" t="n">
        <f aca="false">G28-F28</f>
        <v>-11463</v>
      </c>
      <c r="N28" s="52" t="n">
        <f aca="false">IF(F28=0,0,M28/F28)</f>
        <v>-0.0121689189906475</v>
      </c>
      <c r="O28" s="51" t="n">
        <f aca="false">G28-I28</f>
        <v>394620</v>
      </c>
      <c r="P28" s="51" t="n">
        <f aca="false">F28-H28</f>
        <v>400817</v>
      </c>
      <c r="Q28" s="51" t="n">
        <f aca="false">F28-H28-J28</f>
        <v>246802</v>
      </c>
      <c r="R28" s="51" t="n">
        <f aca="false">G28-I28-K28</f>
        <v>244498</v>
      </c>
      <c r="S28" s="51" t="n">
        <f aca="false">R28-Q28</f>
        <v>-2304</v>
      </c>
      <c r="T28" s="52" t="n">
        <f aca="false">IF(Q28=0,0,S28/Q28)</f>
        <v>-0.00933541867569955</v>
      </c>
      <c r="U28" s="51" t="str">
        <f aca="false">IF(AND(Q28&gt;0,T28&lt;-0.15),"ADVERSE","")</f>
        <v/>
      </c>
    </row>
    <row r="29" customFormat="false" ht="15" hidden="false" customHeight="false" outlineLevel="0" collapsed="false">
      <c r="A29" s="47" t="s">
        <v>139</v>
      </c>
      <c r="B29" s="47" t="s">
        <v>138</v>
      </c>
      <c r="C29" s="48" t="n">
        <v>45717</v>
      </c>
      <c r="D29" s="47" t="s">
        <v>33</v>
      </c>
      <c r="E29" s="47" t="s">
        <v>40</v>
      </c>
      <c r="F29" s="49" t="n">
        <v>1040253</v>
      </c>
      <c r="G29" s="49" t="n">
        <v>1103775</v>
      </c>
      <c r="H29" s="49" t="n">
        <v>597626</v>
      </c>
      <c r="I29" s="49" t="n">
        <v>641424</v>
      </c>
      <c r="J29" s="49" t="n">
        <v>170081</v>
      </c>
      <c r="K29" s="49" t="n">
        <v>188387</v>
      </c>
      <c r="L29" s="50" t="n">
        <v>64</v>
      </c>
      <c r="M29" s="51" t="n">
        <f aca="false">G29-F29</f>
        <v>63522</v>
      </c>
      <c r="N29" s="52" t="n">
        <f aca="false">IF(F29=0,0,M29/F29)</f>
        <v>0.0610639911636881</v>
      </c>
      <c r="O29" s="51" t="n">
        <f aca="false">G29-I29</f>
        <v>462351</v>
      </c>
      <c r="P29" s="51" t="n">
        <f aca="false">F29-H29</f>
        <v>442627</v>
      </c>
      <c r="Q29" s="51" t="n">
        <f aca="false">F29-H29-J29</f>
        <v>272546</v>
      </c>
      <c r="R29" s="51" t="n">
        <f aca="false">G29-I29-K29</f>
        <v>273964</v>
      </c>
      <c r="S29" s="51" t="n">
        <f aca="false">R29-Q29</f>
        <v>1418</v>
      </c>
      <c r="T29" s="52" t="n">
        <f aca="false">IF(Q29=0,0,S29/Q29)</f>
        <v>0.00520279145538735</v>
      </c>
      <c r="U29" s="51" t="str">
        <f aca="false">IF(AND(Q29&gt;0,T29&lt;-0.15),"ADVERSE","")</f>
        <v/>
      </c>
    </row>
    <row r="30" customFormat="false" ht="15" hidden="false" customHeight="false" outlineLevel="0" collapsed="false">
      <c r="A30" s="47" t="s">
        <v>3</v>
      </c>
      <c r="B30" s="47" t="s">
        <v>135</v>
      </c>
      <c r="C30" s="48" t="n">
        <v>45748</v>
      </c>
      <c r="D30" s="47" t="s">
        <v>33</v>
      </c>
      <c r="E30" s="47" t="s">
        <v>40</v>
      </c>
      <c r="F30" s="49" t="n">
        <v>996394</v>
      </c>
      <c r="G30" s="49" t="n">
        <v>1029870</v>
      </c>
      <c r="H30" s="49" t="n">
        <v>572428</v>
      </c>
      <c r="I30" s="49" t="n">
        <v>586560</v>
      </c>
      <c r="J30" s="49" t="n">
        <v>162910</v>
      </c>
      <c r="K30" s="49" t="n">
        <v>176349</v>
      </c>
      <c r="L30" s="50" t="n">
        <v>64.6</v>
      </c>
      <c r="M30" s="51" t="n">
        <f aca="false">G30-F30</f>
        <v>33476</v>
      </c>
      <c r="N30" s="52" t="n">
        <f aca="false">IF(F30=0,0,M30/F30)</f>
        <v>0.0335971513276876</v>
      </c>
      <c r="O30" s="51" t="n">
        <f aca="false">G30-I30</f>
        <v>443310</v>
      </c>
      <c r="P30" s="51" t="n">
        <f aca="false">F30-H30</f>
        <v>423966</v>
      </c>
      <c r="Q30" s="51" t="n">
        <f aca="false">F30-H30-J30</f>
        <v>261056</v>
      </c>
      <c r="R30" s="51" t="n">
        <f aca="false">G30-I30-K30</f>
        <v>266961</v>
      </c>
      <c r="S30" s="51" t="n">
        <f aca="false">R30-Q30</f>
        <v>5905</v>
      </c>
      <c r="T30" s="52" t="n">
        <f aca="false">IF(Q30=0,0,S30/Q30)</f>
        <v>0.0226196678107379</v>
      </c>
      <c r="U30" s="51" t="str">
        <f aca="false">IF(AND(Q30&gt;0,T30&lt;-0.15),"ADVERSE","")</f>
        <v/>
      </c>
    </row>
    <row r="31" customFormat="false" ht="15" hidden="false" customHeight="false" outlineLevel="0" collapsed="false">
      <c r="A31" s="47" t="s">
        <v>3</v>
      </c>
      <c r="B31" s="47" t="s">
        <v>135</v>
      </c>
      <c r="C31" s="48" t="n">
        <v>45778</v>
      </c>
      <c r="D31" s="47" t="s">
        <v>33</v>
      </c>
      <c r="E31" s="47" t="s">
        <v>40</v>
      </c>
      <c r="F31" s="49" t="n">
        <v>1001750</v>
      </c>
      <c r="G31" s="49" t="n">
        <v>1036323</v>
      </c>
      <c r="H31" s="49" t="n">
        <v>575505</v>
      </c>
      <c r="I31" s="49" t="n">
        <v>609346</v>
      </c>
      <c r="J31" s="49" t="n">
        <v>163786</v>
      </c>
      <c r="K31" s="49" t="n">
        <v>169239</v>
      </c>
      <c r="L31" s="50" t="n">
        <v>63.3</v>
      </c>
      <c r="M31" s="51" t="n">
        <f aca="false">G31-F31</f>
        <v>34573</v>
      </c>
      <c r="N31" s="52" t="n">
        <f aca="false">IF(F31=0,0,M31/F31)</f>
        <v>0.0345126029448465</v>
      </c>
      <c r="O31" s="51" t="n">
        <f aca="false">G31-I31</f>
        <v>426977</v>
      </c>
      <c r="P31" s="51" t="n">
        <f aca="false">F31-H31</f>
        <v>426245</v>
      </c>
      <c r="Q31" s="51" t="n">
        <f aca="false">F31-H31-J31</f>
        <v>262459</v>
      </c>
      <c r="R31" s="51" t="n">
        <f aca="false">G31-I31-K31</f>
        <v>257738</v>
      </c>
      <c r="S31" s="51" t="n">
        <f aca="false">R31-Q31</f>
        <v>-4721</v>
      </c>
      <c r="T31" s="52" t="n">
        <f aca="false">IF(Q31=0,0,S31/Q31)</f>
        <v>-0.0179875713921031</v>
      </c>
      <c r="U31" s="51" t="str">
        <f aca="false">IF(AND(Q31&gt;0,T31&lt;-0.15),"ADVERSE","")</f>
        <v/>
      </c>
    </row>
    <row r="32" customFormat="false" ht="15" hidden="false" customHeight="false" outlineLevel="0" collapsed="false">
      <c r="A32" s="47" t="s">
        <v>3</v>
      </c>
      <c r="B32" s="47" t="s">
        <v>135</v>
      </c>
      <c r="C32" s="48" t="n">
        <v>45809</v>
      </c>
      <c r="D32" s="47" t="s">
        <v>33</v>
      </c>
      <c r="E32" s="47" t="s">
        <v>40</v>
      </c>
      <c r="F32" s="49" t="n">
        <v>1017400</v>
      </c>
      <c r="G32" s="49" t="n">
        <v>943062</v>
      </c>
      <c r="H32" s="49" t="n">
        <v>584496</v>
      </c>
      <c r="I32" s="49" t="n">
        <v>548436</v>
      </c>
      <c r="J32" s="49" t="n">
        <v>166345</v>
      </c>
      <c r="K32" s="49" t="n">
        <v>147316</v>
      </c>
      <c r="L32" s="50" t="n">
        <v>64.2</v>
      </c>
      <c r="M32" s="51" t="n">
        <f aca="false">G32-F32</f>
        <v>-74338</v>
      </c>
      <c r="N32" s="52" t="n">
        <f aca="false">IF(F32=0,0,M32/F32)</f>
        <v>-0.0730666404560645</v>
      </c>
      <c r="O32" s="51" t="n">
        <f aca="false">G32-I32</f>
        <v>394626</v>
      </c>
      <c r="P32" s="51" t="n">
        <f aca="false">F32-H32</f>
        <v>432904</v>
      </c>
      <c r="Q32" s="51" t="n">
        <f aca="false">F32-H32-J32</f>
        <v>266559</v>
      </c>
      <c r="R32" s="51" t="n">
        <f aca="false">G32-I32-K32</f>
        <v>247310</v>
      </c>
      <c r="S32" s="51" t="n">
        <f aca="false">R32-Q32</f>
        <v>-19249</v>
      </c>
      <c r="T32" s="52" t="n">
        <f aca="false">IF(Q32=0,0,S32/Q32)</f>
        <v>-0.0722129059607817</v>
      </c>
      <c r="U32" s="51" t="str">
        <f aca="false">IF(AND(Q32&gt;0,T32&lt;-0.15),"ADVERSE","")</f>
        <v/>
      </c>
    </row>
    <row r="33" customFormat="false" ht="15" hidden="false" customHeight="false" outlineLevel="0" collapsed="false">
      <c r="A33" s="47" t="s">
        <v>3</v>
      </c>
      <c r="B33" s="47" t="s">
        <v>136</v>
      </c>
      <c r="C33" s="48" t="n">
        <v>45839</v>
      </c>
      <c r="D33" s="47" t="s">
        <v>33</v>
      </c>
      <c r="E33" s="47" t="s">
        <v>40</v>
      </c>
      <c r="F33" s="49" t="n">
        <v>1056865</v>
      </c>
      <c r="G33" s="49" t="n">
        <v>1109065</v>
      </c>
      <c r="H33" s="49" t="n">
        <v>607169</v>
      </c>
      <c r="I33" s="49" t="n">
        <v>653603</v>
      </c>
      <c r="J33" s="49" t="n">
        <v>172797</v>
      </c>
      <c r="K33" s="49" t="n">
        <v>176397</v>
      </c>
      <c r="L33" s="50" t="n">
        <v>62.7</v>
      </c>
      <c r="M33" s="51" t="n">
        <f aca="false">G33-F33</f>
        <v>52200</v>
      </c>
      <c r="N33" s="52" t="n">
        <f aca="false">IF(F33=0,0,M33/F33)</f>
        <v>0.0493913602967266</v>
      </c>
      <c r="O33" s="51" t="n">
        <f aca="false">G33-I33</f>
        <v>455462</v>
      </c>
      <c r="P33" s="51" t="n">
        <f aca="false">F33-H33</f>
        <v>449696</v>
      </c>
      <c r="Q33" s="51" t="n">
        <f aca="false">F33-H33-J33</f>
        <v>276899</v>
      </c>
      <c r="R33" s="51" t="n">
        <f aca="false">G33-I33-K33</f>
        <v>279065</v>
      </c>
      <c r="S33" s="51" t="n">
        <f aca="false">R33-Q33</f>
        <v>2166</v>
      </c>
      <c r="T33" s="52" t="n">
        <f aca="false">IF(Q33=0,0,S33/Q33)</f>
        <v>0.00782234677626138</v>
      </c>
      <c r="U33" s="51" t="str">
        <f aca="false">IF(AND(Q33&gt;0,T33&lt;-0.15),"ADVERSE","")</f>
        <v/>
      </c>
    </row>
    <row r="34" customFormat="false" ht="15" hidden="false" customHeight="false" outlineLevel="0" collapsed="false">
      <c r="A34" s="47" t="s">
        <v>3</v>
      </c>
      <c r="B34" s="47" t="s">
        <v>136</v>
      </c>
      <c r="C34" s="48" t="n">
        <v>45870</v>
      </c>
      <c r="D34" s="47" t="s">
        <v>33</v>
      </c>
      <c r="E34" s="47" t="s">
        <v>40</v>
      </c>
      <c r="F34" s="49" t="n">
        <v>1001296</v>
      </c>
      <c r="G34" s="49" t="n">
        <v>1052604</v>
      </c>
      <c r="H34" s="49" t="n">
        <v>575244</v>
      </c>
      <c r="I34" s="49" t="n">
        <v>606013</v>
      </c>
      <c r="J34" s="49" t="n">
        <v>163712</v>
      </c>
      <c r="K34" s="49" t="n">
        <v>175051</v>
      </c>
      <c r="L34" s="50" t="n">
        <v>64.5</v>
      </c>
      <c r="M34" s="51" t="n">
        <f aca="false">G34-F34</f>
        <v>51308</v>
      </c>
      <c r="N34" s="52" t="n">
        <f aca="false">IF(F34=0,0,M34/F34)</f>
        <v>0.0512415908981959</v>
      </c>
      <c r="O34" s="51" t="n">
        <f aca="false">G34-I34</f>
        <v>446591</v>
      </c>
      <c r="P34" s="51" t="n">
        <f aca="false">F34-H34</f>
        <v>426052</v>
      </c>
      <c r="Q34" s="51" t="n">
        <f aca="false">F34-H34-J34</f>
        <v>262340</v>
      </c>
      <c r="R34" s="51" t="n">
        <f aca="false">G34-I34-K34</f>
        <v>271540</v>
      </c>
      <c r="S34" s="51" t="n">
        <f aca="false">R34-Q34</f>
        <v>9200</v>
      </c>
      <c r="T34" s="52" t="n">
        <f aca="false">IF(Q34=0,0,S34/Q34)</f>
        <v>0.0350689944347031</v>
      </c>
      <c r="U34" s="51" t="str">
        <f aca="false">IF(AND(Q34&gt;0,T34&lt;-0.15),"ADVERSE","")</f>
        <v/>
      </c>
    </row>
    <row r="35" customFormat="false" ht="15" hidden="false" customHeight="false" outlineLevel="0" collapsed="false">
      <c r="A35" s="47" t="s">
        <v>3</v>
      </c>
      <c r="B35" s="47" t="s">
        <v>136</v>
      </c>
      <c r="C35" s="48" t="n">
        <v>45901</v>
      </c>
      <c r="D35" s="47" t="s">
        <v>33</v>
      </c>
      <c r="E35" s="47" t="s">
        <v>40</v>
      </c>
      <c r="F35" s="49" t="n">
        <v>1061666</v>
      </c>
      <c r="G35" s="49" t="n">
        <v>1083131</v>
      </c>
      <c r="H35" s="49" t="n">
        <v>609927</v>
      </c>
      <c r="I35" s="49" t="n">
        <v>627578</v>
      </c>
      <c r="J35" s="49" t="n">
        <v>173582</v>
      </c>
      <c r="K35" s="49" t="n">
        <v>178525</v>
      </c>
      <c r="L35" s="50" t="n">
        <v>66</v>
      </c>
      <c r="M35" s="51" t="n">
        <f aca="false">G35-F35</f>
        <v>21465</v>
      </c>
      <c r="N35" s="52" t="n">
        <f aca="false">IF(F35=0,0,M35/F35)</f>
        <v>0.020218223056969</v>
      </c>
      <c r="O35" s="51" t="n">
        <f aca="false">G35-I35</f>
        <v>455553</v>
      </c>
      <c r="P35" s="51" t="n">
        <f aca="false">F35-H35</f>
        <v>451739</v>
      </c>
      <c r="Q35" s="51" t="n">
        <f aca="false">F35-H35-J35</f>
        <v>278157</v>
      </c>
      <c r="R35" s="51" t="n">
        <f aca="false">G35-I35-K35</f>
        <v>277028</v>
      </c>
      <c r="S35" s="51" t="n">
        <f aca="false">R35-Q35</f>
        <v>-1129</v>
      </c>
      <c r="T35" s="52" t="n">
        <f aca="false">IF(Q35=0,0,S35/Q35)</f>
        <v>-0.00405885884590357</v>
      </c>
      <c r="U35" s="51" t="str">
        <f aca="false">IF(AND(Q35&gt;0,T35&lt;-0.15),"ADVERSE","")</f>
        <v/>
      </c>
    </row>
    <row r="36" customFormat="false" ht="15" hidden="false" customHeight="false" outlineLevel="0" collapsed="false">
      <c r="A36" s="47" t="s">
        <v>3</v>
      </c>
      <c r="B36" s="47" t="s">
        <v>137</v>
      </c>
      <c r="C36" s="48" t="n">
        <v>45931</v>
      </c>
      <c r="D36" s="47" t="s">
        <v>33</v>
      </c>
      <c r="E36" s="47" t="s">
        <v>40</v>
      </c>
      <c r="F36" s="49" t="n">
        <v>1083641</v>
      </c>
      <c r="G36" s="49" t="n">
        <v>1024871</v>
      </c>
      <c r="H36" s="49" t="n">
        <v>622552</v>
      </c>
      <c r="I36" s="49" t="n">
        <v>588441</v>
      </c>
      <c r="J36" s="49" t="n">
        <v>177175</v>
      </c>
      <c r="K36" s="49" t="n">
        <v>163863</v>
      </c>
      <c r="L36" s="50" t="n">
        <v>67</v>
      </c>
      <c r="M36" s="51" t="n">
        <f aca="false">G36-F36</f>
        <v>-58770</v>
      </c>
      <c r="N36" s="52" t="n">
        <f aca="false">IF(F36=0,0,M36/F36)</f>
        <v>-0.054233828361976</v>
      </c>
      <c r="O36" s="51" t="n">
        <f aca="false">G36-I36</f>
        <v>436430</v>
      </c>
      <c r="P36" s="51" t="n">
        <f aca="false">F36-H36</f>
        <v>461089</v>
      </c>
      <c r="Q36" s="51" t="n">
        <f aca="false">F36-H36-J36</f>
        <v>283914</v>
      </c>
      <c r="R36" s="51" t="n">
        <f aca="false">G36-I36-K36</f>
        <v>272567</v>
      </c>
      <c r="S36" s="51" t="n">
        <f aca="false">R36-Q36</f>
        <v>-11347</v>
      </c>
      <c r="T36" s="52" t="n">
        <f aca="false">IF(Q36=0,0,S36/Q36)</f>
        <v>-0.0399663278316673</v>
      </c>
      <c r="U36" s="51" t="str">
        <f aca="false">IF(AND(Q36&gt;0,T36&lt;-0.15),"ADVERSE","")</f>
        <v/>
      </c>
    </row>
    <row r="37" customFormat="false" ht="15" hidden="false" customHeight="false" outlineLevel="0" collapsed="false">
      <c r="A37" s="47" t="s">
        <v>3</v>
      </c>
      <c r="B37" s="47" t="s">
        <v>137</v>
      </c>
      <c r="C37" s="48" t="n">
        <v>45962</v>
      </c>
      <c r="D37" s="47" t="s">
        <v>33</v>
      </c>
      <c r="E37" s="47" t="s">
        <v>40</v>
      </c>
      <c r="F37" s="49" t="n">
        <v>1080168</v>
      </c>
      <c r="G37" s="49" t="n">
        <v>1009937</v>
      </c>
      <c r="H37" s="49" t="n">
        <v>620556</v>
      </c>
      <c r="I37" s="49" t="n">
        <v>562512</v>
      </c>
      <c r="J37" s="49" t="n">
        <v>176607</v>
      </c>
      <c r="K37" s="49" t="n">
        <v>169650</v>
      </c>
      <c r="L37" s="50" t="n">
        <v>67.3</v>
      </c>
      <c r="M37" s="51" t="n">
        <f aca="false">G37-F37</f>
        <v>-70231</v>
      </c>
      <c r="N37" s="52" t="n">
        <f aca="false">IF(F37=0,0,M37/F37)</f>
        <v>-0.0650185897008613</v>
      </c>
      <c r="O37" s="51" t="n">
        <f aca="false">G37-I37</f>
        <v>447425</v>
      </c>
      <c r="P37" s="51" t="n">
        <f aca="false">F37-H37</f>
        <v>459612</v>
      </c>
      <c r="Q37" s="51" t="n">
        <f aca="false">F37-H37-J37</f>
        <v>283005</v>
      </c>
      <c r="R37" s="51" t="n">
        <f aca="false">G37-I37-K37</f>
        <v>277775</v>
      </c>
      <c r="S37" s="51" t="n">
        <f aca="false">R37-Q37</f>
        <v>-5230</v>
      </c>
      <c r="T37" s="52" t="n">
        <f aca="false">IF(Q37=0,0,S37/Q37)</f>
        <v>-0.0184802388650377</v>
      </c>
      <c r="U37" s="51" t="str">
        <f aca="false">IF(AND(Q37&gt;0,T37&lt;-0.15),"ADVERSE","")</f>
        <v/>
      </c>
    </row>
    <row r="38" customFormat="false" ht="15" hidden="false" customHeight="false" outlineLevel="0" collapsed="false">
      <c r="A38" s="47" t="s">
        <v>3</v>
      </c>
      <c r="B38" s="47" t="s">
        <v>137</v>
      </c>
      <c r="C38" s="48" t="n">
        <v>45992</v>
      </c>
      <c r="D38" s="47" t="s">
        <v>33</v>
      </c>
      <c r="E38" s="47" t="s">
        <v>40</v>
      </c>
      <c r="F38" s="49" t="n">
        <v>1104418</v>
      </c>
      <c r="G38" s="49" t="n">
        <v>1072503</v>
      </c>
      <c r="H38" s="49" t="n">
        <v>634488</v>
      </c>
      <c r="I38" s="49" t="n">
        <v>624753</v>
      </c>
      <c r="J38" s="49" t="n">
        <v>180572</v>
      </c>
      <c r="K38" s="49" t="n">
        <v>170901</v>
      </c>
      <c r="L38" s="50" t="n">
        <v>69.6</v>
      </c>
      <c r="M38" s="51" t="n">
        <f aca="false">G38-F38</f>
        <v>-31915</v>
      </c>
      <c r="N38" s="52" t="n">
        <f aca="false">IF(F38=0,0,M38/F38)</f>
        <v>-0.0288975732014509</v>
      </c>
      <c r="O38" s="51" t="n">
        <f aca="false">G38-I38</f>
        <v>447750</v>
      </c>
      <c r="P38" s="51" t="n">
        <f aca="false">F38-H38</f>
        <v>469930</v>
      </c>
      <c r="Q38" s="51" t="n">
        <f aca="false">F38-H38-J38</f>
        <v>289358</v>
      </c>
      <c r="R38" s="51" t="n">
        <f aca="false">G38-I38-K38</f>
        <v>276849</v>
      </c>
      <c r="S38" s="51" t="n">
        <f aca="false">R38-Q38</f>
        <v>-12509</v>
      </c>
      <c r="T38" s="52" t="n">
        <f aca="false">IF(Q38=0,0,S38/Q38)</f>
        <v>-0.0432301854450197</v>
      </c>
      <c r="U38" s="51" t="str">
        <f aca="false">IF(AND(Q38&gt;0,T38&lt;-0.15),"ADVERSE","")</f>
        <v/>
      </c>
    </row>
    <row r="39" customFormat="false" ht="15" hidden="false" customHeight="false" outlineLevel="0" collapsed="false">
      <c r="A39" s="47" t="s">
        <v>3</v>
      </c>
      <c r="B39" s="47" t="s">
        <v>138</v>
      </c>
      <c r="C39" s="48" t="n">
        <v>46023</v>
      </c>
      <c r="D39" s="47" t="s">
        <v>33</v>
      </c>
      <c r="E39" s="47" t="s">
        <v>40</v>
      </c>
      <c r="F39" s="49" t="n">
        <v>1058284</v>
      </c>
      <c r="G39" s="49" t="n">
        <v>992492</v>
      </c>
      <c r="H39" s="49" t="n">
        <v>607984</v>
      </c>
      <c r="I39" s="49" t="n">
        <v>576584</v>
      </c>
      <c r="J39" s="49" t="n">
        <v>173029</v>
      </c>
      <c r="K39" s="49" t="n">
        <v>158523</v>
      </c>
      <c r="L39" s="50" t="n">
        <v>68.7</v>
      </c>
      <c r="M39" s="51" t="n">
        <f aca="false">G39-F39</f>
        <v>-65792</v>
      </c>
      <c r="N39" s="52" t="n">
        <f aca="false">IF(F39=0,0,M39/F39)</f>
        <v>-0.0621685672277007</v>
      </c>
      <c r="O39" s="51" t="n">
        <f aca="false">G39-I39</f>
        <v>415908</v>
      </c>
      <c r="P39" s="51" t="n">
        <f aca="false">F39-H39</f>
        <v>450300</v>
      </c>
      <c r="Q39" s="51" t="n">
        <f aca="false">F39-H39-J39</f>
        <v>277271</v>
      </c>
      <c r="R39" s="51" t="n">
        <f aca="false">G39-I39-K39</f>
        <v>257385</v>
      </c>
      <c r="S39" s="51" t="n">
        <f aca="false">R39-Q39</f>
        <v>-19886</v>
      </c>
      <c r="T39" s="52" t="n">
        <f aca="false">IF(Q39=0,0,S39/Q39)</f>
        <v>-0.0717204467831111</v>
      </c>
      <c r="U39" s="51" t="str">
        <f aca="false">IF(AND(Q39&gt;0,T39&lt;-0.15),"ADVERSE","")</f>
        <v/>
      </c>
    </row>
    <row r="40" customFormat="false" ht="15" hidden="false" customHeight="false" outlineLevel="0" collapsed="false">
      <c r="A40" s="47" t="s">
        <v>3</v>
      </c>
      <c r="B40" s="47" t="s">
        <v>138</v>
      </c>
      <c r="C40" s="48" t="n">
        <v>46054</v>
      </c>
      <c r="D40" s="47" t="s">
        <v>33</v>
      </c>
      <c r="E40" s="47" t="s">
        <v>40</v>
      </c>
      <c r="F40" s="49" t="n">
        <v>1076203</v>
      </c>
      <c r="G40" s="49" t="n">
        <v>1056517</v>
      </c>
      <c r="H40" s="49" t="n">
        <v>618279</v>
      </c>
      <c r="I40" s="49" t="n">
        <v>601786</v>
      </c>
      <c r="J40" s="49" t="n">
        <v>175959</v>
      </c>
      <c r="K40" s="49" t="n">
        <v>182583</v>
      </c>
      <c r="L40" s="50" t="n">
        <v>66.8</v>
      </c>
      <c r="M40" s="51" t="n">
        <f aca="false">G40-F40</f>
        <v>-19686</v>
      </c>
      <c r="N40" s="52" t="n">
        <f aca="false">IF(F40=0,0,M40/F40)</f>
        <v>-0.0182920880168518</v>
      </c>
      <c r="O40" s="51" t="n">
        <f aca="false">G40-I40</f>
        <v>454731</v>
      </c>
      <c r="P40" s="51" t="n">
        <f aca="false">F40-H40</f>
        <v>457924</v>
      </c>
      <c r="Q40" s="51" t="n">
        <f aca="false">F40-H40-J40</f>
        <v>281965</v>
      </c>
      <c r="R40" s="51" t="n">
        <f aca="false">G40-I40-K40</f>
        <v>272148</v>
      </c>
      <c r="S40" s="51" t="n">
        <f aca="false">R40-Q40</f>
        <v>-9817</v>
      </c>
      <c r="T40" s="52" t="n">
        <f aca="false">IF(Q40=0,0,S40/Q40)</f>
        <v>-0.0348163779192453</v>
      </c>
      <c r="U40" s="51" t="str">
        <f aca="false">IF(AND(Q40&gt;0,T40&lt;-0.15),"ADVERSE","")</f>
        <v/>
      </c>
    </row>
    <row r="41" customFormat="false" ht="15" hidden="false" customHeight="false" outlineLevel="0" collapsed="false">
      <c r="A41" s="47" t="s">
        <v>3</v>
      </c>
      <c r="B41" s="47" t="s">
        <v>138</v>
      </c>
      <c r="C41" s="48" t="n">
        <v>46082</v>
      </c>
      <c r="D41" s="47" t="s">
        <v>33</v>
      </c>
      <c r="E41" s="47" t="s">
        <v>40</v>
      </c>
      <c r="F41" s="49" t="n">
        <v>1184197</v>
      </c>
      <c r="G41" s="49" t="n">
        <v>1066095</v>
      </c>
      <c r="H41" s="49" t="n">
        <v>680321</v>
      </c>
      <c r="I41" s="49" t="n">
        <v>609365</v>
      </c>
      <c r="J41" s="49" t="n">
        <v>193616</v>
      </c>
      <c r="K41" s="49" t="n">
        <v>176183</v>
      </c>
      <c r="L41" s="50" t="n">
        <v>70.1</v>
      </c>
      <c r="M41" s="51" t="n">
        <f aca="false">G41-F41</f>
        <v>-118102</v>
      </c>
      <c r="N41" s="52" t="n">
        <f aca="false">IF(F41=0,0,M41/F41)</f>
        <v>-0.0997317169356112</v>
      </c>
      <c r="O41" s="51" t="n">
        <f aca="false">G41-I41</f>
        <v>456730</v>
      </c>
      <c r="P41" s="51" t="n">
        <f aca="false">F41-H41</f>
        <v>503876</v>
      </c>
      <c r="Q41" s="51" t="n">
        <f aca="false">F41-H41-J41</f>
        <v>310260</v>
      </c>
      <c r="R41" s="51" t="n">
        <f aca="false">G41-I41-K41</f>
        <v>280547</v>
      </c>
      <c r="S41" s="51" t="n">
        <f aca="false">R41-Q41</f>
        <v>-29713</v>
      </c>
      <c r="T41" s="52" t="n">
        <f aca="false">IF(Q41=0,0,S41/Q41)</f>
        <v>-0.0957680654934571</v>
      </c>
      <c r="U41" s="51" t="str">
        <f aca="false">IF(AND(Q41&gt;0,T41&lt;-0.15),"ADVERSE","")</f>
        <v/>
      </c>
    </row>
    <row r="42" customFormat="false" ht="15" hidden="false" customHeight="false" outlineLevel="0" collapsed="false">
      <c r="A42" s="47" t="s">
        <v>134</v>
      </c>
      <c r="B42" s="47" t="s">
        <v>135</v>
      </c>
      <c r="C42" s="48" t="n">
        <v>45017</v>
      </c>
      <c r="D42" s="47" t="s">
        <v>33</v>
      </c>
      <c r="E42" s="47" t="s">
        <v>41</v>
      </c>
      <c r="F42" s="49" t="n">
        <v>573371</v>
      </c>
      <c r="G42" s="49" t="n">
        <v>614370</v>
      </c>
      <c r="H42" s="49" t="n">
        <v>329402</v>
      </c>
      <c r="I42" s="49" t="n">
        <v>358521</v>
      </c>
      <c r="J42" s="49" t="n">
        <v>93746</v>
      </c>
      <c r="K42" s="49" t="n">
        <v>98689</v>
      </c>
      <c r="L42" s="50" t="n">
        <v>39.9</v>
      </c>
      <c r="M42" s="51" t="n">
        <f aca="false">G42-F42</f>
        <v>40999</v>
      </c>
      <c r="N42" s="52" t="n">
        <f aca="false">IF(F42=0,0,M42/F42)</f>
        <v>0.0715051859965014</v>
      </c>
      <c r="O42" s="51" t="n">
        <f aca="false">G42-I42</f>
        <v>255849</v>
      </c>
      <c r="P42" s="51" t="n">
        <f aca="false">F42-H42</f>
        <v>243969</v>
      </c>
      <c r="Q42" s="51" t="n">
        <f aca="false">F42-H42-J42</f>
        <v>150223</v>
      </c>
      <c r="R42" s="51" t="n">
        <f aca="false">G42-I42-K42</f>
        <v>157160</v>
      </c>
      <c r="S42" s="51" t="n">
        <f aca="false">R42-Q42</f>
        <v>6937</v>
      </c>
      <c r="T42" s="52" t="n">
        <f aca="false">IF(Q42=0,0,S42/Q42)</f>
        <v>0.0461780153505122</v>
      </c>
      <c r="U42" s="51" t="str">
        <f aca="false">IF(AND(Q42&gt;0,T42&lt;-0.15),"ADVERSE","")</f>
        <v/>
      </c>
    </row>
    <row r="43" customFormat="false" ht="15" hidden="false" customHeight="false" outlineLevel="0" collapsed="false">
      <c r="A43" s="47" t="s">
        <v>134</v>
      </c>
      <c r="B43" s="47" t="s">
        <v>135</v>
      </c>
      <c r="C43" s="48" t="n">
        <v>45047</v>
      </c>
      <c r="D43" s="47" t="s">
        <v>33</v>
      </c>
      <c r="E43" s="47" t="s">
        <v>41</v>
      </c>
      <c r="F43" s="49" t="n">
        <v>573294</v>
      </c>
      <c r="G43" s="49" t="n">
        <v>612062</v>
      </c>
      <c r="H43" s="49" t="n">
        <v>329357</v>
      </c>
      <c r="I43" s="49" t="n">
        <v>350936</v>
      </c>
      <c r="J43" s="49" t="n">
        <v>93734</v>
      </c>
      <c r="K43" s="49" t="n">
        <v>87228</v>
      </c>
      <c r="L43" s="50" t="n">
        <v>40</v>
      </c>
      <c r="M43" s="51" t="n">
        <f aca="false">G43-F43</f>
        <v>38768</v>
      </c>
      <c r="N43" s="52" t="n">
        <f aca="false">IF(F43=0,0,M43/F43)</f>
        <v>0.0676232439202224</v>
      </c>
      <c r="O43" s="51" t="n">
        <f aca="false">G43-I43</f>
        <v>261126</v>
      </c>
      <c r="P43" s="51" t="n">
        <f aca="false">F43-H43</f>
        <v>243937</v>
      </c>
      <c r="Q43" s="51" t="n">
        <f aca="false">F43-H43-J43</f>
        <v>150203</v>
      </c>
      <c r="R43" s="51" t="n">
        <f aca="false">G43-I43-K43</f>
        <v>173898</v>
      </c>
      <c r="S43" s="51" t="n">
        <f aca="false">R43-Q43</f>
        <v>23695</v>
      </c>
      <c r="T43" s="52" t="n">
        <f aca="false">IF(Q43=0,0,S43/Q43)</f>
        <v>0.157753174037802</v>
      </c>
      <c r="U43" s="51" t="str">
        <f aca="false">IF(AND(Q43&gt;0,T43&lt;-0.15),"ADVERSE","")</f>
        <v/>
      </c>
    </row>
    <row r="44" customFormat="false" ht="15" hidden="false" customHeight="false" outlineLevel="0" collapsed="false">
      <c r="A44" s="47" t="s">
        <v>134</v>
      </c>
      <c r="B44" s="47" t="s">
        <v>135</v>
      </c>
      <c r="C44" s="48" t="n">
        <v>45078</v>
      </c>
      <c r="D44" s="47" t="s">
        <v>33</v>
      </c>
      <c r="E44" s="47" t="s">
        <v>41</v>
      </c>
      <c r="F44" s="49" t="n">
        <v>583397</v>
      </c>
      <c r="G44" s="49" t="n">
        <v>607843</v>
      </c>
      <c r="H44" s="49" t="n">
        <v>335161</v>
      </c>
      <c r="I44" s="49" t="n">
        <v>353293</v>
      </c>
      <c r="J44" s="49" t="n">
        <v>95385</v>
      </c>
      <c r="K44" s="49" t="n">
        <v>101263</v>
      </c>
      <c r="L44" s="50" t="n">
        <v>40</v>
      </c>
      <c r="M44" s="51" t="n">
        <f aca="false">G44-F44</f>
        <v>24446</v>
      </c>
      <c r="N44" s="52" t="n">
        <f aca="false">IF(F44=0,0,M44/F44)</f>
        <v>0.0419028551740924</v>
      </c>
      <c r="O44" s="51" t="n">
        <f aca="false">G44-I44</f>
        <v>254550</v>
      </c>
      <c r="P44" s="51" t="n">
        <f aca="false">F44-H44</f>
        <v>248236</v>
      </c>
      <c r="Q44" s="51" t="n">
        <f aca="false">F44-H44-J44</f>
        <v>152851</v>
      </c>
      <c r="R44" s="51" t="n">
        <f aca="false">G44-I44-K44</f>
        <v>153287</v>
      </c>
      <c r="S44" s="51" t="n">
        <f aca="false">R44-Q44</f>
        <v>436</v>
      </c>
      <c r="T44" s="52" t="n">
        <f aca="false">IF(Q44=0,0,S44/Q44)</f>
        <v>0.00285245107980975</v>
      </c>
      <c r="U44" s="51" t="str">
        <f aca="false">IF(AND(Q44&gt;0,T44&lt;-0.15),"ADVERSE","")</f>
        <v/>
      </c>
    </row>
    <row r="45" customFormat="false" ht="15" hidden="false" customHeight="false" outlineLevel="0" collapsed="false">
      <c r="A45" s="47" t="s">
        <v>134</v>
      </c>
      <c r="B45" s="47" t="s">
        <v>136</v>
      </c>
      <c r="C45" s="48" t="n">
        <v>45108</v>
      </c>
      <c r="D45" s="47" t="s">
        <v>33</v>
      </c>
      <c r="E45" s="47" t="s">
        <v>41</v>
      </c>
      <c r="F45" s="49" t="n">
        <v>587818</v>
      </c>
      <c r="G45" s="49" t="n">
        <v>583833</v>
      </c>
      <c r="H45" s="49" t="n">
        <v>337702</v>
      </c>
      <c r="I45" s="49" t="n">
        <v>337435</v>
      </c>
      <c r="J45" s="49" t="n">
        <v>96108</v>
      </c>
      <c r="K45" s="49" t="n">
        <v>96599</v>
      </c>
      <c r="L45" s="50" t="n">
        <v>40.2</v>
      </c>
      <c r="M45" s="51" t="n">
        <f aca="false">G45-F45</f>
        <v>-3985</v>
      </c>
      <c r="N45" s="52" t="n">
        <f aca="false">IF(F45=0,0,M45/F45)</f>
        <v>-0.00677930924197626</v>
      </c>
      <c r="O45" s="51" t="n">
        <f aca="false">G45-I45</f>
        <v>246398</v>
      </c>
      <c r="P45" s="51" t="n">
        <f aca="false">F45-H45</f>
        <v>250116</v>
      </c>
      <c r="Q45" s="51" t="n">
        <f aca="false">F45-H45-J45</f>
        <v>154008</v>
      </c>
      <c r="R45" s="51" t="n">
        <f aca="false">G45-I45-K45</f>
        <v>149799</v>
      </c>
      <c r="S45" s="51" t="n">
        <f aca="false">R45-Q45</f>
        <v>-4209</v>
      </c>
      <c r="T45" s="52" t="n">
        <f aca="false">IF(Q45=0,0,S45/Q45)</f>
        <v>-0.0273297491039427</v>
      </c>
      <c r="U45" s="51" t="str">
        <f aca="false">IF(AND(Q45&gt;0,T45&lt;-0.15),"ADVERSE","")</f>
        <v/>
      </c>
    </row>
    <row r="46" customFormat="false" ht="15" hidden="false" customHeight="false" outlineLevel="0" collapsed="false">
      <c r="A46" s="47" t="s">
        <v>134</v>
      </c>
      <c r="B46" s="47" t="s">
        <v>136</v>
      </c>
      <c r="C46" s="48" t="n">
        <v>45139</v>
      </c>
      <c r="D46" s="47" t="s">
        <v>33</v>
      </c>
      <c r="E46" s="47" t="s">
        <v>41</v>
      </c>
      <c r="F46" s="49" t="n">
        <v>580515</v>
      </c>
      <c r="G46" s="49" t="n">
        <v>599392</v>
      </c>
      <c r="H46" s="49" t="n">
        <v>333506</v>
      </c>
      <c r="I46" s="49" t="n">
        <v>344823</v>
      </c>
      <c r="J46" s="49" t="n">
        <v>94914</v>
      </c>
      <c r="K46" s="49" t="n">
        <v>99467</v>
      </c>
      <c r="L46" s="50" t="n">
        <v>40.5</v>
      </c>
      <c r="M46" s="51" t="n">
        <f aca="false">G46-F46</f>
        <v>18877</v>
      </c>
      <c r="N46" s="52" t="n">
        <f aca="false">IF(F46=0,0,M46/F46)</f>
        <v>0.0325176782684341</v>
      </c>
      <c r="O46" s="51" t="n">
        <f aca="false">G46-I46</f>
        <v>254569</v>
      </c>
      <c r="P46" s="51" t="n">
        <f aca="false">F46-H46</f>
        <v>247009</v>
      </c>
      <c r="Q46" s="51" t="n">
        <f aca="false">F46-H46-J46</f>
        <v>152095</v>
      </c>
      <c r="R46" s="51" t="n">
        <f aca="false">G46-I46-K46</f>
        <v>155102</v>
      </c>
      <c r="S46" s="51" t="n">
        <f aca="false">R46-Q46</f>
        <v>3007</v>
      </c>
      <c r="T46" s="52" t="n">
        <f aca="false">IF(Q46=0,0,S46/Q46)</f>
        <v>0.019770538150498</v>
      </c>
      <c r="U46" s="51" t="str">
        <f aca="false">IF(AND(Q46&gt;0,T46&lt;-0.15),"ADVERSE","")</f>
        <v/>
      </c>
    </row>
    <row r="47" customFormat="false" ht="15" hidden="false" customHeight="false" outlineLevel="0" collapsed="false">
      <c r="A47" s="47" t="s">
        <v>134</v>
      </c>
      <c r="B47" s="47" t="s">
        <v>136</v>
      </c>
      <c r="C47" s="48" t="n">
        <v>45170</v>
      </c>
      <c r="D47" s="47" t="s">
        <v>33</v>
      </c>
      <c r="E47" s="47" t="s">
        <v>41</v>
      </c>
      <c r="F47" s="49" t="n">
        <v>592025</v>
      </c>
      <c r="G47" s="49" t="n">
        <v>632392</v>
      </c>
      <c r="H47" s="49" t="n">
        <v>340118</v>
      </c>
      <c r="I47" s="49" t="n">
        <v>367604</v>
      </c>
      <c r="J47" s="49" t="n">
        <v>96796</v>
      </c>
      <c r="K47" s="49" t="n">
        <v>106759</v>
      </c>
      <c r="L47" s="50" t="n">
        <v>40.7</v>
      </c>
      <c r="M47" s="51" t="n">
        <f aca="false">G47-F47</f>
        <v>40367</v>
      </c>
      <c r="N47" s="52" t="n">
        <f aca="false">IF(F47=0,0,M47/F47)</f>
        <v>0.0681846205819011</v>
      </c>
      <c r="O47" s="51" t="n">
        <f aca="false">G47-I47</f>
        <v>264788</v>
      </c>
      <c r="P47" s="51" t="n">
        <f aca="false">F47-H47</f>
        <v>251907</v>
      </c>
      <c r="Q47" s="51" t="n">
        <f aca="false">F47-H47-J47</f>
        <v>155111</v>
      </c>
      <c r="R47" s="51" t="n">
        <f aca="false">G47-I47-K47</f>
        <v>158029</v>
      </c>
      <c r="S47" s="51" t="n">
        <f aca="false">R47-Q47</f>
        <v>2918</v>
      </c>
      <c r="T47" s="52" t="n">
        <f aca="false">IF(Q47=0,0,S47/Q47)</f>
        <v>0.0188123343927897</v>
      </c>
      <c r="U47" s="51" t="str">
        <f aca="false">IF(AND(Q47&gt;0,T47&lt;-0.15),"ADVERSE","")</f>
        <v/>
      </c>
    </row>
    <row r="48" customFormat="false" ht="15" hidden="false" customHeight="false" outlineLevel="0" collapsed="false">
      <c r="A48" s="47" t="s">
        <v>134</v>
      </c>
      <c r="B48" s="47" t="s">
        <v>137</v>
      </c>
      <c r="C48" s="48" t="n">
        <v>45200</v>
      </c>
      <c r="D48" s="47" t="s">
        <v>33</v>
      </c>
      <c r="E48" s="47" t="s">
        <v>41</v>
      </c>
      <c r="F48" s="49" t="n">
        <v>620577</v>
      </c>
      <c r="G48" s="49" t="n">
        <v>624824</v>
      </c>
      <c r="H48" s="49" t="n">
        <v>356521</v>
      </c>
      <c r="I48" s="49" t="n">
        <v>363592</v>
      </c>
      <c r="J48" s="49" t="n">
        <v>101464</v>
      </c>
      <c r="K48" s="49" t="n">
        <v>99066</v>
      </c>
      <c r="L48" s="50" t="n">
        <v>40.9</v>
      </c>
      <c r="M48" s="51" t="n">
        <f aca="false">G48-F48</f>
        <v>4247</v>
      </c>
      <c r="N48" s="52" t="n">
        <f aca="false">IF(F48=0,0,M48/F48)</f>
        <v>0.00684363100791683</v>
      </c>
      <c r="O48" s="51" t="n">
        <f aca="false">G48-I48</f>
        <v>261232</v>
      </c>
      <c r="P48" s="51" t="n">
        <f aca="false">F48-H48</f>
        <v>264056</v>
      </c>
      <c r="Q48" s="51" t="n">
        <f aca="false">F48-H48-J48</f>
        <v>162592</v>
      </c>
      <c r="R48" s="51" t="n">
        <f aca="false">G48-I48-K48</f>
        <v>162166</v>
      </c>
      <c r="S48" s="51" t="n">
        <f aca="false">R48-Q48</f>
        <v>-426</v>
      </c>
      <c r="T48" s="52" t="n">
        <f aca="false">IF(Q48=0,0,S48/Q48)</f>
        <v>-0.00262005510726235</v>
      </c>
      <c r="U48" s="51" t="str">
        <f aca="false">IF(AND(Q48&gt;0,T48&lt;-0.15),"ADVERSE","")</f>
        <v/>
      </c>
    </row>
    <row r="49" customFormat="false" ht="15" hidden="false" customHeight="false" outlineLevel="0" collapsed="false">
      <c r="A49" s="47" t="s">
        <v>134</v>
      </c>
      <c r="B49" s="47" t="s">
        <v>137</v>
      </c>
      <c r="C49" s="48" t="n">
        <v>45231</v>
      </c>
      <c r="D49" s="47" t="s">
        <v>33</v>
      </c>
      <c r="E49" s="47" t="s">
        <v>41</v>
      </c>
      <c r="F49" s="49" t="n">
        <v>613556</v>
      </c>
      <c r="G49" s="49" t="n">
        <v>635192</v>
      </c>
      <c r="H49" s="49" t="n">
        <v>352488</v>
      </c>
      <c r="I49" s="49" t="n">
        <v>362088</v>
      </c>
      <c r="J49" s="49" t="n">
        <v>100316</v>
      </c>
      <c r="K49" s="49" t="n">
        <v>98895</v>
      </c>
      <c r="L49" s="50" t="n">
        <v>40.4</v>
      </c>
      <c r="M49" s="51" t="n">
        <f aca="false">G49-F49</f>
        <v>21636</v>
      </c>
      <c r="N49" s="52" t="n">
        <f aca="false">IF(F49=0,0,M49/F49)</f>
        <v>0.0352632848509346</v>
      </c>
      <c r="O49" s="51" t="n">
        <f aca="false">G49-I49</f>
        <v>273104</v>
      </c>
      <c r="P49" s="51" t="n">
        <f aca="false">F49-H49</f>
        <v>261068</v>
      </c>
      <c r="Q49" s="51" t="n">
        <f aca="false">F49-H49-J49</f>
        <v>160752</v>
      </c>
      <c r="R49" s="51" t="n">
        <f aca="false">G49-I49-K49</f>
        <v>174209</v>
      </c>
      <c r="S49" s="51" t="n">
        <f aca="false">R49-Q49</f>
        <v>13457</v>
      </c>
      <c r="T49" s="52" t="n">
        <f aca="false">IF(Q49=0,0,S49/Q49)</f>
        <v>0.0837127998407485</v>
      </c>
      <c r="U49" s="51" t="str">
        <f aca="false">IF(AND(Q49&gt;0,T49&lt;-0.15),"ADVERSE","")</f>
        <v/>
      </c>
    </row>
    <row r="50" customFormat="false" ht="15" hidden="false" customHeight="false" outlineLevel="0" collapsed="false">
      <c r="A50" s="47" t="s">
        <v>134</v>
      </c>
      <c r="B50" s="47" t="s">
        <v>137</v>
      </c>
      <c r="C50" s="48" t="n">
        <v>45261</v>
      </c>
      <c r="D50" s="47" t="s">
        <v>33</v>
      </c>
      <c r="E50" s="47" t="s">
        <v>41</v>
      </c>
      <c r="F50" s="49" t="n">
        <v>607052</v>
      </c>
      <c r="G50" s="49" t="n">
        <v>592132</v>
      </c>
      <c r="H50" s="49" t="n">
        <v>348751</v>
      </c>
      <c r="I50" s="49" t="n">
        <v>337823</v>
      </c>
      <c r="J50" s="49" t="n">
        <v>99253</v>
      </c>
      <c r="K50" s="49" t="n">
        <v>95779</v>
      </c>
      <c r="L50" s="50" t="n">
        <v>41.5</v>
      </c>
      <c r="M50" s="51" t="n">
        <f aca="false">G50-F50</f>
        <v>-14920</v>
      </c>
      <c r="N50" s="52" t="n">
        <f aca="false">IF(F50=0,0,M50/F50)</f>
        <v>-0.024577795641889</v>
      </c>
      <c r="O50" s="51" t="n">
        <f aca="false">G50-I50</f>
        <v>254309</v>
      </c>
      <c r="P50" s="51" t="n">
        <f aca="false">F50-H50</f>
        <v>258301</v>
      </c>
      <c r="Q50" s="51" t="n">
        <f aca="false">F50-H50-J50</f>
        <v>159048</v>
      </c>
      <c r="R50" s="51" t="n">
        <f aca="false">G50-I50-K50</f>
        <v>158530</v>
      </c>
      <c r="S50" s="51" t="n">
        <f aca="false">R50-Q50</f>
        <v>-518</v>
      </c>
      <c r="T50" s="52" t="n">
        <f aca="false">IF(Q50=0,0,S50/Q50)</f>
        <v>-0.0032568784266385</v>
      </c>
      <c r="U50" s="51" t="str">
        <f aca="false">IF(AND(Q50&gt;0,T50&lt;-0.15),"ADVERSE","")</f>
        <v/>
      </c>
    </row>
    <row r="51" customFormat="false" ht="15" hidden="false" customHeight="false" outlineLevel="0" collapsed="false">
      <c r="A51" s="47" t="s">
        <v>134</v>
      </c>
      <c r="B51" s="47" t="s">
        <v>138</v>
      </c>
      <c r="C51" s="48" t="n">
        <v>45292</v>
      </c>
      <c r="D51" s="47" t="s">
        <v>33</v>
      </c>
      <c r="E51" s="47" t="s">
        <v>41</v>
      </c>
      <c r="F51" s="49" t="n">
        <v>593312</v>
      </c>
      <c r="G51" s="49" t="n">
        <v>607394</v>
      </c>
      <c r="H51" s="49" t="n">
        <v>340858</v>
      </c>
      <c r="I51" s="49" t="n">
        <v>345744</v>
      </c>
      <c r="J51" s="49" t="n">
        <v>97007</v>
      </c>
      <c r="K51" s="49" t="n">
        <v>96096</v>
      </c>
      <c r="L51" s="50" t="n">
        <v>41.4</v>
      </c>
      <c r="M51" s="51" t="n">
        <f aca="false">G51-F51</f>
        <v>14082</v>
      </c>
      <c r="N51" s="52" t="n">
        <f aca="false">IF(F51=0,0,M51/F51)</f>
        <v>0.0237345612426514</v>
      </c>
      <c r="O51" s="51" t="n">
        <f aca="false">G51-I51</f>
        <v>261650</v>
      </c>
      <c r="P51" s="51" t="n">
        <f aca="false">F51-H51</f>
        <v>252454</v>
      </c>
      <c r="Q51" s="51" t="n">
        <f aca="false">F51-H51-J51</f>
        <v>155447</v>
      </c>
      <c r="R51" s="51" t="n">
        <f aca="false">G51-I51-K51</f>
        <v>165554</v>
      </c>
      <c r="S51" s="51" t="n">
        <f aca="false">R51-Q51</f>
        <v>10107</v>
      </c>
      <c r="T51" s="52" t="n">
        <f aca="false">IF(Q51=0,0,S51/Q51)</f>
        <v>0.0650189453640147</v>
      </c>
      <c r="U51" s="51" t="str">
        <f aca="false">IF(AND(Q51&gt;0,T51&lt;-0.15),"ADVERSE","")</f>
        <v/>
      </c>
    </row>
    <row r="52" customFormat="false" ht="15" hidden="false" customHeight="false" outlineLevel="0" collapsed="false">
      <c r="A52" s="47" t="s">
        <v>134</v>
      </c>
      <c r="B52" s="47" t="s">
        <v>138</v>
      </c>
      <c r="C52" s="48" t="n">
        <v>45323</v>
      </c>
      <c r="D52" s="47" t="s">
        <v>33</v>
      </c>
      <c r="E52" s="47" t="s">
        <v>41</v>
      </c>
      <c r="F52" s="49" t="n">
        <v>618990</v>
      </c>
      <c r="G52" s="49" t="n">
        <v>617502</v>
      </c>
      <c r="H52" s="49" t="n">
        <v>355610</v>
      </c>
      <c r="I52" s="49" t="n">
        <v>362643</v>
      </c>
      <c r="J52" s="49" t="n">
        <v>101205</v>
      </c>
      <c r="K52" s="49" t="n">
        <v>107364</v>
      </c>
      <c r="L52" s="50" t="n">
        <v>43.1</v>
      </c>
      <c r="M52" s="51" t="n">
        <f aca="false">G52-F52</f>
        <v>-1488</v>
      </c>
      <c r="N52" s="52" t="n">
        <f aca="false">IF(F52=0,0,M52/F52)</f>
        <v>-0.00240391605680221</v>
      </c>
      <c r="O52" s="51" t="n">
        <f aca="false">G52-I52</f>
        <v>254859</v>
      </c>
      <c r="P52" s="51" t="n">
        <f aca="false">F52-H52</f>
        <v>263380</v>
      </c>
      <c r="Q52" s="51" t="n">
        <f aca="false">F52-H52-J52</f>
        <v>162175</v>
      </c>
      <c r="R52" s="51" t="n">
        <f aca="false">G52-I52-K52</f>
        <v>147495</v>
      </c>
      <c r="S52" s="51" t="n">
        <f aca="false">R52-Q52</f>
        <v>-14680</v>
      </c>
      <c r="T52" s="52" t="n">
        <f aca="false">IF(Q52=0,0,S52/Q52)</f>
        <v>-0.0905195005395406</v>
      </c>
      <c r="U52" s="51" t="str">
        <f aca="false">IF(AND(Q52&gt;0,T52&lt;-0.15),"ADVERSE","")</f>
        <v/>
      </c>
    </row>
    <row r="53" customFormat="false" ht="15" hidden="false" customHeight="false" outlineLevel="0" collapsed="false">
      <c r="A53" s="47" t="s">
        <v>134</v>
      </c>
      <c r="B53" s="47" t="s">
        <v>138</v>
      </c>
      <c r="C53" s="48" t="n">
        <v>45352</v>
      </c>
      <c r="D53" s="47" t="s">
        <v>33</v>
      </c>
      <c r="E53" s="47" t="s">
        <v>41</v>
      </c>
      <c r="F53" s="49" t="n">
        <v>669055</v>
      </c>
      <c r="G53" s="49" t="n">
        <v>648930</v>
      </c>
      <c r="H53" s="49" t="n">
        <v>384372</v>
      </c>
      <c r="I53" s="49" t="n">
        <v>377086</v>
      </c>
      <c r="J53" s="49" t="n">
        <v>109390</v>
      </c>
      <c r="K53" s="49" t="n">
        <v>108928</v>
      </c>
      <c r="L53" s="50" t="n">
        <v>43.4</v>
      </c>
      <c r="M53" s="51" t="n">
        <f aca="false">G53-F53</f>
        <v>-20125</v>
      </c>
      <c r="N53" s="52" t="n">
        <f aca="false">IF(F53=0,0,M53/F53)</f>
        <v>-0.0300797393338365</v>
      </c>
      <c r="O53" s="51" t="n">
        <f aca="false">G53-I53</f>
        <v>271844</v>
      </c>
      <c r="P53" s="51" t="n">
        <f aca="false">F53-H53</f>
        <v>284683</v>
      </c>
      <c r="Q53" s="51" t="n">
        <f aca="false">F53-H53-J53</f>
        <v>175293</v>
      </c>
      <c r="R53" s="51" t="n">
        <f aca="false">G53-I53-K53</f>
        <v>162916</v>
      </c>
      <c r="S53" s="51" t="n">
        <f aca="false">R53-Q53</f>
        <v>-12377</v>
      </c>
      <c r="T53" s="52" t="n">
        <f aca="false">IF(Q53=0,0,S53/Q53)</f>
        <v>-0.0706074971618947</v>
      </c>
      <c r="U53" s="51" t="str">
        <f aca="false">IF(AND(Q53&gt;0,T53&lt;-0.15),"ADVERSE","")</f>
        <v/>
      </c>
    </row>
    <row r="54" customFormat="false" ht="15" hidden="false" customHeight="false" outlineLevel="0" collapsed="false">
      <c r="A54" s="47" t="s">
        <v>139</v>
      </c>
      <c r="B54" s="47" t="s">
        <v>135</v>
      </c>
      <c r="C54" s="48" t="n">
        <v>45383</v>
      </c>
      <c r="D54" s="47" t="s">
        <v>33</v>
      </c>
      <c r="E54" s="47" t="s">
        <v>41</v>
      </c>
      <c r="F54" s="49" t="n">
        <v>645021</v>
      </c>
      <c r="G54" s="49" t="n">
        <v>701253</v>
      </c>
      <c r="H54" s="49" t="n">
        <v>370564</v>
      </c>
      <c r="I54" s="49" t="n">
        <v>415299</v>
      </c>
      <c r="J54" s="49" t="n">
        <v>105461</v>
      </c>
      <c r="K54" s="49" t="n">
        <v>110984</v>
      </c>
      <c r="L54" s="50" t="n">
        <v>41.6</v>
      </c>
      <c r="M54" s="51" t="n">
        <f aca="false">G54-F54</f>
        <v>56232</v>
      </c>
      <c r="N54" s="52" t="n">
        <f aca="false">IF(F54=0,0,M54/F54)</f>
        <v>0.0871785569772147</v>
      </c>
      <c r="O54" s="51" t="n">
        <f aca="false">G54-I54</f>
        <v>285954</v>
      </c>
      <c r="P54" s="51" t="n">
        <f aca="false">F54-H54</f>
        <v>274457</v>
      </c>
      <c r="Q54" s="51" t="n">
        <f aca="false">F54-H54-J54</f>
        <v>168996</v>
      </c>
      <c r="R54" s="51" t="n">
        <f aca="false">G54-I54-K54</f>
        <v>174970</v>
      </c>
      <c r="S54" s="51" t="n">
        <f aca="false">R54-Q54</f>
        <v>5974</v>
      </c>
      <c r="T54" s="52" t="n">
        <f aca="false">IF(Q54=0,0,S54/Q54)</f>
        <v>0.0353499491112216</v>
      </c>
      <c r="U54" s="51" t="str">
        <f aca="false">IF(AND(Q54&gt;0,T54&lt;-0.15),"ADVERSE","")</f>
        <v/>
      </c>
    </row>
    <row r="55" customFormat="false" ht="15" hidden="false" customHeight="false" outlineLevel="0" collapsed="false">
      <c r="A55" s="47" t="s">
        <v>139</v>
      </c>
      <c r="B55" s="47" t="s">
        <v>135</v>
      </c>
      <c r="C55" s="48" t="n">
        <v>45413</v>
      </c>
      <c r="D55" s="47" t="s">
        <v>33</v>
      </c>
      <c r="E55" s="47" t="s">
        <v>41</v>
      </c>
      <c r="F55" s="49" t="n">
        <v>637418</v>
      </c>
      <c r="G55" s="49" t="n">
        <v>657939</v>
      </c>
      <c r="H55" s="49" t="n">
        <v>366197</v>
      </c>
      <c r="I55" s="49" t="n">
        <v>379207</v>
      </c>
      <c r="J55" s="49" t="n">
        <v>104218</v>
      </c>
      <c r="K55" s="49" t="n">
        <v>108070</v>
      </c>
      <c r="L55" s="50" t="n">
        <v>42.7</v>
      </c>
      <c r="M55" s="51" t="n">
        <f aca="false">G55-F55</f>
        <v>20521</v>
      </c>
      <c r="N55" s="52" t="n">
        <f aca="false">IF(F55=0,0,M55/F55)</f>
        <v>0.0321939449466441</v>
      </c>
      <c r="O55" s="51" t="n">
        <f aca="false">G55-I55</f>
        <v>278732</v>
      </c>
      <c r="P55" s="51" t="n">
        <f aca="false">F55-H55</f>
        <v>271221</v>
      </c>
      <c r="Q55" s="51" t="n">
        <f aca="false">F55-H55-J55</f>
        <v>167003</v>
      </c>
      <c r="R55" s="51" t="n">
        <f aca="false">G55-I55-K55</f>
        <v>170662</v>
      </c>
      <c r="S55" s="51" t="n">
        <f aca="false">R55-Q55</f>
        <v>3659</v>
      </c>
      <c r="T55" s="52" t="n">
        <f aca="false">IF(Q55=0,0,S55/Q55)</f>
        <v>0.0219097860517476</v>
      </c>
      <c r="U55" s="51" t="str">
        <f aca="false">IF(AND(Q55&gt;0,T55&lt;-0.15),"ADVERSE","")</f>
        <v/>
      </c>
    </row>
    <row r="56" customFormat="false" ht="15" hidden="false" customHeight="false" outlineLevel="0" collapsed="false">
      <c r="A56" s="47" t="s">
        <v>139</v>
      </c>
      <c r="B56" s="47" t="s">
        <v>135</v>
      </c>
      <c r="C56" s="48" t="n">
        <v>45444</v>
      </c>
      <c r="D56" s="47" t="s">
        <v>33</v>
      </c>
      <c r="E56" s="47" t="s">
        <v>41</v>
      </c>
      <c r="F56" s="49" t="n">
        <v>655765</v>
      </c>
      <c r="G56" s="49" t="n">
        <v>681512</v>
      </c>
      <c r="H56" s="49" t="n">
        <v>376737</v>
      </c>
      <c r="I56" s="49" t="n">
        <v>398580</v>
      </c>
      <c r="J56" s="49" t="n">
        <v>107218</v>
      </c>
      <c r="K56" s="49" t="n">
        <v>112475</v>
      </c>
      <c r="L56" s="50" t="n">
        <v>42.9</v>
      </c>
      <c r="M56" s="51" t="n">
        <f aca="false">G56-F56</f>
        <v>25747</v>
      </c>
      <c r="N56" s="52" t="n">
        <f aca="false">IF(F56=0,0,M56/F56)</f>
        <v>0.0392625406967435</v>
      </c>
      <c r="O56" s="51" t="n">
        <f aca="false">G56-I56</f>
        <v>282932</v>
      </c>
      <c r="P56" s="51" t="n">
        <f aca="false">F56-H56</f>
        <v>279028</v>
      </c>
      <c r="Q56" s="51" t="n">
        <f aca="false">F56-H56-J56</f>
        <v>171810</v>
      </c>
      <c r="R56" s="51" t="n">
        <f aca="false">G56-I56-K56</f>
        <v>170457</v>
      </c>
      <c r="S56" s="51" t="n">
        <f aca="false">R56-Q56</f>
        <v>-1353</v>
      </c>
      <c r="T56" s="52" t="n">
        <f aca="false">IF(Q56=0,0,S56/Q56)</f>
        <v>-0.00787497817356382</v>
      </c>
      <c r="U56" s="51" t="str">
        <f aca="false">IF(AND(Q56&gt;0,T56&lt;-0.15),"ADVERSE","")</f>
        <v/>
      </c>
    </row>
    <row r="57" customFormat="false" ht="15" hidden="false" customHeight="false" outlineLevel="0" collapsed="false">
      <c r="A57" s="47" t="s">
        <v>139</v>
      </c>
      <c r="B57" s="47" t="s">
        <v>136</v>
      </c>
      <c r="C57" s="48" t="n">
        <v>45474</v>
      </c>
      <c r="D57" s="47" t="s">
        <v>33</v>
      </c>
      <c r="E57" s="47" t="s">
        <v>41</v>
      </c>
      <c r="F57" s="49" t="n">
        <v>674335</v>
      </c>
      <c r="G57" s="49" t="n">
        <v>643907</v>
      </c>
      <c r="H57" s="49" t="n">
        <v>387406</v>
      </c>
      <c r="I57" s="49" t="n">
        <v>389256</v>
      </c>
      <c r="J57" s="49" t="n">
        <v>110254</v>
      </c>
      <c r="K57" s="49" t="n">
        <v>109390</v>
      </c>
      <c r="L57" s="50" t="n">
        <v>42.1</v>
      </c>
      <c r="M57" s="51" t="n">
        <f aca="false">G57-F57</f>
        <v>-30428</v>
      </c>
      <c r="N57" s="52" t="n">
        <f aca="false">IF(F57=0,0,M57/F57)</f>
        <v>-0.0451229730030326</v>
      </c>
      <c r="O57" s="51" t="n">
        <f aca="false">G57-I57</f>
        <v>254651</v>
      </c>
      <c r="P57" s="51" t="n">
        <f aca="false">F57-H57</f>
        <v>286929</v>
      </c>
      <c r="Q57" s="51" t="n">
        <f aca="false">F57-H57-J57</f>
        <v>176675</v>
      </c>
      <c r="R57" s="51" t="n">
        <f aca="false">G57-I57-K57</f>
        <v>145261</v>
      </c>
      <c r="S57" s="51" t="n">
        <f aca="false">R57-Q57</f>
        <v>-31414</v>
      </c>
      <c r="T57" s="52" t="n">
        <f aca="false">IF(Q57=0,0,S57/Q57)</f>
        <v>-0.177806707230791</v>
      </c>
      <c r="U57" s="51" t="str">
        <f aca="false">IF(AND(Q57&gt;0,T57&lt;-0.15),"ADVERSE","")</f>
        <v>ADVERSE</v>
      </c>
    </row>
    <row r="58" customFormat="false" ht="15" hidden="false" customHeight="false" outlineLevel="0" collapsed="false">
      <c r="A58" s="47" t="s">
        <v>139</v>
      </c>
      <c r="B58" s="47" t="s">
        <v>136</v>
      </c>
      <c r="C58" s="48" t="n">
        <v>45505</v>
      </c>
      <c r="D58" s="47" t="s">
        <v>33</v>
      </c>
      <c r="E58" s="47" t="s">
        <v>41</v>
      </c>
      <c r="F58" s="49" t="n">
        <v>636705</v>
      </c>
      <c r="G58" s="49" t="n">
        <v>651706</v>
      </c>
      <c r="H58" s="49" t="n">
        <v>365787</v>
      </c>
      <c r="I58" s="49" t="n">
        <v>373015</v>
      </c>
      <c r="J58" s="49" t="n">
        <v>104101</v>
      </c>
      <c r="K58" s="49" t="n">
        <v>110109</v>
      </c>
      <c r="L58" s="50" t="n">
        <v>43.3</v>
      </c>
      <c r="M58" s="51" t="n">
        <f aca="false">G58-F58</f>
        <v>15001</v>
      </c>
      <c r="N58" s="52" t="n">
        <f aca="false">IF(F58=0,0,M58/F58)</f>
        <v>0.023560361548912</v>
      </c>
      <c r="O58" s="51" t="n">
        <f aca="false">G58-I58</f>
        <v>278691</v>
      </c>
      <c r="P58" s="51" t="n">
        <f aca="false">F58-H58</f>
        <v>270918</v>
      </c>
      <c r="Q58" s="51" t="n">
        <f aca="false">F58-H58-J58</f>
        <v>166817</v>
      </c>
      <c r="R58" s="51" t="n">
        <f aca="false">G58-I58-K58</f>
        <v>168582</v>
      </c>
      <c r="S58" s="51" t="n">
        <f aca="false">R58-Q58</f>
        <v>1765</v>
      </c>
      <c r="T58" s="52" t="n">
        <f aca="false">IF(Q58=0,0,S58/Q58)</f>
        <v>0.0105804564283017</v>
      </c>
      <c r="U58" s="51" t="str">
        <f aca="false">IF(AND(Q58&gt;0,T58&lt;-0.15),"ADVERSE","")</f>
        <v/>
      </c>
    </row>
    <row r="59" customFormat="false" ht="15" hidden="false" customHeight="false" outlineLevel="0" collapsed="false">
      <c r="A59" s="47" t="s">
        <v>139</v>
      </c>
      <c r="B59" s="47" t="s">
        <v>136</v>
      </c>
      <c r="C59" s="48" t="n">
        <v>45536</v>
      </c>
      <c r="D59" s="47" t="s">
        <v>33</v>
      </c>
      <c r="E59" s="47" t="s">
        <v>41</v>
      </c>
      <c r="F59" s="49" t="n">
        <v>653227</v>
      </c>
      <c r="G59" s="49" t="n">
        <v>651536</v>
      </c>
      <c r="H59" s="49" t="n">
        <v>375279</v>
      </c>
      <c r="I59" s="49" t="n">
        <v>375838</v>
      </c>
      <c r="J59" s="49" t="n">
        <v>106803</v>
      </c>
      <c r="K59" s="49" t="n">
        <v>108138</v>
      </c>
      <c r="L59" s="50" t="n">
        <v>43.5</v>
      </c>
      <c r="M59" s="51" t="n">
        <f aca="false">G59-F59</f>
        <v>-1691</v>
      </c>
      <c r="N59" s="52" t="n">
        <f aca="false">IF(F59=0,0,M59/F59)</f>
        <v>-0.00258868662807875</v>
      </c>
      <c r="O59" s="51" t="n">
        <f aca="false">G59-I59</f>
        <v>275698</v>
      </c>
      <c r="P59" s="51" t="n">
        <f aca="false">F59-H59</f>
        <v>277948</v>
      </c>
      <c r="Q59" s="51" t="n">
        <f aca="false">F59-H59-J59</f>
        <v>171145</v>
      </c>
      <c r="R59" s="51" t="n">
        <f aca="false">G59-I59-K59</f>
        <v>167560</v>
      </c>
      <c r="S59" s="51" t="n">
        <f aca="false">R59-Q59</f>
        <v>-3585</v>
      </c>
      <c r="T59" s="52" t="n">
        <f aca="false">IF(Q59=0,0,S59/Q59)</f>
        <v>-0.0209471500774197</v>
      </c>
      <c r="U59" s="51" t="str">
        <f aca="false">IF(AND(Q59&gt;0,T59&lt;-0.15),"ADVERSE","")</f>
        <v/>
      </c>
    </row>
    <row r="60" customFormat="false" ht="15" hidden="false" customHeight="false" outlineLevel="0" collapsed="false">
      <c r="A60" s="47" t="s">
        <v>139</v>
      </c>
      <c r="B60" s="47" t="s">
        <v>137</v>
      </c>
      <c r="C60" s="48" t="n">
        <v>45566</v>
      </c>
      <c r="D60" s="47" t="s">
        <v>33</v>
      </c>
      <c r="E60" s="47" t="s">
        <v>41</v>
      </c>
      <c r="F60" s="49" t="n">
        <v>703730</v>
      </c>
      <c r="G60" s="49" t="n">
        <v>709293</v>
      </c>
      <c r="H60" s="49" t="n">
        <v>404293</v>
      </c>
      <c r="I60" s="49" t="n">
        <v>414430</v>
      </c>
      <c r="J60" s="49" t="n">
        <v>115060</v>
      </c>
      <c r="K60" s="49" t="n">
        <v>119029</v>
      </c>
      <c r="L60" s="50" t="n">
        <v>43.7</v>
      </c>
      <c r="M60" s="51" t="n">
        <f aca="false">G60-F60</f>
        <v>5563</v>
      </c>
      <c r="N60" s="52" t="n">
        <f aca="false">IF(F60=0,0,M60/F60)</f>
        <v>0.00790502039134327</v>
      </c>
      <c r="O60" s="51" t="n">
        <f aca="false">G60-I60</f>
        <v>294863</v>
      </c>
      <c r="P60" s="51" t="n">
        <f aca="false">F60-H60</f>
        <v>299437</v>
      </c>
      <c r="Q60" s="51" t="n">
        <f aca="false">F60-H60-J60</f>
        <v>184377</v>
      </c>
      <c r="R60" s="51" t="n">
        <f aca="false">G60-I60-K60</f>
        <v>175834</v>
      </c>
      <c r="S60" s="51" t="n">
        <f aca="false">R60-Q60</f>
        <v>-8543</v>
      </c>
      <c r="T60" s="52" t="n">
        <f aca="false">IF(Q60=0,0,S60/Q60)</f>
        <v>-0.0463344126436595</v>
      </c>
      <c r="U60" s="51" t="str">
        <f aca="false">IF(AND(Q60&gt;0,T60&lt;-0.15),"ADVERSE","")</f>
        <v/>
      </c>
    </row>
    <row r="61" customFormat="false" ht="15" hidden="false" customHeight="false" outlineLevel="0" collapsed="false">
      <c r="A61" s="47" t="s">
        <v>139</v>
      </c>
      <c r="B61" s="47" t="s">
        <v>137</v>
      </c>
      <c r="C61" s="48" t="n">
        <v>45597</v>
      </c>
      <c r="D61" s="47" t="s">
        <v>33</v>
      </c>
      <c r="E61" s="47" t="s">
        <v>41</v>
      </c>
      <c r="F61" s="49" t="n">
        <v>690741</v>
      </c>
      <c r="G61" s="49" t="n">
        <v>678789</v>
      </c>
      <c r="H61" s="49" t="n">
        <v>396831</v>
      </c>
      <c r="I61" s="49" t="n">
        <v>403666</v>
      </c>
      <c r="J61" s="49" t="n">
        <v>112936</v>
      </c>
      <c r="K61" s="49" t="n">
        <v>107812</v>
      </c>
      <c r="L61" s="50" t="n">
        <v>44.8</v>
      </c>
      <c r="M61" s="51" t="n">
        <f aca="false">G61-F61</f>
        <v>-11952</v>
      </c>
      <c r="N61" s="52" t="n">
        <f aca="false">IF(F61=0,0,M61/F61)</f>
        <v>-0.0173031570443915</v>
      </c>
      <c r="O61" s="51" t="n">
        <f aca="false">G61-I61</f>
        <v>275123</v>
      </c>
      <c r="P61" s="51" t="n">
        <f aca="false">F61-H61</f>
        <v>293910</v>
      </c>
      <c r="Q61" s="51" t="n">
        <f aca="false">F61-H61-J61</f>
        <v>180974</v>
      </c>
      <c r="R61" s="51" t="n">
        <f aca="false">G61-I61-K61</f>
        <v>167311</v>
      </c>
      <c r="S61" s="51" t="n">
        <f aca="false">R61-Q61</f>
        <v>-13663</v>
      </c>
      <c r="T61" s="52" t="n">
        <f aca="false">IF(Q61=0,0,S61/Q61)</f>
        <v>-0.0754970327229326</v>
      </c>
      <c r="U61" s="51" t="str">
        <f aca="false">IF(AND(Q61&gt;0,T61&lt;-0.15),"ADVERSE","")</f>
        <v/>
      </c>
    </row>
    <row r="62" customFormat="false" ht="15" hidden="false" customHeight="false" outlineLevel="0" collapsed="false">
      <c r="A62" s="47" t="s">
        <v>139</v>
      </c>
      <c r="B62" s="47" t="s">
        <v>137</v>
      </c>
      <c r="C62" s="48" t="n">
        <v>45627</v>
      </c>
      <c r="D62" s="47" t="s">
        <v>33</v>
      </c>
      <c r="E62" s="47" t="s">
        <v>41</v>
      </c>
      <c r="F62" s="49" t="n">
        <v>685033</v>
      </c>
      <c r="G62" s="49" t="n">
        <v>717400</v>
      </c>
      <c r="H62" s="49" t="n">
        <v>393551</v>
      </c>
      <c r="I62" s="49" t="n">
        <v>422577</v>
      </c>
      <c r="J62" s="49" t="n">
        <v>112003</v>
      </c>
      <c r="K62" s="49" t="n">
        <v>112294</v>
      </c>
      <c r="L62" s="50" t="n">
        <v>45.8</v>
      </c>
      <c r="M62" s="51" t="n">
        <f aca="false">G62-F62</f>
        <v>32367</v>
      </c>
      <c r="N62" s="52" t="n">
        <f aca="false">IF(F62=0,0,M62/F62)</f>
        <v>0.0472488186700495</v>
      </c>
      <c r="O62" s="51" t="n">
        <f aca="false">G62-I62</f>
        <v>294823</v>
      </c>
      <c r="P62" s="51" t="n">
        <f aca="false">F62-H62</f>
        <v>291482</v>
      </c>
      <c r="Q62" s="51" t="n">
        <f aca="false">F62-H62-J62</f>
        <v>179479</v>
      </c>
      <c r="R62" s="51" t="n">
        <f aca="false">G62-I62-K62</f>
        <v>182529</v>
      </c>
      <c r="S62" s="51" t="n">
        <f aca="false">R62-Q62</f>
        <v>3050</v>
      </c>
      <c r="T62" s="52" t="n">
        <f aca="false">IF(Q62=0,0,S62/Q62)</f>
        <v>0.0169936315669243</v>
      </c>
      <c r="U62" s="51" t="str">
        <f aca="false">IF(AND(Q62&gt;0,T62&lt;-0.15),"ADVERSE","")</f>
        <v/>
      </c>
    </row>
    <row r="63" customFormat="false" ht="15" hidden="false" customHeight="false" outlineLevel="0" collapsed="false">
      <c r="A63" s="47" t="s">
        <v>139</v>
      </c>
      <c r="B63" s="47" t="s">
        <v>138</v>
      </c>
      <c r="C63" s="48" t="n">
        <v>45658</v>
      </c>
      <c r="D63" s="47" t="s">
        <v>33</v>
      </c>
      <c r="E63" s="47" t="s">
        <v>41</v>
      </c>
      <c r="F63" s="49" t="n">
        <v>671201</v>
      </c>
      <c r="G63" s="49" t="n">
        <v>689268</v>
      </c>
      <c r="H63" s="49" t="n">
        <v>385605</v>
      </c>
      <c r="I63" s="49" t="n">
        <v>404917</v>
      </c>
      <c r="J63" s="49" t="n">
        <v>109741</v>
      </c>
      <c r="K63" s="49" t="n">
        <v>115594</v>
      </c>
      <c r="L63" s="50" t="n">
        <v>44.1</v>
      </c>
      <c r="M63" s="51" t="n">
        <f aca="false">G63-F63</f>
        <v>18067</v>
      </c>
      <c r="N63" s="52" t="n">
        <f aca="false">IF(F63=0,0,M63/F63)</f>
        <v>0.0269174211599804</v>
      </c>
      <c r="O63" s="51" t="n">
        <f aca="false">G63-I63</f>
        <v>284351</v>
      </c>
      <c r="P63" s="51" t="n">
        <f aca="false">F63-H63</f>
        <v>285596</v>
      </c>
      <c r="Q63" s="51" t="n">
        <f aca="false">F63-H63-J63</f>
        <v>175855</v>
      </c>
      <c r="R63" s="51" t="n">
        <f aca="false">G63-I63-K63</f>
        <v>168757</v>
      </c>
      <c r="S63" s="51" t="n">
        <f aca="false">R63-Q63</f>
        <v>-7098</v>
      </c>
      <c r="T63" s="52" t="n">
        <f aca="false">IF(Q63=0,0,S63/Q63)</f>
        <v>-0.0403627988968184</v>
      </c>
      <c r="U63" s="51" t="str">
        <f aca="false">IF(AND(Q63&gt;0,T63&lt;-0.15),"ADVERSE","")</f>
        <v/>
      </c>
    </row>
    <row r="64" customFormat="false" ht="15" hidden="false" customHeight="false" outlineLevel="0" collapsed="false">
      <c r="A64" s="47" t="s">
        <v>139</v>
      </c>
      <c r="B64" s="47" t="s">
        <v>138</v>
      </c>
      <c r="C64" s="48" t="n">
        <v>45689</v>
      </c>
      <c r="D64" s="47" t="s">
        <v>33</v>
      </c>
      <c r="E64" s="47" t="s">
        <v>41</v>
      </c>
      <c r="F64" s="49" t="n">
        <v>676560</v>
      </c>
      <c r="G64" s="49" t="n">
        <v>684881</v>
      </c>
      <c r="H64" s="49" t="n">
        <v>388684</v>
      </c>
      <c r="I64" s="49" t="n">
        <v>404750</v>
      </c>
      <c r="J64" s="49" t="n">
        <v>110618</v>
      </c>
      <c r="K64" s="49" t="n">
        <v>110218</v>
      </c>
      <c r="L64" s="50" t="n">
        <v>45.4</v>
      </c>
      <c r="M64" s="51" t="n">
        <f aca="false">G64-F64</f>
        <v>8321</v>
      </c>
      <c r="N64" s="52" t="n">
        <f aca="false">IF(F64=0,0,M64/F64)</f>
        <v>0.0122989830909306</v>
      </c>
      <c r="O64" s="51" t="n">
        <f aca="false">G64-I64</f>
        <v>280131</v>
      </c>
      <c r="P64" s="51" t="n">
        <f aca="false">F64-H64</f>
        <v>287876</v>
      </c>
      <c r="Q64" s="51" t="n">
        <f aca="false">F64-H64-J64</f>
        <v>177258</v>
      </c>
      <c r="R64" s="51" t="n">
        <f aca="false">G64-I64-K64</f>
        <v>169913</v>
      </c>
      <c r="S64" s="51" t="n">
        <f aca="false">R64-Q64</f>
        <v>-7345</v>
      </c>
      <c r="T64" s="52" t="n">
        <f aca="false">IF(Q64=0,0,S64/Q64)</f>
        <v>-0.0414367757731668</v>
      </c>
      <c r="U64" s="51" t="str">
        <f aca="false">IF(AND(Q64&gt;0,T64&lt;-0.15),"ADVERSE","")</f>
        <v/>
      </c>
    </row>
    <row r="65" customFormat="false" ht="15" hidden="false" customHeight="false" outlineLevel="0" collapsed="false">
      <c r="A65" s="47" t="s">
        <v>139</v>
      </c>
      <c r="B65" s="47" t="s">
        <v>138</v>
      </c>
      <c r="C65" s="48" t="n">
        <v>45717</v>
      </c>
      <c r="D65" s="47" t="s">
        <v>33</v>
      </c>
      <c r="E65" s="47" t="s">
        <v>41</v>
      </c>
      <c r="F65" s="49" t="n">
        <v>747065</v>
      </c>
      <c r="G65" s="49" t="n">
        <v>735692</v>
      </c>
      <c r="H65" s="49" t="n">
        <v>429189</v>
      </c>
      <c r="I65" s="49" t="n">
        <v>449278</v>
      </c>
      <c r="J65" s="49" t="n">
        <v>122145</v>
      </c>
      <c r="K65" s="49" t="n">
        <v>124939</v>
      </c>
      <c r="L65" s="50" t="n">
        <v>45.2</v>
      </c>
      <c r="M65" s="51" t="n">
        <f aca="false">G65-F65</f>
        <v>-11373</v>
      </c>
      <c r="N65" s="52" t="n">
        <f aca="false">IF(F65=0,0,M65/F65)</f>
        <v>-0.0152235749231995</v>
      </c>
      <c r="O65" s="51" t="n">
        <f aca="false">G65-I65</f>
        <v>286414</v>
      </c>
      <c r="P65" s="51" t="n">
        <f aca="false">F65-H65</f>
        <v>317876</v>
      </c>
      <c r="Q65" s="51" t="n">
        <f aca="false">F65-H65-J65</f>
        <v>195731</v>
      </c>
      <c r="R65" s="51" t="n">
        <f aca="false">G65-I65-K65</f>
        <v>161475</v>
      </c>
      <c r="S65" s="51" t="n">
        <f aca="false">R65-Q65</f>
        <v>-34256</v>
      </c>
      <c r="T65" s="52" t="n">
        <f aca="false">IF(Q65=0,0,S65/Q65)</f>
        <v>-0.175015710337146</v>
      </c>
      <c r="U65" s="51" t="str">
        <f aca="false">IF(AND(Q65&gt;0,T65&lt;-0.15),"ADVERSE","")</f>
        <v>ADVERSE</v>
      </c>
    </row>
    <row r="66" customFormat="false" ht="15" hidden="false" customHeight="false" outlineLevel="0" collapsed="false">
      <c r="A66" s="47" t="s">
        <v>3</v>
      </c>
      <c r="B66" s="47" t="s">
        <v>135</v>
      </c>
      <c r="C66" s="48" t="n">
        <v>45748</v>
      </c>
      <c r="D66" s="47" t="s">
        <v>33</v>
      </c>
      <c r="E66" s="47" t="s">
        <v>41</v>
      </c>
      <c r="F66" s="49" t="n">
        <v>701661</v>
      </c>
      <c r="G66" s="49" t="n">
        <v>703100</v>
      </c>
      <c r="H66" s="49" t="n">
        <v>403104</v>
      </c>
      <c r="I66" s="49" t="n">
        <v>431474</v>
      </c>
      <c r="J66" s="49" t="n">
        <v>114722</v>
      </c>
      <c r="K66" s="49" t="n">
        <v>122771</v>
      </c>
      <c r="L66" s="50" t="n">
        <v>45.3</v>
      </c>
      <c r="M66" s="51" t="n">
        <f aca="false">G66-F66</f>
        <v>1439</v>
      </c>
      <c r="N66" s="52" t="n">
        <f aca="false">IF(F66=0,0,M66/F66)</f>
        <v>0.0020508479165865</v>
      </c>
      <c r="O66" s="51" t="n">
        <f aca="false">G66-I66</f>
        <v>271626</v>
      </c>
      <c r="P66" s="51" t="n">
        <f aca="false">F66-H66</f>
        <v>298557</v>
      </c>
      <c r="Q66" s="51" t="n">
        <f aca="false">F66-H66-J66</f>
        <v>183835</v>
      </c>
      <c r="R66" s="51" t="n">
        <f aca="false">G66-I66-K66</f>
        <v>148855</v>
      </c>
      <c r="S66" s="51" t="n">
        <f aca="false">R66-Q66</f>
        <v>-34980</v>
      </c>
      <c r="T66" s="52" t="n">
        <f aca="false">IF(Q66=0,0,S66/Q66)</f>
        <v>-0.190279326570022</v>
      </c>
      <c r="U66" s="51" t="str">
        <f aca="false">IF(AND(Q66&gt;0,T66&lt;-0.15),"ADVERSE","")</f>
        <v>ADVERSE</v>
      </c>
    </row>
    <row r="67" customFormat="false" ht="15" hidden="false" customHeight="false" outlineLevel="0" collapsed="false">
      <c r="A67" s="47" t="s">
        <v>3</v>
      </c>
      <c r="B67" s="47" t="s">
        <v>135</v>
      </c>
      <c r="C67" s="48" t="n">
        <v>45778</v>
      </c>
      <c r="D67" s="47" t="s">
        <v>33</v>
      </c>
      <c r="E67" s="47" t="s">
        <v>41</v>
      </c>
      <c r="F67" s="49" t="n">
        <v>707275</v>
      </c>
      <c r="G67" s="49" t="n">
        <v>741078</v>
      </c>
      <c r="H67" s="49" t="n">
        <v>406329</v>
      </c>
      <c r="I67" s="49" t="n">
        <v>437840</v>
      </c>
      <c r="J67" s="49" t="n">
        <v>115639</v>
      </c>
      <c r="K67" s="49" t="n">
        <v>119373</v>
      </c>
      <c r="L67" s="50" t="n">
        <v>44.8</v>
      </c>
      <c r="M67" s="51" t="n">
        <f aca="false">G67-F67</f>
        <v>33803</v>
      </c>
      <c r="N67" s="52" t="n">
        <f aca="false">IF(F67=0,0,M67/F67)</f>
        <v>0.0477932911526634</v>
      </c>
      <c r="O67" s="51" t="n">
        <f aca="false">G67-I67</f>
        <v>303238</v>
      </c>
      <c r="P67" s="51" t="n">
        <f aca="false">F67-H67</f>
        <v>300946</v>
      </c>
      <c r="Q67" s="51" t="n">
        <f aca="false">F67-H67-J67</f>
        <v>185307</v>
      </c>
      <c r="R67" s="51" t="n">
        <f aca="false">G67-I67-K67</f>
        <v>183865</v>
      </c>
      <c r="S67" s="51" t="n">
        <f aca="false">R67-Q67</f>
        <v>-1442</v>
      </c>
      <c r="T67" s="52" t="n">
        <f aca="false">IF(Q67=0,0,S67/Q67)</f>
        <v>-0.0077816812101</v>
      </c>
      <c r="U67" s="51" t="str">
        <f aca="false">IF(AND(Q67&gt;0,T67&lt;-0.15),"ADVERSE","")</f>
        <v/>
      </c>
    </row>
    <row r="68" customFormat="false" ht="15" hidden="false" customHeight="false" outlineLevel="0" collapsed="false">
      <c r="A68" s="47" t="s">
        <v>3</v>
      </c>
      <c r="B68" s="47" t="s">
        <v>135</v>
      </c>
      <c r="C68" s="48" t="n">
        <v>45809</v>
      </c>
      <c r="D68" s="47" t="s">
        <v>33</v>
      </c>
      <c r="E68" s="47" t="s">
        <v>41</v>
      </c>
      <c r="F68" s="49" t="n">
        <v>733253</v>
      </c>
      <c r="G68" s="49" t="n">
        <v>712375</v>
      </c>
      <c r="H68" s="49" t="n">
        <v>421254</v>
      </c>
      <c r="I68" s="49" t="n">
        <v>425692</v>
      </c>
      <c r="J68" s="49" t="n">
        <v>119887</v>
      </c>
      <c r="K68" s="49" t="n">
        <v>117199</v>
      </c>
      <c r="L68" s="50" t="n">
        <v>46</v>
      </c>
      <c r="M68" s="51" t="n">
        <f aca="false">G68-F68</f>
        <v>-20878</v>
      </c>
      <c r="N68" s="52" t="n">
        <f aca="false">IF(F68=0,0,M68/F68)</f>
        <v>-0.0284731191007742</v>
      </c>
      <c r="O68" s="51" t="n">
        <f aca="false">G68-I68</f>
        <v>286683</v>
      </c>
      <c r="P68" s="51" t="n">
        <f aca="false">F68-H68</f>
        <v>311999</v>
      </c>
      <c r="Q68" s="51" t="n">
        <f aca="false">F68-H68-J68</f>
        <v>192112</v>
      </c>
      <c r="R68" s="51" t="n">
        <f aca="false">G68-I68-K68</f>
        <v>169484</v>
      </c>
      <c r="S68" s="51" t="n">
        <f aca="false">R68-Q68</f>
        <v>-22628</v>
      </c>
      <c r="T68" s="52" t="n">
        <f aca="false">IF(Q68=0,0,S68/Q68)</f>
        <v>-0.117785458482552</v>
      </c>
      <c r="U68" s="51" t="str">
        <f aca="false">IF(AND(Q68&gt;0,T68&lt;-0.15),"ADVERSE","")</f>
        <v/>
      </c>
    </row>
    <row r="69" customFormat="false" ht="15" hidden="false" customHeight="false" outlineLevel="0" collapsed="false">
      <c r="A69" s="47" t="s">
        <v>3</v>
      </c>
      <c r="B69" s="47" t="s">
        <v>136</v>
      </c>
      <c r="C69" s="48" t="n">
        <v>45839</v>
      </c>
      <c r="D69" s="47" t="s">
        <v>33</v>
      </c>
      <c r="E69" s="47" t="s">
        <v>41</v>
      </c>
      <c r="F69" s="49" t="n">
        <v>735576</v>
      </c>
      <c r="G69" s="49" t="n">
        <v>712872</v>
      </c>
      <c r="H69" s="49" t="n">
        <v>422589</v>
      </c>
      <c r="I69" s="49" t="n">
        <v>431785</v>
      </c>
      <c r="J69" s="49" t="n">
        <v>120267</v>
      </c>
      <c r="K69" s="49" t="n">
        <v>121355</v>
      </c>
      <c r="L69" s="50" t="n">
        <v>45.7</v>
      </c>
      <c r="M69" s="51" t="n">
        <f aca="false">G69-F69</f>
        <v>-22704</v>
      </c>
      <c r="N69" s="52" t="n">
        <f aca="false">IF(F69=0,0,M69/F69)</f>
        <v>-0.0308656073607622</v>
      </c>
      <c r="O69" s="51" t="n">
        <f aca="false">G69-I69</f>
        <v>281087</v>
      </c>
      <c r="P69" s="51" t="n">
        <f aca="false">F69-H69</f>
        <v>312987</v>
      </c>
      <c r="Q69" s="51" t="n">
        <f aca="false">F69-H69-J69</f>
        <v>192720</v>
      </c>
      <c r="R69" s="51" t="n">
        <f aca="false">G69-I69-K69</f>
        <v>159732</v>
      </c>
      <c r="S69" s="51" t="n">
        <f aca="false">R69-Q69</f>
        <v>-32988</v>
      </c>
      <c r="T69" s="52" t="n">
        <f aca="false">IF(Q69=0,0,S69/Q69)</f>
        <v>-0.171170610211706</v>
      </c>
      <c r="U69" s="51" t="str">
        <f aca="false">IF(AND(Q69&gt;0,T69&lt;-0.15),"ADVERSE","")</f>
        <v>ADVERSE</v>
      </c>
    </row>
    <row r="70" customFormat="false" ht="15" hidden="false" customHeight="false" outlineLevel="0" collapsed="false">
      <c r="A70" s="47" t="s">
        <v>3</v>
      </c>
      <c r="B70" s="47" t="s">
        <v>136</v>
      </c>
      <c r="C70" s="48" t="n">
        <v>45870</v>
      </c>
      <c r="D70" s="47" t="s">
        <v>33</v>
      </c>
      <c r="E70" s="47" t="s">
        <v>41</v>
      </c>
      <c r="F70" s="49" t="n">
        <v>718429</v>
      </c>
      <c r="G70" s="49" t="n">
        <v>689398</v>
      </c>
      <c r="H70" s="49" t="n">
        <v>412737</v>
      </c>
      <c r="I70" s="49" t="n">
        <v>418685</v>
      </c>
      <c r="J70" s="49" t="n">
        <v>117463</v>
      </c>
      <c r="K70" s="49" t="n">
        <v>111505</v>
      </c>
      <c r="L70" s="50" t="n">
        <v>46.1</v>
      </c>
      <c r="M70" s="51" t="n">
        <f aca="false">G70-F70</f>
        <v>-29031</v>
      </c>
      <c r="N70" s="52" t="n">
        <f aca="false">IF(F70=0,0,M70/F70)</f>
        <v>-0.0404090035341001</v>
      </c>
      <c r="O70" s="51" t="n">
        <f aca="false">G70-I70</f>
        <v>270713</v>
      </c>
      <c r="P70" s="51" t="n">
        <f aca="false">F70-H70</f>
        <v>305692</v>
      </c>
      <c r="Q70" s="51" t="n">
        <f aca="false">F70-H70-J70</f>
        <v>188229</v>
      </c>
      <c r="R70" s="51" t="n">
        <f aca="false">G70-I70-K70</f>
        <v>159208</v>
      </c>
      <c r="S70" s="51" t="n">
        <f aca="false">R70-Q70</f>
        <v>-29021</v>
      </c>
      <c r="T70" s="52" t="n">
        <f aca="false">IF(Q70=0,0,S70/Q70)</f>
        <v>-0.154179217867597</v>
      </c>
      <c r="U70" s="51" t="str">
        <f aca="false">IF(AND(Q70&gt;0,T70&lt;-0.15),"ADVERSE","")</f>
        <v>ADVERSE</v>
      </c>
    </row>
    <row r="71" customFormat="false" ht="15" hidden="false" customHeight="false" outlineLevel="0" collapsed="false">
      <c r="A71" s="47" t="s">
        <v>3</v>
      </c>
      <c r="B71" s="47" t="s">
        <v>136</v>
      </c>
      <c r="C71" s="48" t="n">
        <v>45901</v>
      </c>
      <c r="D71" s="47" t="s">
        <v>33</v>
      </c>
      <c r="E71" s="47" t="s">
        <v>41</v>
      </c>
      <c r="F71" s="49" t="n">
        <v>732499</v>
      </c>
      <c r="G71" s="49" t="n">
        <v>721784</v>
      </c>
      <c r="H71" s="49" t="n">
        <v>420821</v>
      </c>
      <c r="I71" s="49" t="n">
        <v>435654</v>
      </c>
      <c r="J71" s="49" t="n">
        <v>119764</v>
      </c>
      <c r="K71" s="49" t="n">
        <v>116669</v>
      </c>
      <c r="L71" s="50" t="n">
        <v>47.7</v>
      </c>
      <c r="M71" s="51" t="n">
        <f aca="false">G71-F71</f>
        <v>-10715</v>
      </c>
      <c r="N71" s="52" t="n">
        <f aca="false">IF(F71=0,0,M71/F71)</f>
        <v>-0.0146280063180974</v>
      </c>
      <c r="O71" s="51" t="n">
        <f aca="false">G71-I71</f>
        <v>286130</v>
      </c>
      <c r="P71" s="51" t="n">
        <f aca="false">F71-H71</f>
        <v>311678</v>
      </c>
      <c r="Q71" s="51" t="n">
        <f aca="false">F71-H71-J71</f>
        <v>191914</v>
      </c>
      <c r="R71" s="51" t="n">
        <f aca="false">G71-I71-K71</f>
        <v>169461</v>
      </c>
      <c r="S71" s="51" t="n">
        <f aca="false">R71-Q71</f>
        <v>-22453</v>
      </c>
      <c r="T71" s="52" t="n">
        <f aca="false">IF(Q71=0,0,S71/Q71)</f>
        <v>-0.116995112394093</v>
      </c>
      <c r="U71" s="51" t="str">
        <f aca="false">IF(AND(Q71&gt;0,T71&lt;-0.15),"ADVERSE","")</f>
        <v/>
      </c>
    </row>
    <row r="72" customFormat="false" ht="15" hidden="false" customHeight="false" outlineLevel="0" collapsed="false">
      <c r="A72" s="47" t="s">
        <v>3</v>
      </c>
      <c r="B72" s="47" t="s">
        <v>137</v>
      </c>
      <c r="C72" s="48" t="n">
        <v>45931</v>
      </c>
      <c r="D72" s="47" t="s">
        <v>33</v>
      </c>
      <c r="E72" s="47" t="s">
        <v>41</v>
      </c>
      <c r="F72" s="49" t="n">
        <v>772936</v>
      </c>
      <c r="G72" s="49" t="n">
        <v>741238</v>
      </c>
      <c r="H72" s="49" t="n">
        <v>444052</v>
      </c>
      <c r="I72" s="49" t="n">
        <v>450699</v>
      </c>
      <c r="J72" s="49" t="n">
        <v>126375</v>
      </c>
      <c r="K72" s="49" t="n">
        <v>117332</v>
      </c>
      <c r="L72" s="50" t="n">
        <v>46</v>
      </c>
      <c r="M72" s="51" t="n">
        <f aca="false">G72-F72</f>
        <v>-31698</v>
      </c>
      <c r="N72" s="52" t="n">
        <f aca="false">IF(F72=0,0,M72/F72)</f>
        <v>-0.0410098636885848</v>
      </c>
      <c r="O72" s="51" t="n">
        <f aca="false">G72-I72</f>
        <v>290539</v>
      </c>
      <c r="P72" s="51" t="n">
        <f aca="false">F72-H72</f>
        <v>328884</v>
      </c>
      <c r="Q72" s="51" t="n">
        <f aca="false">F72-H72-J72</f>
        <v>202509</v>
      </c>
      <c r="R72" s="51" t="n">
        <f aca="false">G72-I72-K72</f>
        <v>173207</v>
      </c>
      <c r="S72" s="51" t="n">
        <f aca="false">R72-Q72</f>
        <v>-29302</v>
      </c>
      <c r="T72" s="52" t="n">
        <f aca="false">IF(Q72=0,0,S72/Q72)</f>
        <v>-0.144694803687737</v>
      </c>
      <c r="U72" s="51" t="str">
        <f aca="false">IF(AND(Q72&gt;0,T72&lt;-0.15),"ADVERSE","")</f>
        <v/>
      </c>
    </row>
    <row r="73" customFormat="false" ht="15" hidden="false" customHeight="false" outlineLevel="0" collapsed="false">
      <c r="A73" s="47" t="s">
        <v>3</v>
      </c>
      <c r="B73" s="47" t="s">
        <v>137</v>
      </c>
      <c r="C73" s="48" t="n">
        <v>45962</v>
      </c>
      <c r="D73" s="47" t="s">
        <v>33</v>
      </c>
      <c r="E73" s="47" t="s">
        <v>41</v>
      </c>
      <c r="F73" s="49" t="n">
        <v>773696</v>
      </c>
      <c r="G73" s="49" t="n">
        <v>741225</v>
      </c>
      <c r="H73" s="49" t="n">
        <v>444489</v>
      </c>
      <c r="I73" s="49" t="n">
        <v>445042</v>
      </c>
      <c r="J73" s="49" t="n">
        <v>126499</v>
      </c>
      <c r="K73" s="49" t="n">
        <v>119384</v>
      </c>
      <c r="L73" s="50" t="n">
        <v>45.1</v>
      </c>
      <c r="M73" s="51" t="n">
        <f aca="false">G73-F73</f>
        <v>-32471</v>
      </c>
      <c r="N73" s="52" t="n">
        <f aca="false">IF(F73=0,0,M73/F73)</f>
        <v>-0.0419686802051452</v>
      </c>
      <c r="O73" s="51" t="n">
        <f aca="false">G73-I73</f>
        <v>296183</v>
      </c>
      <c r="P73" s="51" t="n">
        <f aca="false">F73-H73</f>
        <v>329207</v>
      </c>
      <c r="Q73" s="51" t="n">
        <f aca="false">F73-H73-J73</f>
        <v>202708</v>
      </c>
      <c r="R73" s="51" t="n">
        <f aca="false">G73-I73-K73</f>
        <v>176799</v>
      </c>
      <c r="S73" s="51" t="n">
        <f aca="false">R73-Q73</f>
        <v>-25909</v>
      </c>
      <c r="T73" s="52" t="n">
        <f aca="false">IF(Q73=0,0,S73/Q73)</f>
        <v>-0.127814393117193</v>
      </c>
      <c r="U73" s="51" t="str">
        <f aca="false">IF(AND(Q73&gt;0,T73&lt;-0.15),"ADVERSE","")</f>
        <v/>
      </c>
    </row>
    <row r="74" customFormat="false" ht="15" hidden="false" customHeight="false" outlineLevel="0" collapsed="false">
      <c r="A74" s="47" t="s">
        <v>3</v>
      </c>
      <c r="B74" s="47" t="s">
        <v>137</v>
      </c>
      <c r="C74" s="48" t="n">
        <v>45992</v>
      </c>
      <c r="D74" s="47" t="s">
        <v>33</v>
      </c>
      <c r="E74" s="47" t="s">
        <v>41</v>
      </c>
      <c r="F74" s="49" t="n">
        <v>762490</v>
      </c>
      <c r="G74" s="49" t="n">
        <v>733195</v>
      </c>
      <c r="H74" s="49" t="n">
        <v>438051</v>
      </c>
      <c r="I74" s="49" t="n">
        <v>446191</v>
      </c>
      <c r="J74" s="49" t="n">
        <v>124667</v>
      </c>
      <c r="K74" s="49" t="n">
        <v>122865</v>
      </c>
      <c r="L74" s="50" t="n">
        <v>47.2</v>
      </c>
      <c r="M74" s="51" t="n">
        <f aca="false">G74-F74</f>
        <v>-29295</v>
      </c>
      <c r="N74" s="52" t="n">
        <f aca="false">IF(F74=0,0,M74/F74)</f>
        <v>-0.0384201760023082</v>
      </c>
      <c r="O74" s="51" t="n">
        <f aca="false">G74-I74</f>
        <v>287004</v>
      </c>
      <c r="P74" s="51" t="n">
        <f aca="false">F74-H74</f>
        <v>324439</v>
      </c>
      <c r="Q74" s="51" t="n">
        <f aca="false">F74-H74-J74</f>
        <v>199772</v>
      </c>
      <c r="R74" s="51" t="n">
        <f aca="false">G74-I74-K74</f>
        <v>164139</v>
      </c>
      <c r="S74" s="51" t="n">
        <f aca="false">R74-Q74</f>
        <v>-35633</v>
      </c>
      <c r="T74" s="52" t="n">
        <f aca="false">IF(Q74=0,0,S74/Q74)</f>
        <v>-0.178368339907495</v>
      </c>
      <c r="U74" s="51" t="str">
        <f aca="false">IF(AND(Q74&gt;0,T74&lt;-0.15),"ADVERSE","")</f>
        <v>ADVERSE</v>
      </c>
    </row>
    <row r="75" customFormat="false" ht="15" hidden="false" customHeight="false" outlineLevel="0" collapsed="false">
      <c r="A75" s="47" t="s">
        <v>3</v>
      </c>
      <c r="B75" s="47" t="s">
        <v>138</v>
      </c>
      <c r="C75" s="48" t="n">
        <v>46023</v>
      </c>
      <c r="D75" s="47" t="s">
        <v>33</v>
      </c>
      <c r="E75" s="47" t="s">
        <v>41</v>
      </c>
      <c r="F75" s="49" t="n">
        <v>749942</v>
      </c>
      <c r="G75" s="49" t="n">
        <v>720639</v>
      </c>
      <c r="H75" s="49" t="n">
        <v>430842</v>
      </c>
      <c r="I75" s="49" t="n">
        <v>435204</v>
      </c>
      <c r="J75" s="49" t="n">
        <v>122615</v>
      </c>
      <c r="K75" s="49" t="n">
        <v>108947</v>
      </c>
      <c r="L75" s="50" t="n">
        <v>48.4</v>
      </c>
      <c r="M75" s="51" t="n">
        <f aca="false">G75-F75</f>
        <v>-29303</v>
      </c>
      <c r="N75" s="52" t="n">
        <f aca="false">IF(F75=0,0,M75/F75)</f>
        <v>-0.0390736883652336</v>
      </c>
      <c r="O75" s="51" t="n">
        <f aca="false">G75-I75</f>
        <v>285435</v>
      </c>
      <c r="P75" s="51" t="n">
        <f aca="false">F75-H75</f>
        <v>319100</v>
      </c>
      <c r="Q75" s="51" t="n">
        <f aca="false">F75-H75-J75</f>
        <v>196485</v>
      </c>
      <c r="R75" s="51" t="n">
        <f aca="false">G75-I75-K75</f>
        <v>176488</v>
      </c>
      <c r="S75" s="51" t="n">
        <f aca="false">R75-Q75</f>
        <v>-19997</v>
      </c>
      <c r="T75" s="52" t="n">
        <f aca="false">IF(Q75=0,0,S75/Q75)</f>
        <v>-0.101773672290506</v>
      </c>
      <c r="U75" s="51" t="str">
        <f aca="false">IF(AND(Q75&gt;0,T75&lt;-0.15),"ADVERSE","")</f>
        <v/>
      </c>
    </row>
    <row r="76" customFormat="false" ht="15" hidden="false" customHeight="false" outlineLevel="0" collapsed="false">
      <c r="A76" s="47" t="s">
        <v>3</v>
      </c>
      <c r="B76" s="47" t="s">
        <v>138</v>
      </c>
      <c r="C76" s="48" t="n">
        <v>46054</v>
      </c>
      <c r="D76" s="47" t="s">
        <v>33</v>
      </c>
      <c r="E76" s="47" t="s">
        <v>41</v>
      </c>
      <c r="F76" s="49" t="n">
        <v>768407</v>
      </c>
      <c r="G76" s="49" t="n">
        <v>711311</v>
      </c>
      <c r="H76" s="49" t="n">
        <v>441450</v>
      </c>
      <c r="I76" s="49" t="n">
        <v>439984</v>
      </c>
      <c r="J76" s="49" t="n">
        <v>125635</v>
      </c>
      <c r="K76" s="49" t="n">
        <v>120620</v>
      </c>
      <c r="L76" s="50" t="n">
        <v>48.6</v>
      </c>
      <c r="M76" s="51" t="n">
        <f aca="false">G76-F76</f>
        <v>-57096</v>
      </c>
      <c r="N76" s="52" t="n">
        <f aca="false">IF(F76=0,0,M76/F76)</f>
        <v>-0.0743043725525665</v>
      </c>
      <c r="O76" s="51" t="n">
        <f aca="false">G76-I76</f>
        <v>271327</v>
      </c>
      <c r="P76" s="51" t="n">
        <f aca="false">F76-H76</f>
        <v>326957</v>
      </c>
      <c r="Q76" s="51" t="n">
        <f aca="false">F76-H76-J76</f>
        <v>201322</v>
      </c>
      <c r="R76" s="51" t="n">
        <f aca="false">G76-I76-K76</f>
        <v>150707</v>
      </c>
      <c r="S76" s="51" t="n">
        <f aca="false">R76-Q76</f>
        <v>-50615</v>
      </c>
      <c r="T76" s="52" t="n">
        <f aca="false">IF(Q76=0,0,S76/Q76)</f>
        <v>-0.251413159018885</v>
      </c>
      <c r="U76" s="51" t="str">
        <f aca="false">IF(AND(Q76&gt;0,T76&lt;-0.15),"ADVERSE","")</f>
        <v>ADVERSE</v>
      </c>
    </row>
    <row r="77" customFormat="false" ht="15" hidden="false" customHeight="false" outlineLevel="0" collapsed="false">
      <c r="A77" s="47" t="s">
        <v>3</v>
      </c>
      <c r="B77" s="47" t="s">
        <v>138</v>
      </c>
      <c r="C77" s="48" t="n">
        <v>46082</v>
      </c>
      <c r="D77" s="47" t="s">
        <v>33</v>
      </c>
      <c r="E77" s="47" t="s">
        <v>41</v>
      </c>
      <c r="F77" s="49" t="n">
        <v>817905</v>
      </c>
      <c r="G77" s="49" t="n">
        <v>857660</v>
      </c>
      <c r="H77" s="49" t="n">
        <v>469886</v>
      </c>
      <c r="I77" s="49" t="n">
        <v>520626</v>
      </c>
      <c r="J77" s="49" t="n">
        <v>133727</v>
      </c>
      <c r="K77" s="49" t="n">
        <v>142744</v>
      </c>
      <c r="L77" s="50" t="n">
        <v>47.5</v>
      </c>
      <c r="M77" s="51" t="n">
        <f aca="false">G77-F77</f>
        <v>39755</v>
      </c>
      <c r="N77" s="52" t="n">
        <f aca="false">IF(F77=0,0,M77/F77)</f>
        <v>0.0486058894370373</v>
      </c>
      <c r="O77" s="51" t="n">
        <f aca="false">G77-I77</f>
        <v>337034</v>
      </c>
      <c r="P77" s="51" t="n">
        <f aca="false">F77-H77</f>
        <v>348019</v>
      </c>
      <c r="Q77" s="51" t="n">
        <f aca="false">F77-H77-J77</f>
        <v>214292</v>
      </c>
      <c r="R77" s="51" t="n">
        <f aca="false">G77-I77-K77</f>
        <v>194290</v>
      </c>
      <c r="S77" s="51" t="n">
        <f aca="false">R77-Q77</f>
        <v>-20002</v>
      </c>
      <c r="T77" s="52" t="n">
        <f aca="false">IF(Q77=0,0,S77/Q77)</f>
        <v>-0.0933399286954249</v>
      </c>
      <c r="U77" s="51" t="str">
        <f aca="false">IF(AND(Q77&gt;0,T77&lt;-0.15),"ADVERSE","")</f>
        <v/>
      </c>
    </row>
    <row r="78" customFormat="false" ht="15" hidden="false" customHeight="false" outlineLevel="0" collapsed="false">
      <c r="A78" s="47" t="s">
        <v>134</v>
      </c>
      <c r="B78" s="47" t="s">
        <v>135</v>
      </c>
      <c r="C78" s="48" t="n">
        <v>45017</v>
      </c>
      <c r="D78" s="47" t="s">
        <v>33</v>
      </c>
      <c r="E78" s="47" t="s">
        <v>42</v>
      </c>
      <c r="F78" s="49" t="n">
        <v>666421</v>
      </c>
      <c r="G78" s="49" t="n">
        <v>744085</v>
      </c>
      <c r="H78" s="49" t="n">
        <v>382859</v>
      </c>
      <c r="I78" s="49" t="n">
        <v>423496</v>
      </c>
      <c r="J78" s="49" t="n">
        <v>108960</v>
      </c>
      <c r="K78" s="49" t="n">
        <v>123969</v>
      </c>
      <c r="L78" s="50" t="n">
        <v>61.9</v>
      </c>
      <c r="M78" s="51" t="n">
        <f aca="false">G78-F78</f>
        <v>77664</v>
      </c>
      <c r="N78" s="52" t="n">
        <f aca="false">IF(F78=0,0,M78/F78)</f>
        <v>0.116538944601086</v>
      </c>
      <c r="O78" s="51" t="n">
        <f aca="false">G78-I78</f>
        <v>320589</v>
      </c>
      <c r="P78" s="51" t="n">
        <f aca="false">F78-H78</f>
        <v>283562</v>
      </c>
      <c r="Q78" s="51" t="n">
        <f aca="false">F78-H78-J78</f>
        <v>174602</v>
      </c>
      <c r="R78" s="51" t="n">
        <f aca="false">G78-I78-K78</f>
        <v>196620</v>
      </c>
      <c r="S78" s="51" t="n">
        <f aca="false">R78-Q78</f>
        <v>22018</v>
      </c>
      <c r="T78" s="52" t="n">
        <f aca="false">IF(Q78=0,0,S78/Q78)</f>
        <v>0.126103939244682</v>
      </c>
      <c r="U78" s="51" t="str">
        <f aca="false">IF(AND(Q78&gt;0,T78&lt;-0.15),"ADVERSE","")</f>
        <v/>
      </c>
    </row>
    <row r="79" customFormat="false" ht="15" hidden="false" customHeight="false" outlineLevel="0" collapsed="false">
      <c r="A79" s="47" t="s">
        <v>134</v>
      </c>
      <c r="B79" s="47" t="s">
        <v>135</v>
      </c>
      <c r="C79" s="48" t="n">
        <v>45047</v>
      </c>
      <c r="D79" s="47" t="s">
        <v>33</v>
      </c>
      <c r="E79" s="47" t="s">
        <v>42</v>
      </c>
      <c r="F79" s="49" t="n">
        <v>665393</v>
      </c>
      <c r="G79" s="49" t="n">
        <v>678565</v>
      </c>
      <c r="H79" s="49" t="n">
        <v>382268</v>
      </c>
      <c r="I79" s="49" t="n">
        <v>392911</v>
      </c>
      <c r="J79" s="49" t="n">
        <v>108792</v>
      </c>
      <c r="K79" s="49" t="n">
        <v>106159</v>
      </c>
      <c r="L79" s="50" t="n">
        <v>60.6</v>
      </c>
      <c r="M79" s="51" t="n">
        <f aca="false">G79-F79</f>
        <v>13172</v>
      </c>
      <c r="N79" s="52" t="n">
        <f aca="false">IF(F79=0,0,M79/F79)</f>
        <v>0.0197958199139456</v>
      </c>
      <c r="O79" s="51" t="n">
        <f aca="false">G79-I79</f>
        <v>285654</v>
      </c>
      <c r="P79" s="51" t="n">
        <f aca="false">F79-H79</f>
        <v>283125</v>
      </c>
      <c r="Q79" s="51" t="n">
        <f aca="false">F79-H79-J79</f>
        <v>174333</v>
      </c>
      <c r="R79" s="51" t="n">
        <f aca="false">G79-I79-K79</f>
        <v>179495</v>
      </c>
      <c r="S79" s="51" t="n">
        <f aca="false">R79-Q79</f>
        <v>5162</v>
      </c>
      <c r="T79" s="52" t="n">
        <f aca="false">IF(Q79=0,0,S79/Q79)</f>
        <v>0.0296099992543007</v>
      </c>
      <c r="U79" s="51" t="str">
        <f aca="false">IF(AND(Q79&gt;0,T79&lt;-0.15),"ADVERSE","")</f>
        <v/>
      </c>
    </row>
    <row r="80" customFormat="false" ht="15" hidden="false" customHeight="false" outlineLevel="0" collapsed="false">
      <c r="A80" s="47" t="s">
        <v>134</v>
      </c>
      <c r="B80" s="47" t="s">
        <v>135</v>
      </c>
      <c r="C80" s="48" t="n">
        <v>45078</v>
      </c>
      <c r="D80" s="47" t="s">
        <v>33</v>
      </c>
      <c r="E80" s="47" t="s">
        <v>42</v>
      </c>
      <c r="F80" s="49" t="n">
        <v>685903</v>
      </c>
      <c r="G80" s="49" t="n">
        <v>691350</v>
      </c>
      <c r="H80" s="49" t="n">
        <v>394051</v>
      </c>
      <c r="I80" s="49" t="n">
        <v>396739</v>
      </c>
      <c r="J80" s="49" t="n">
        <v>112145</v>
      </c>
      <c r="K80" s="49" t="n">
        <v>121723</v>
      </c>
      <c r="L80" s="50" t="n">
        <v>62.5</v>
      </c>
      <c r="M80" s="51" t="n">
        <f aca="false">G80-F80</f>
        <v>5447</v>
      </c>
      <c r="N80" s="52" t="n">
        <f aca="false">IF(F80=0,0,M80/F80)</f>
        <v>0.00794135613927917</v>
      </c>
      <c r="O80" s="51" t="n">
        <f aca="false">G80-I80</f>
        <v>294611</v>
      </c>
      <c r="P80" s="51" t="n">
        <f aca="false">F80-H80</f>
        <v>291852</v>
      </c>
      <c r="Q80" s="51" t="n">
        <f aca="false">F80-H80-J80</f>
        <v>179707</v>
      </c>
      <c r="R80" s="51" t="n">
        <f aca="false">G80-I80-K80</f>
        <v>172888</v>
      </c>
      <c r="S80" s="51" t="n">
        <f aca="false">R80-Q80</f>
        <v>-6819</v>
      </c>
      <c r="T80" s="52" t="n">
        <f aca="false">IF(Q80=0,0,S80/Q80)</f>
        <v>-0.0379450995231126</v>
      </c>
      <c r="U80" s="51" t="str">
        <f aca="false">IF(AND(Q80&gt;0,T80&lt;-0.15),"ADVERSE","")</f>
        <v/>
      </c>
    </row>
    <row r="81" customFormat="false" ht="15" hidden="false" customHeight="false" outlineLevel="0" collapsed="false">
      <c r="A81" s="47" t="s">
        <v>134</v>
      </c>
      <c r="B81" s="47" t="s">
        <v>136</v>
      </c>
      <c r="C81" s="48" t="n">
        <v>45108</v>
      </c>
      <c r="D81" s="47" t="s">
        <v>33</v>
      </c>
      <c r="E81" s="47" t="s">
        <v>42</v>
      </c>
      <c r="F81" s="49" t="n">
        <v>700215</v>
      </c>
      <c r="G81" s="49" t="n">
        <v>725050</v>
      </c>
      <c r="H81" s="49" t="n">
        <v>402274</v>
      </c>
      <c r="I81" s="49" t="n">
        <v>421975</v>
      </c>
      <c r="J81" s="49" t="n">
        <v>114485</v>
      </c>
      <c r="K81" s="49" t="n">
        <v>121497</v>
      </c>
      <c r="L81" s="50" t="n">
        <v>62.9</v>
      </c>
      <c r="M81" s="51" t="n">
        <f aca="false">G81-F81</f>
        <v>24835</v>
      </c>
      <c r="N81" s="52" t="n">
        <f aca="false">IF(F81=0,0,M81/F81)</f>
        <v>0.0354676777846804</v>
      </c>
      <c r="O81" s="51" t="n">
        <f aca="false">G81-I81</f>
        <v>303075</v>
      </c>
      <c r="P81" s="51" t="n">
        <f aca="false">F81-H81</f>
        <v>297941</v>
      </c>
      <c r="Q81" s="51" t="n">
        <f aca="false">F81-H81-J81</f>
        <v>183456</v>
      </c>
      <c r="R81" s="51" t="n">
        <f aca="false">G81-I81-K81</f>
        <v>181578</v>
      </c>
      <c r="S81" s="51" t="n">
        <f aca="false">R81-Q81</f>
        <v>-1878</v>
      </c>
      <c r="T81" s="52" t="n">
        <f aca="false">IF(Q81=0,0,S81/Q81)</f>
        <v>-0.0102367870225013</v>
      </c>
      <c r="U81" s="51" t="str">
        <f aca="false">IF(AND(Q81&gt;0,T81&lt;-0.15),"ADVERSE","")</f>
        <v/>
      </c>
    </row>
    <row r="82" customFormat="false" ht="15" hidden="false" customHeight="false" outlineLevel="0" collapsed="false">
      <c r="A82" s="47" t="s">
        <v>134</v>
      </c>
      <c r="B82" s="47" t="s">
        <v>136</v>
      </c>
      <c r="C82" s="48" t="n">
        <v>45139</v>
      </c>
      <c r="D82" s="47" t="s">
        <v>33</v>
      </c>
      <c r="E82" s="47" t="s">
        <v>42</v>
      </c>
      <c r="F82" s="49" t="n">
        <v>673303</v>
      </c>
      <c r="G82" s="49" t="n">
        <v>734974</v>
      </c>
      <c r="H82" s="49" t="n">
        <v>386813</v>
      </c>
      <c r="I82" s="49" t="n">
        <v>409364</v>
      </c>
      <c r="J82" s="49" t="n">
        <v>110085</v>
      </c>
      <c r="K82" s="49" t="n">
        <v>121175</v>
      </c>
      <c r="L82" s="50" t="n">
        <v>62.5</v>
      </c>
      <c r="M82" s="51" t="n">
        <f aca="false">G82-F82</f>
        <v>61671</v>
      </c>
      <c r="N82" s="52" t="n">
        <f aca="false">IF(F82=0,0,M82/F82)</f>
        <v>0.0915947203562141</v>
      </c>
      <c r="O82" s="51" t="n">
        <f aca="false">G82-I82</f>
        <v>325610</v>
      </c>
      <c r="P82" s="51" t="n">
        <f aca="false">F82-H82</f>
        <v>286490</v>
      </c>
      <c r="Q82" s="51" t="n">
        <f aca="false">F82-H82-J82</f>
        <v>176405</v>
      </c>
      <c r="R82" s="51" t="n">
        <f aca="false">G82-I82-K82</f>
        <v>204435</v>
      </c>
      <c r="S82" s="51" t="n">
        <f aca="false">R82-Q82</f>
        <v>28030</v>
      </c>
      <c r="T82" s="52" t="n">
        <f aca="false">IF(Q82=0,0,S82/Q82)</f>
        <v>0.158895722910348</v>
      </c>
      <c r="U82" s="51" t="str">
        <f aca="false">IF(AND(Q82&gt;0,T82&lt;-0.15),"ADVERSE","")</f>
        <v/>
      </c>
    </row>
    <row r="83" customFormat="false" ht="15" hidden="false" customHeight="false" outlineLevel="0" collapsed="false">
      <c r="A83" s="47" t="s">
        <v>134</v>
      </c>
      <c r="B83" s="47" t="s">
        <v>136</v>
      </c>
      <c r="C83" s="48" t="n">
        <v>45170</v>
      </c>
      <c r="D83" s="47" t="s">
        <v>33</v>
      </c>
      <c r="E83" s="47" t="s">
        <v>42</v>
      </c>
      <c r="F83" s="49" t="n">
        <v>695911</v>
      </c>
      <c r="G83" s="49" t="n">
        <v>727784</v>
      </c>
      <c r="H83" s="49" t="n">
        <v>399801</v>
      </c>
      <c r="I83" s="49" t="n">
        <v>417121</v>
      </c>
      <c r="J83" s="49" t="n">
        <v>113781</v>
      </c>
      <c r="K83" s="49" t="n">
        <v>122524</v>
      </c>
      <c r="L83" s="50" t="n">
        <v>63.3</v>
      </c>
      <c r="M83" s="51" t="n">
        <f aca="false">G83-F83</f>
        <v>31873</v>
      </c>
      <c r="N83" s="52" t="n">
        <f aca="false">IF(F83=0,0,M83/F83)</f>
        <v>0.0458003968898322</v>
      </c>
      <c r="O83" s="51" t="n">
        <f aca="false">G83-I83</f>
        <v>310663</v>
      </c>
      <c r="P83" s="51" t="n">
        <f aca="false">F83-H83</f>
        <v>296110</v>
      </c>
      <c r="Q83" s="51" t="n">
        <f aca="false">F83-H83-J83</f>
        <v>182329</v>
      </c>
      <c r="R83" s="51" t="n">
        <f aca="false">G83-I83-K83</f>
        <v>188139</v>
      </c>
      <c r="S83" s="51" t="n">
        <f aca="false">R83-Q83</f>
        <v>5810</v>
      </c>
      <c r="T83" s="52" t="n">
        <f aca="false">IF(Q83=0,0,S83/Q83)</f>
        <v>0.0318654739509349</v>
      </c>
      <c r="U83" s="51" t="str">
        <f aca="false">IF(AND(Q83&gt;0,T83&lt;-0.15),"ADVERSE","")</f>
        <v/>
      </c>
    </row>
    <row r="84" customFormat="false" ht="15" hidden="false" customHeight="false" outlineLevel="0" collapsed="false">
      <c r="A84" s="47" t="s">
        <v>134</v>
      </c>
      <c r="B84" s="47" t="s">
        <v>137</v>
      </c>
      <c r="C84" s="48" t="n">
        <v>45200</v>
      </c>
      <c r="D84" s="47" t="s">
        <v>33</v>
      </c>
      <c r="E84" s="47" t="s">
        <v>42</v>
      </c>
      <c r="F84" s="49" t="n">
        <v>711648</v>
      </c>
      <c r="G84" s="49" t="n">
        <v>782340</v>
      </c>
      <c r="H84" s="49" t="n">
        <v>408842</v>
      </c>
      <c r="I84" s="49" t="n">
        <v>439527</v>
      </c>
      <c r="J84" s="49" t="n">
        <v>116354</v>
      </c>
      <c r="K84" s="49" t="n">
        <v>135948</v>
      </c>
      <c r="L84" s="50" t="n">
        <v>63.7</v>
      </c>
      <c r="M84" s="51" t="n">
        <f aca="false">G84-F84</f>
        <v>70692</v>
      </c>
      <c r="N84" s="52" t="n">
        <f aca="false">IF(F84=0,0,M84/F84)</f>
        <v>0.0993356266019156</v>
      </c>
      <c r="O84" s="51" t="n">
        <f aca="false">G84-I84</f>
        <v>342813</v>
      </c>
      <c r="P84" s="51" t="n">
        <f aca="false">F84-H84</f>
        <v>302806</v>
      </c>
      <c r="Q84" s="51" t="n">
        <f aca="false">F84-H84-J84</f>
        <v>186452</v>
      </c>
      <c r="R84" s="51" t="n">
        <f aca="false">G84-I84-K84</f>
        <v>206865</v>
      </c>
      <c r="S84" s="51" t="n">
        <f aca="false">R84-Q84</f>
        <v>20413</v>
      </c>
      <c r="T84" s="52" t="n">
        <f aca="false">IF(Q84=0,0,S84/Q84)</f>
        <v>0.109481260592539</v>
      </c>
      <c r="U84" s="51" t="str">
        <f aca="false">IF(AND(Q84&gt;0,T84&lt;-0.15),"ADVERSE","")</f>
        <v/>
      </c>
    </row>
    <row r="85" customFormat="false" ht="15" hidden="false" customHeight="false" outlineLevel="0" collapsed="false">
      <c r="A85" s="47" t="s">
        <v>134</v>
      </c>
      <c r="B85" s="47" t="s">
        <v>137</v>
      </c>
      <c r="C85" s="48" t="n">
        <v>45231</v>
      </c>
      <c r="D85" s="47" t="s">
        <v>33</v>
      </c>
      <c r="E85" s="47" t="s">
        <v>42</v>
      </c>
      <c r="F85" s="49" t="n">
        <v>724565</v>
      </c>
      <c r="G85" s="49" t="n">
        <v>766300</v>
      </c>
      <c r="H85" s="49" t="n">
        <v>416263</v>
      </c>
      <c r="I85" s="49" t="n">
        <v>437716</v>
      </c>
      <c r="J85" s="49" t="n">
        <v>118466</v>
      </c>
      <c r="K85" s="49" t="n">
        <v>127358</v>
      </c>
      <c r="L85" s="50" t="n">
        <v>62.6</v>
      </c>
      <c r="M85" s="51" t="n">
        <f aca="false">G85-F85</f>
        <v>41735</v>
      </c>
      <c r="N85" s="52" t="n">
        <f aca="false">IF(F85=0,0,M85/F85)</f>
        <v>0.057600077287752</v>
      </c>
      <c r="O85" s="51" t="n">
        <f aca="false">G85-I85</f>
        <v>328584</v>
      </c>
      <c r="P85" s="51" t="n">
        <f aca="false">F85-H85</f>
        <v>308302</v>
      </c>
      <c r="Q85" s="51" t="n">
        <f aca="false">F85-H85-J85</f>
        <v>189836</v>
      </c>
      <c r="R85" s="51" t="n">
        <f aca="false">G85-I85-K85</f>
        <v>201226</v>
      </c>
      <c r="S85" s="51" t="n">
        <f aca="false">R85-Q85</f>
        <v>11390</v>
      </c>
      <c r="T85" s="52" t="n">
        <f aca="false">IF(Q85=0,0,S85/Q85)</f>
        <v>0.0599991571672391</v>
      </c>
      <c r="U85" s="51" t="str">
        <f aca="false">IF(AND(Q85&gt;0,T85&lt;-0.15),"ADVERSE","")</f>
        <v/>
      </c>
    </row>
    <row r="86" customFormat="false" ht="15" hidden="false" customHeight="false" outlineLevel="0" collapsed="false">
      <c r="A86" s="47" t="s">
        <v>134</v>
      </c>
      <c r="B86" s="47" t="s">
        <v>137</v>
      </c>
      <c r="C86" s="48" t="n">
        <v>45261</v>
      </c>
      <c r="D86" s="47" t="s">
        <v>33</v>
      </c>
      <c r="E86" s="47" t="s">
        <v>42</v>
      </c>
      <c r="F86" s="49" t="n">
        <v>710629</v>
      </c>
      <c r="G86" s="49" t="n">
        <v>696814</v>
      </c>
      <c r="H86" s="49" t="n">
        <v>408256</v>
      </c>
      <c r="I86" s="49" t="n">
        <v>401318</v>
      </c>
      <c r="J86" s="49" t="n">
        <v>116188</v>
      </c>
      <c r="K86" s="49" t="n">
        <v>117638</v>
      </c>
      <c r="L86" s="50" t="n">
        <v>65.4</v>
      </c>
      <c r="M86" s="51" t="n">
        <f aca="false">G86-F86</f>
        <v>-13815</v>
      </c>
      <c r="N86" s="52" t="n">
        <f aca="false">IF(F86=0,0,M86/F86)</f>
        <v>-0.019440523817632</v>
      </c>
      <c r="O86" s="51" t="n">
        <f aca="false">G86-I86</f>
        <v>295496</v>
      </c>
      <c r="P86" s="51" t="n">
        <f aca="false">F86-H86</f>
        <v>302373</v>
      </c>
      <c r="Q86" s="51" t="n">
        <f aca="false">F86-H86-J86</f>
        <v>186185</v>
      </c>
      <c r="R86" s="51" t="n">
        <f aca="false">G86-I86-K86</f>
        <v>177858</v>
      </c>
      <c r="S86" s="51" t="n">
        <f aca="false">R86-Q86</f>
        <v>-8327</v>
      </c>
      <c r="T86" s="52" t="n">
        <f aca="false">IF(Q86=0,0,S86/Q86)</f>
        <v>-0.0447243333243817</v>
      </c>
      <c r="U86" s="51" t="str">
        <f aca="false">IF(AND(Q86&gt;0,T86&lt;-0.15),"ADVERSE","")</f>
        <v/>
      </c>
    </row>
    <row r="87" customFormat="false" ht="15" hidden="false" customHeight="false" outlineLevel="0" collapsed="false">
      <c r="A87" s="47" t="s">
        <v>134</v>
      </c>
      <c r="B87" s="47" t="s">
        <v>138</v>
      </c>
      <c r="C87" s="48" t="n">
        <v>45292</v>
      </c>
      <c r="D87" s="47" t="s">
        <v>33</v>
      </c>
      <c r="E87" s="47" t="s">
        <v>42</v>
      </c>
      <c r="F87" s="49" t="n">
        <v>706462</v>
      </c>
      <c r="G87" s="49" t="n">
        <v>728665</v>
      </c>
      <c r="H87" s="49" t="n">
        <v>405863</v>
      </c>
      <c r="I87" s="49" t="n">
        <v>428823</v>
      </c>
      <c r="J87" s="49" t="n">
        <v>115507</v>
      </c>
      <c r="K87" s="49" t="n">
        <v>116834</v>
      </c>
      <c r="L87" s="50" t="n">
        <v>63.3</v>
      </c>
      <c r="M87" s="51" t="n">
        <f aca="false">G87-F87</f>
        <v>22203</v>
      </c>
      <c r="N87" s="52" t="n">
        <f aca="false">IF(F87=0,0,M87/F87)</f>
        <v>0.0314284420110353</v>
      </c>
      <c r="O87" s="51" t="n">
        <f aca="false">G87-I87</f>
        <v>299842</v>
      </c>
      <c r="P87" s="51" t="n">
        <f aca="false">F87-H87</f>
        <v>300599</v>
      </c>
      <c r="Q87" s="51" t="n">
        <f aca="false">F87-H87-J87</f>
        <v>185092</v>
      </c>
      <c r="R87" s="51" t="n">
        <f aca="false">G87-I87-K87</f>
        <v>183008</v>
      </c>
      <c r="S87" s="51" t="n">
        <f aca="false">R87-Q87</f>
        <v>-2084</v>
      </c>
      <c r="T87" s="52" t="n">
        <f aca="false">IF(Q87=0,0,S87/Q87)</f>
        <v>-0.0112592656624814</v>
      </c>
      <c r="U87" s="51" t="str">
        <f aca="false">IF(AND(Q87&gt;0,T87&lt;-0.15),"ADVERSE","")</f>
        <v/>
      </c>
    </row>
    <row r="88" customFormat="false" ht="15" hidden="false" customHeight="false" outlineLevel="0" collapsed="false">
      <c r="A88" s="47" t="s">
        <v>134</v>
      </c>
      <c r="B88" s="47" t="s">
        <v>138</v>
      </c>
      <c r="C88" s="48" t="n">
        <v>45323</v>
      </c>
      <c r="D88" s="47" t="s">
        <v>33</v>
      </c>
      <c r="E88" s="47" t="s">
        <v>42</v>
      </c>
      <c r="F88" s="49" t="n">
        <v>715904</v>
      </c>
      <c r="G88" s="49" t="n">
        <v>718176</v>
      </c>
      <c r="H88" s="49" t="n">
        <v>411287</v>
      </c>
      <c r="I88" s="49" t="n">
        <v>424575</v>
      </c>
      <c r="J88" s="49" t="n">
        <v>117050</v>
      </c>
      <c r="K88" s="49" t="n">
        <v>116996</v>
      </c>
      <c r="L88" s="50" t="n">
        <v>65.8</v>
      </c>
      <c r="M88" s="51" t="n">
        <f aca="false">G88-F88</f>
        <v>2272</v>
      </c>
      <c r="N88" s="52" t="n">
        <f aca="false">IF(F88=0,0,M88/F88)</f>
        <v>0.00317360986947971</v>
      </c>
      <c r="O88" s="51" t="n">
        <f aca="false">G88-I88</f>
        <v>293601</v>
      </c>
      <c r="P88" s="51" t="n">
        <f aca="false">F88-H88</f>
        <v>304617</v>
      </c>
      <c r="Q88" s="51" t="n">
        <f aca="false">F88-H88-J88</f>
        <v>187567</v>
      </c>
      <c r="R88" s="51" t="n">
        <f aca="false">G88-I88-K88</f>
        <v>176605</v>
      </c>
      <c r="S88" s="51" t="n">
        <f aca="false">R88-Q88</f>
        <v>-10962</v>
      </c>
      <c r="T88" s="52" t="n">
        <f aca="false">IF(Q88=0,0,S88/Q88)</f>
        <v>-0.0584431163264327</v>
      </c>
      <c r="U88" s="51" t="str">
        <f aca="false">IF(AND(Q88&gt;0,T88&lt;-0.15),"ADVERSE","")</f>
        <v/>
      </c>
    </row>
    <row r="89" customFormat="false" ht="15" hidden="false" customHeight="false" outlineLevel="0" collapsed="false">
      <c r="A89" s="47" t="s">
        <v>134</v>
      </c>
      <c r="B89" s="47" t="s">
        <v>138</v>
      </c>
      <c r="C89" s="48" t="n">
        <v>45352</v>
      </c>
      <c r="D89" s="47" t="s">
        <v>33</v>
      </c>
      <c r="E89" s="47" t="s">
        <v>42</v>
      </c>
      <c r="F89" s="49" t="n">
        <v>785703</v>
      </c>
      <c r="G89" s="49" t="n">
        <v>784223</v>
      </c>
      <c r="H89" s="49" t="n">
        <v>451387</v>
      </c>
      <c r="I89" s="49" t="n">
        <v>455203</v>
      </c>
      <c r="J89" s="49" t="n">
        <v>128463</v>
      </c>
      <c r="K89" s="49" t="n">
        <v>131905</v>
      </c>
      <c r="L89" s="50" t="n">
        <v>65.7</v>
      </c>
      <c r="M89" s="51" t="n">
        <f aca="false">G89-F89</f>
        <v>-1480</v>
      </c>
      <c r="N89" s="52" t="n">
        <f aca="false">IF(F89=0,0,M89/F89)</f>
        <v>-0.00188366341989276</v>
      </c>
      <c r="O89" s="51" t="n">
        <f aca="false">G89-I89</f>
        <v>329020</v>
      </c>
      <c r="P89" s="51" t="n">
        <f aca="false">F89-H89</f>
        <v>334316</v>
      </c>
      <c r="Q89" s="51" t="n">
        <f aca="false">F89-H89-J89</f>
        <v>205853</v>
      </c>
      <c r="R89" s="51" t="n">
        <f aca="false">G89-I89-K89</f>
        <v>197115</v>
      </c>
      <c r="S89" s="51" t="n">
        <f aca="false">R89-Q89</f>
        <v>-8738</v>
      </c>
      <c r="T89" s="52" t="n">
        <f aca="false">IF(Q89=0,0,S89/Q89)</f>
        <v>-0.0424477661243703</v>
      </c>
      <c r="U89" s="51" t="str">
        <f aca="false">IF(AND(Q89&gt;0,T89&lt;-0.15),"ADVERSE","")</f>
        <v/>
      </c>
    </row>
    <row r="90" customFormat="false" ht="15" hidden="false" customHeight="false" outlineLevel="0" collapsed="false">
      <c r="A90" s="47" t="s">
        <v>139</v>
      </c>
      <c r="B90" s="47" t="s">
        <v>135</v>
      </c>
      <c r="C90" s="48" t="n">
        <v>45383</v>
      </c>
      <c r="D90" s="47" t="s">
        <v>33</v>
      </c>
      <c r="E90" s="47" t="s">
        <v>42</v>
      </c>
      <c r="F90" s="49" t="n">
        <v>762431</v>
      </c>
      <c r="G90" s="49" t="n">
        <v>739427</v>
      </c>
      <c r="H90" s="49" t="n">
        <v>438017</v>
      </c>
      <c r="I90" s="49" t="n">
        <v>430973</v>
      </c>
      <c r="J90" s="49" t="n">
        <v>124657</v>
      </c>
      <c r="K90" s="49" t="n">
        <v>118892</v>
      </c>
      <c r="L90" s="50" t="n">
        <v>65.8</v>
      </c>
      <c r="M90" s="51" t="n">
        <f aca="false">G90-F90</f>
        <v>-23004</v>
      </c>
      <c r="N90" s="52" t="n">
        <f aca="false">IF(F90=0,0,M90/F90)</f>
        <v>-0.0301719106384709</v>
      </c>
      <c r="O90" s="51" t="n">
        <f aca="false">G90-I90</f>
        <v>308454</v>
      </c>
      <c r="P90" s="51" t="n">
        <f aca="false">F90-H90</f>
        <v>324414</v>
      </c>
      <c r="Q90" s="51" t="n">
        <f aca="false">F90-H90-J90</f>
        <v>199757</v>
      </c>
      <c r="R90" s="51" t="n">
        <f aca="false">G90-I90-K90</f>
        <v>189562</v>
      </c>
      <c r="S90" s="51" t="n">
        <f aca="false">R90-Q90</f>
        <v>-10195</v>
      </c>
      <c r="T90" s="52" t="n">
        <f aca="false">IF(Q90=0,0,S90/Q90)</f>
        <v>-0.05103700996711</v>
      </c>
      <c r="U90" s="51" t="str">
        <f aca="false">IF(AND(Q90&gt;0,T90&lt;-0.15),"ADVERSE","")</f>
        <v/>
      </c>
    </row>
    <row r="91" customFormat="false" ht="15" hidden="false" customHeight="false" outlineLevel="0" collapsed="false">
      <c r="A91" s="47" t="s">
        <v>139</v>
      </c>
      <c r="B91" s="47" t="s">
        <v>135</v>
      </c>
      <c r="C91" s="48" t="n">
        <v>45413</v>
      </c>
      <c r="D91" s="47" t="s">
        <v>33</v>
      </c>
      <c r="E91" s="47" t="s">
        <v>42</v>
      </c>
      <c r="F91" s="49" t="n">
        <v>751184</v>
      </c>
      <c r="G91" s="49" t="n">
        <v>727151</v>
      </c>
      <c r="H91" s="49" t="n">
        <v>431555</v>
      </c>
      <c r="I91" s="49" t="n">
        <v>411299</v>
      </c>
      <c r="J91" s="49" t="n">
        <v>122819</v>
      </c>
      <c r="K91" s="49" t="n">
        <v>123114</v>
      </c>
      <c r="L91" s="50" t="n">
        <v>68.6</v>
      </c>
      <c r="M91" s="51" t="n">
        <f aca="false">G91-F91</f>
        <v>-24033</v>
      </c>
      <c r="N91" s="52" t="n">
        <f aca="false">IF(F91=0,0,M91/F91)</f>
        <v>-0.0319934929391467</v>
      </c>
      <c r="O91" s="51" t="n">
        <f aca="false">G91-I91</f>
        <v>315852</v>
      </c>
      <c r="P91" s="51" t="n">
        <f aca="false">F91-H91</f>
        <v>319629</v>
      </c>
      <c r="Q91" s="51" t="n">
        <f aca="false">F91-H91-J91</f>
        <v>196810</v>
      </c>
      <c r="R91" s="51" t="n">
        <f aca="false">G91-I91-K91</f>
        <v>192738</v>
      </c>
      <c r="S91" s="51" t="n">
        <f aca="false">R91-Q91</f>
        <v>-4072</v>
      </c>
      <c r="T91" s="52" t="n">
        <f aca="false">IF(Q91=0,0,S91/Q91)</f>
        <v>-0.0206900055891469</v>
      </c>
      <c r="U91" s="51" t="str">
        <f aca="false">IF(AND(Q91&gt;0,T91&lt;-0.15),"ADVERSE","")</f>
        <v/>
      </c>
    </row>
    <row r="92" customFormat="false" ht="15" hidden="false" customHeight="false" outlineLevel="0" collapsed="false">
      <c r="A92" s="47" t="s">
        <v>139</v>
      </c>
      <c r="B92" s="47" t="s">
        <v>135</v>
      </c>
      <c r="C92" s="48" t="n">
        <v>45444</v>
      </c>
      <c r="D92" s="47" t="s">
        <v>33</v>
      </c>
      <c r="E92" s="47" t="s">
        <v>42</v>
      </c>
      <c r="F92" s="49" t="n">
        <v>777964</v>
      </c>
      <c r="G92" s="49" t="n">
        <v>816314</v>
      </c>
      <c r="H92" s="49" t="n">
        <v>446940</v>
      </c>
      <c r="I92" s="49" t="n">
        <v>463484</v>
      </c>
      <c r="J92" s="49" t="n">
        <v>127197</v>
      </c>
      <c r="K92" s="49" t="n">
        <v>136554</v>
      </c>
      <c r="L92" s="50" t="n">
        <v>67.3</v>
      </c>
      <c r="M92" s="51" t="n">
        <f aca="false">G92-F92</f>
        <v>38350</v>
      </c>
      <c r="N92" s="52" t="n">
        <f aca="false">IF(F92=0,0,M92/F92)</f>
        <v>0.049295340144274</v>
      </c>
      <c r="O92" s="51" t="n">
        <f aca="false">G92-I92</f>
        <v>352830</v>
      </c>
      <c r="P92" s="51" t="n">
        <f aca="false">F92-H92</f>
        <v>331024</v>
      </c>
      <c r="Q92" s="51" t="n">
        <f aca="false">F92-H92-J92</f>
        <v>203827</v>
      </c>
      <c r="R92" s="51" t="n">
        <f aca="false">G92-I92-K92</f>
        <v>216276</v>
      </c>
      <c r="S92" s="51" t="n">
        <f aca="false">R92-Q92</f>
        <v>12449</v>
      </c>
      <c r="T92" s="52" t="n">
        <f aca="false">IF(Q92=0,0,S92/Q92)</f>
        <v>0.0610763049056308</v>
      </c>
      <c r="U92" s="51" t="str">
        <f aca="false">IF(AND(Q92&gt;0,T92&lt;-0.15),"ADVERSE","")</f>
        <v/>
      </c>
    </row>
    <row r="93" customFormat="false" ht="15" hidden="false" customHeight="false" outlineLevel="0" collapsed="false">
      <c r="A93" s="47" t="s">
        <v>139</v>
      </c>
      <c r="B93" s="47" t="s">
        <v>136</v>
      </c>
      <c r="C93" s="48" t="n">
        <v>45474</v>
      </c>
      <c r="D93" s="47" t="s">
        <v>33</v>
      </c>
      <c r="E93" s="47" t="s">
        <v>42</v>
      </c>
      <c r="F93" s="49" t="n">
        <v>787797</v>
      </c>
      <c r="G93" s="49" t="n">
        <v>787242</v>
      </c>
      <c r="H93" s="49" t="n">
        <v>452589</v>
      </c>
      <c r="I93" s="49" t="n">
        <v>441994</v>
      </c>
      <c r="J93" s="49" t="n">
        <v>128805</v>
      </c>
      <c r="K93" s="49" t="n">
        <v>125854</v>
      </c>
      <c r="L93" s="50" t="n">
        <v>64.6</v>
      </c>
      <c r="M93" s="51" t="n">
        <f aca="false">G93-F93</f>
        <v>-555</v>
      </c>
      <c r="N93" s="52" t="n">
        <f aca="false">IF(F93=0,0,M93/F93)</f>
        <v>-0.000704496209048778</v>
      </c>
      <c r="O93" s="51" t="n">
        <f aca="false">G93-I93</f>
        <v>345248</v>
      </c>
      <c r="P93" s="51" t="n">
        <f aca="false">F93-H93</f>
        <v>335208</v>
      </c>
      <c r="Q93" s="51" t="n">
        <f aca="false">F93-H93-J93</f>
        <v>206403</v>
      </c>
      <c r="R93" s="51" t="n">
        <f aca="false">G93-I93-K93</f>
        <v>219394</v>
      </c>
      <c r="S93" s="51" t="n">
        <f aca="false">R93-Q93</f>
        <v>12991</v>
      </c>
      <c r="T93" s="52" t="n">
        <f aca="false">IF(Q93=0,0,S93/Q93)</f>
        <v>0.0629399766476262</v>
      </c>
      <c r="U93" s="51" t="str">
        <f aca="false">IF(AND(Q93&gt;0,T93&lt;-0.15),"ADVERSE","")</f>
        <v/>
      </c>
    </row>
    <row r="94" customFormat="false" ht="15" hidden="false" customHeight="false" outlineLevel="0" collapsed="false">
      <c r="A94" s="47" t="s">
        <v>139</v>
      </c>
      <c r="B94" s="47" t="s">
        <v>136</v>
      </c>
      <c r="C94" s="48" t="n">
        <v>45505</v>
      </c>
      <c r="D94" s="47" t="s">
        <v>33</v>
      </c>
      <c r="E94" s="47" t="s">
        <v>42</v>
      </c>
      <c r="F94" s="49" t="n">
        <v>766132</v>
      </c>
      <c r="G94" s="49" t="n">
        <v>815391</v>
      </c>
      <c r="H94" s="49" t="n">
        <v>440143</v>
      </c>
      <c r="I94" s="49" t="n">
        <v>473577</v>
      </c>
      <c r="J94" s="49" t="n">
        <v>125263</v>
      </c>
      <c r="K94" s="49" t="n">
        <v>133548</v>
      </c>
      <c r="L94" s="50" t="n">
        <v>65.4</v>
      </c>
      <c r="M94" s="51" t="n">
        <f aca="false">G94-F94</f>
        <v>49259</v>
      </c>
      <c r="N94" s="52" t="n">
        <f aca="false">IF(F94=0,0,M94/F94)</f>
        <v>0.0642957088334647</v>
      </c>
      <c r="O94" s="51" t="n">
        <f aca="false">G94-I94</f>
        <v>341814</v>
      </c>
      <c r="P94" s="51" t="n">
        <f aca="false">F94-H94</f>
        <v>325989</v>
      </c>
      <c r="Q94" s="51" t="n">
        <f aca="false">F94-H94-J94</f>
        <v>200726</v>
      </c>
      <c r="R94" s="51" t="n">
        <f aca="false">G94-I94-K94</f>
        <v>208266</v>
      </c>
      <c r="S94" s="51" t="n">
        <f aca="false">R94-Q94</f>
        <v>7540</v>
      </c>
      <c r="T94" s="52" t="n">
        <f aca="false">IF(Q94=0,0,S94/Q94)</f>
        <v>0.0375636439723803</v>
      </c>
      <c r="U94" s="51" t="str">
        <f aca="false">IF(AND(Q94&gt;0,T94&lt;-0.15),"ADVERSE","")</f>
        <v/>
      </c>
    </row>
    <row r="95" customFormat="false" ht="15" hidden="false" customHeight="false" outlineLevel="0" collapsed="false">
      <c r="A95" s="47" t="s">
        <v>139</v>
      </c>
      <c r="B95" s="47" t="s">
        <v>136</v>
      </c>
      <c r="C95" s="48" t="n">
        <v>45536</v>
      </c>
      <c r="D95" s="47" t="s">
        <v>33</v>
      </c>
      <c r="E95" s="47" t="s">
        <v>42</v>
      </c>
      <c r="F95" s="49" t="n">
        <v>779890</v>
      </c>
      <c r="G95" s="49" t="n">
        <v>790239</v>
      </c>
      <c r="H95" s="49" t="n">
        <v>448047</v>
      </c>
      <c r="I95" s="49" t="n">
        <v>448256</v>
      </c>
      <c r="J95" s="49" t="n">
        <v>127512</v>
      </c>
      <c r="K95" s="49" t="n">
        <v>130652</v>
      </c>
      <c r="L95" s="50" t="n">
        <v>67.3</v>
      </c>
      <c r="M95" s="51" t="n">
        <f aca="false">G95-F95</f>
        <v>10349</v>
      </c>
      <c r="N95" s="52" t="n">
        <f aca="false">IF(F95=0,0,M95/F95)</f>
        <v>0.013269820102835</v>
      </c>
      <c r="O95" s="51" t="n">
        <f aca="false">G95-I95</f>
        <v>341983</v>
      </c>
      <c r="P95" s="51" t="n">
        <f aca="false">F95-H95</f>
        <v>331843</v>
      </c>
      <c r="Q95" s="51" t="n">
        <f aca="false">F95-H95-J95</f>
        <v>204331</v>
      </c>
      <c r="R95" s="51" t="n">
        <f aca="false">G95-I95-K95</f>
        <v>211331</v>
      </c>
      <c r="S95" s="51" t="n">
        <f aca="false">R95-Q95</f>
        <v>7000</v>
      </c>
      <c r="T95" s="52" t="n">
        <f aca="false">IF(Q95=0,0,S95/Q95)</f>
        <v>0.03425813997876</v>
      </c>
      <c r="U95" s="51" t="str">
        <f aca="false">IF(AND(Q95&gt;0,T95&lt;-0.15),"ADVERSE","")</f>
        <v/>
      </c>
    </row>
    <row r="96" customFormat="false" ht="15" hidden="false" customHeight="false" outlineLevel="0" collapsed="false">
      <c r="A96" s="47" t="s">
        <v>139</v>
      </c>
      <c r="B96" s="47" t="s">
        <v>137</v>
      </c>
      <c r="C96" s="48" t="n">
        <v>45566</v>
      </c>
      <c r="D96" s="47" t="s">
        <v>33</v>
      </c>
      <c r="E96" s="47" t="s">
        <v>42</v>
      </c>
      <c r="F96" s="49" t="n">
        <v>809180</v>
      </c>
      <c r="G96" s="49" t="n">
        <v>809646</v>
      </c>
      <c r="H96" s="49" t="n">
        <v>464874</v>
      </c>
      <c r="I96" s="49" t="n">
        <v>459161</v>
      </c>
      <c r="J96" s="49" t="n">
        <v>132301</v>
      </c>
      <c r="K96" s="49" t="n">
        <v>133622</v>
      </c>
      <c r="L96" s="50" t="n">
        <v>68.9</v>
      </c>
      <c r="M96" s="51" t="n">
        <f aca="false">G96-F96</f>
        <v>466</v>
      </c>
      <c r="N96" s="52" t="n">
        <f aca="false">IF(F96=0,0,M96/F96)</f>
        <v>0.000575891643392076</v>
      </c>
      <c r="O96" s="51" t="n">
        <f aca="false">G96-I96</f>
        <v>350485</v>
      </c>
      <c r="P96" s="51" t="n">
        <f aca="false">F96-H96</f>
        <v>344306</v>
      </c>
      <c r="Q96" s="51" t="n">
        <f aca="false">F96-H96-J96</f>
        <v>212005</v>
      </c>
      <c r="R96" s="51" t="n">
        <f aca="false">G96-I96-K96</f>
        <v>216863</v>
      </c>
      <c r="S96" s="51" t="n">
        <f aca="false">R96-Q96</f>
        <v>4858</v>
      </c>
      <c r="T96" s="52" t="n">
        <f aca="false">IF(Q96=0,0,S96/Q96)</f>
        <v>0.0229145539020306</v>
      </c>
      <c r="U96" s="51" t="str">
        <f aca="false">IF(AND(Q96&gt;0,T96&lt;-0.15),"ADVERSE","")</f>
        <v/>
      </c>
    </row>
    <row r="97" customFormat="false" ht="15" hidden="false" customHeight="false" outlineLevel="0" collapsed="false">
      <c r="A97" s="47" t="s">
        <v>139</v>
      </c>
      <c r="B97" s="47" t="s">
        <v>137</v>
      </c>
      <c r="C97" s="48" t="n">
        <v>45597</v>
      </c>
      <c r="D97" s="47" t="s">
        <v>33</v>
      </c>
      <c r="E97" s="47" t="s">
        <v>42</v>
      </c>
      <c r="F97" s="49" t="n">
        <v>809277</v>
      </c>
      <c r="G97" s="49" t="n">
        <v>767065</v>
      </c>
      <c r="H97" s="49" t="n">
        <v>464930</v>
      </c>
      <c r="I97" s="49" t="n">
        <v>440066</v>
      </c>
      <c r="J97" s="49" t="n">
        <v>132317</v>
      </c>
      <c r="K97" s="49" t="n">
        <v>125835</v>
      </c>
      <c r="L97" s="50" t="n">
        <v>67.4</v>
      </c>
      <c r="M97" s="51" t="n">
        <f aca="false">G97-F97</f>
        <v>-42212</v>
      </c>
      <c r="N97" s="52" t="n">
        <f aca="false">IF(F97=0,0,M97/F97)</f>
        <v>-0.0521601379997207</v>
      </c>
      <c r="O97" s="51" t="n">
        <f aca="false">G97-I97</f>
        <v>326999</v>
      </c>
      <c r="P97" s="51" t="n">
        <f aca="false">F97-H97</f>
        <v>344347</v>
      </c>
      <c r="Q97" s="51" t="n">
        <f aca="false">F97-H97-J97</f>
        <v>212030</v>
      </c>
      <c r="R97" s="51" t="n">
        <f aca="false">G97-I97-K97</f>
        <v>201164</v>
      </c>
      <c r="S97" s="51" t="n">
        <f aca="false">R97-Q97</f>
        <v>-10866</v>
      </c>
      <c r="T97" s="52" t="n">
        <f aca="false">IF(Q97=0,0,S97/Q97)</f>
        <v>-0.0512474649813706</v>
      </c>
      <c r="U97" s="51" t="str">
        <f aca="false">IF(AND(Q97&gt;0,T97&lt;-0.15),"ADVERSE","")</f>
        <v/>
      </c>
    </row>
    <row r="98" customFormat="false" ht="15" hidden="false" customHeight="false" outlineLevel="0" collapsed="false">
      <c r="A98" s="47" t="s">
        <v>139</v>
      </c>
      <c r="B98" s="47" t="s">
        <v>137</v>
      </c>
      <c r="C98" s="48" t="n">
        <v>45627</v>
      </c>
      <c r="D98" s="47" t="s">
        <v>33</v>
      </c>
      <c r="E98" s="47" t="s">
        <v>42</v>
      </c>
      <c r="F98" s="49" t="n">
        <v>808854</v>
      </c>
      <c r="G98" s="49" t="n">
        <v>856673</v>
      </c>
      <c r="H98" s="49" t="n">
        <v>464687</v>
      </c>
      <c r="I98" s="49" t="n">
        <v>485834</v>
      </c>
      <c r="J98" s="49" t="n">
        <v>132248</v>
      </c>
      <c r="K98" s="49" t="n">
        <v>131677</v>
      </c>
      <c r="L98" s="50" t="n">
        <v>68.2</v>
      </c>
      <c r="M98" s="51" t="n">
        <f aca="false">G98-F98</f>
        <v>47819</v>
      </c>
      <c r="N98" s="52" t="n">
        <f aca="false">IF(F98=0,0,M98/F98)</f>
        <v>0.0591194455365245</v>
      </c>
      <c r="O98" s="51" t="n">
        <f aca="false">G98-I98</f>
        <v>370839</v>
      </c>
      <c r="P98" s="51" t="n">
        <f aca="false">F98-H98</f>
        <v>344167</v>
      </c>
      <c r="Q98" s="51" t="n">
        <f aca="false">F98-H98-J98</f>
        <v>211919</v>
      </c>
      <c r="R98" s="51" t="n">
        <f aca="false">G98-I98-K98</f>
        <v>239162</v>
      </c>
      <c r="S98" s="51" t="n">
        <f aca="false">R98-Q98</f>
        <v>27243</v>
      </c>
      <c r="T98" s="52" t="n">
        <f aca="false">IF(Q98=0,0,S98/Q98)</f>
        <v>0.128553834247991</v>
      </c>
      <c r="U98" s="51" t="str">
        <f aca="false">IF(AND(Q98&gt;0,T98&lt;-0.15),"ADVERSE","")</f>
        <v/>
      </c>
    </row>
    <row r="99" customFormat="false" ht="15" hidden="false" customHeight="false" outlineLevel="0" collapsed="false">
      <c r="A99" s="47" t="s">
        <v>139</v>
      </c>
      <c r="B99" s="47" t="s">
        <v>138</v>
      </c>
      <c r="C99" s="48" t="n">
        <v>45658</v>
      </c>
      <c r="D99" s="47" t="s">
        <v>33</v>
      </c>
      <c r="E99" s="47" t="s">
        <v>42</v>
      </c>
      <c r="F99" s="49" t="n">
        <v>789810</v>
      </c>
      <c r="G99" s="49" t="n">
        <v>824640</v>
      </c>
      <c r="H99" s="49" t="n">
        <v>453746</v>
      </c>
      <c r="I99" s="49" t="n">
        <v>458889</v>
      </c>
      <c r="J99" s="49" t="n">
        <v>129134</v>
      </c>
      <c r="K99" s="49" t="n">
        <v>129253</v>
      </c>
      <c r="L99" s="50" t="n">
        <v>68.9</v>
      </c>
      <c r="M99" s="51" t="n">
        <f aca="false">G99-F99</f>
        <v>34830</v>
      </c>
      <c r="N99" s="52" t="n">
        <f aca="false">IF(F99=0,0,M99/F99)</f>
        <v>0.0440992137349489</v>
      </c>
      <c r="O99" s="51" t="n">
        <f aca="false">G99-I99</f>
        <v>365751</v>
      </c>
      <c r="P99" s="51" t="n">
        <f aca="false">F99-H99</f>
        <v>336064</v>
      </c>
      <c r="Q99" s="51" t="n">
        <f aca="false">F99-H99-J99</f>
        <v>206930</v>
      </c>
      <c r="R99" s="51" t="n">
        <f aca="false">G99-I99-K99</f>
        <v>236498</v>
      </c>
      <c r="S99" s="51" t="n">
        <f aca="false">R99-Q99</f>
        <v>29568</v>
      </c>
      <c r="T99" s="52" t="n">
        <f aca="false">IF(Q99=0,0,S99/Q99)</f>
        <v>0.142888899627894</v>
      </c>
      <c r="U99" s="51" t="str">
        <f aca="false">IF(AND(Q99&gt;0,T99&lt;-0.15),"ADVERSE","")</f>
        <v/>
      </c>
    </row>
    <row r="100" customFormat="false" ht="15" hidden="false" customHeight="false" outlineLevel="0" collapsed="false">
      <c r="A100" s="47" t="s">
        <v>139</v>
      </c>
      <c r="B100" s="47" t="s">
        <v>138</v>
      </c>
      <c r="C100" s="48" t="n">
        <v>45689</v>
      </c>
      <c r="D100" s="47" t="s">
        <v>33</v>
      </c>
      <c r="E100" s="47" t="s">
        <v>42</v>
      </c>
      <c r="F100" s="49" t="n">
        <v>804507</v>
      </c>
      <c r="G100" s="49" t="n">
        <v>827645</v>
      </c>
      <c r="H100" s="49" t="n">
        <v>462189</v>
      </c>
      <c r="I100" s="49" t="n">
        <v>476884</v>
      </c>
      <c r="J100" s="49" t="n">
        <v>131537</v>
      </c>
      <c r="K100" s="49" t="n">
        <v>141890</v>
      </c>
      <c r="L100" s="50" t="n">
        <v>70.5</v>
      </c>
      <c r="M100" s="51" t="n">
        <f aca="false">G100-F100</f>
        <v>23138</v>
      </c>
      <c r="N100" s="52" t="n">
        <f aca="false">IF(F100=0,0,M100/F100)</f>
        <v>0.028760470698204</v>
      </c>
      <c r="O100" s="51" t="n">
        <f aca="false">G100-I100</f>
        <v>350761</v>
      </c>
      <c r="P100" s="51" t="n">
        <f aca="false">F100-H100</f>
        <v>342318</v>
      </c>
      <c r="Q100" s="51" t="n">
        <f aca="false">F100-H100-J100</f>
        <v>210781</v>
      </c>
      <c r="R100" s="51" t="n">
        <f aca="false">G100-I100-K100</f>
        <v>208871</v>
      </c>
      <c r="S100" s="51" t="n">
        <f aca="false">R100-Q100</f>
        <v>-1910</v>
      </c>
      <c r="T100" s="52" t="n">
        <f aca="false">IF(Q100=0,0,S100/Q100)</f>
        <v>-0.00906153780464084</v>
      </c>
      <c r="U100" s="51" t="str">
        <f aca="false">IF(AND(Q100&gt;0,T100&lt;-0.15),"ADVERSE","")</f>
        <v/>
      </c>
    </row>
    <row r="101" customFormat="false" ht="15" hidden="false" customHeight="false" outlineLevel="0" collapsed="false">
      <c r="A101" s="47" t="s">
        <v>139</v>
      </c>
      <c r="B101" s="47" t="s">
        <v>138</v>
      </c>
      <c r="C101" s="48" t="n">
        <v>45717</v>
      </c>
      <c r="D101" s="47" t="s">
        <v>33</v>
      </c>
      <c r="E101" s="47" t="s">
        <v>42</v>
      </c>
      <c r="F101" s="49" t="n">
        <v>880384</v>
      </c>
      <c r="G101" s="49" t="n">
        <v>848601</v>
      </c>
      <c r="H101" s="49" t="n">
        <v>505781</v>
      </c>
      <c r="I101" s="49" t="n">
        <v>481446</v>
      </c>
      <c r="J101" s="49" t="n">
        <v>143943</v>
      </c>
      <c r="K101" s="49" t="n">
        <v>134538</v>
      </c>
      <c r="L101" s="50" t="n">
        <v>70.2</v>
      </c>
      <c r="M101" s="51" t="n">
        <f aca="false">G101-F101</f>
        <v>-31783</v>
      </c>
      <c r="N101" s="52" t="n">
        <f aca="false">IF(F101=0,0,M101/F101)</f>
        <v>-0.0361012921634196</v>
      </c>
      <c r="O101" s="51" t="n">
        <f aca="false">G101-I101</f>
        <v>367155</v>
      </c>
      <c r="P101" s="51" t="n">
        <f aca="false">F101-H101</f>
        <v>374603</v>
      </c>
      <c r="Q101" s="51" t="n">
        <f aca="false">F101-H101-J101</f>
        <v>230660</v>
      </c>
      <c r="R101" s="51" t="n">
        <f aca="false">G101-I101-K101</f>
        <v>232617</v>
      </c>
      <c r="S101" s="51" t="n">
        <f aca="false">R101-Q101</f>
        <v>1957</v>
      </c>
      <c r="T101" s="52" t="n">
        <f aca="false">IF(Q101=0,0,S101/Q101)</f>
        <v>0.00848434925864909</v>
      </c>
      <c r="U101" s="51" t="str">
        <f aca="false">IF(AND(Q101&gt;0,T101&lt;-0.15),"ADVERSE","")</f>
        <v/>
      </c>
    </row>
    <row r="102" customFormat="false" ht="15" hidden="false" customHeight="false" outlineLevel="0" collapsed="false">
      <c r="A102" s="47" t="s">
        <v>3</v>
      </c>
      <c r="B102" s="47" t="s">
        <v>135</v>
      </c>
      <c r="C102" s="48" t="n">
        <v>45748</v>
      </c>
      <c r="D102" s="47" t="s">
        <v>33</v>
      </c>
      <c r="E102" s="47" t="s">
        <v>42</v>
      </c>
      <c r="F102" s="49" t="n">
        <v>835569</v>
      </c>
      <c r="G102" s="49" t="n">
        <v>784747</v>
      </c>
      <c r="H102" s="49" t="n">
        <v>480034</v>
      </c>
      <c r="I102" s="49" t="n">
        <v>467327</v>
      </c>
      <c r="J102" s="49" t="n">
        <v>136615</v>
      </c>
      <c r="K102" s="49" t="n">
        <v>133539</v>
      </c>
      <c r="L102" s="50" t="n">
        <v>68.8</v>
      </c>
      <c r="M102" s="51" t="n">
        <f aca="false">G102-F102</f>
        <v>-50822</v>
      </c>
      <c r="N102" s="52" t="n">
        <f aca="false">IF(F102=0,0,M102/F102)</f>
        <v>-0.0608232234561119</v>
      </c>
      <c r="O102" s="51" t="n">
        <f aca="false">G102-I102</f>
        <v>317420</v>
      </c>
      <c r="P102" s="51" t="n">
        <f aca="false">F102-H102</f>
        <v>355535</v>
      </c>
      <c r="Q102" s="51" t="n">
        <f aca="false">F102-H102-J102</f>
        <v>218920</v>
      </c>
      <c r="R102" s="51" t="n">
        <f aca="false">G102-I102-K102</f>
        <v>183881</v>
      </c>
      <c r="S102" s="51" t="n">
        <f aca="false">R102-Q102</f>
        <v>-35039</v>
      </c>
      <c r="T102" s="52" t="n">
        <f aca="false">IF(Q102=0,0,S102/Q102)</f>
        <v>-0.16005390096839</v>
      </c>
      <c r="U102" s="51" t="str">
        <f aca="false">IF(AND(Q102&gt;0,T102&lt;-0.15),"ADVERSE","")</f>
        <v>ADVERSE</v>
      </c>
    </row>
    <row r="103" customFormat="false" ht="15" hidden="false" customHeight="false" outlineLevel="0" collapsed="false">
      <c r="A103" s="47" t="s">
        <v>3</v>
      </c>
      <c r="B103" s="47" t="s">
        <v>135</v>
      </c>
      <c r="C103" s="48" t="n">
        <v>45778</v>
      </c>
      <c r="D103" s="47" t="s">
        <v>33</v>
      </c>
      <c r="E103" s="47" t="s">
        <v>42</v>
      </c>
      <c r="F103" s="49" t="n">
        <v>831979</v>
      </c>
      <c r="G103" s="49" t="n">
        <v>834503</v>
      </c>
      <c r="H103" s="49" t="n">
        <v>477972</v>
      </c>
      <c r="I103" s="49" t="n">
        <v>504781</v>
      </c>
      <c r="J103" s="49" t="n">
        <v>136028</v>
      </c>
      <c r="K103" s="49" t="n">
        <v>133974</v>
      </c>
      <c r="L103" s="50" t="n">
        <v>69.2</v>
      </c>
      <c r="M103" s="51" t="n">
        <f aca="false">G103-F103</f>
        <v>2524</v>
      </c>
      <c r="N103" s="52" t="n">
        <f aca="false">IF(F103=0,0,M103/F103)</f>
        <v>0.00303373041867643</v>
      </c>
      <c r="O103" s="51" t="n">
        <f aca="false">G103-I103</f>
        <v>329722</v>
      </c>
      <c r="P103" s="51" t="n">
        <f aca="false">F103-H103</f>
        <v>354007</v>
      </c>
      <c r="Q103" s="51" t="n">
        <f aca="false">F103-H103-J103</f>
        <v>217979</v>
      </c>
      <c r="R103" s="51" t="n">
        <f aca="false">G103-I103-K103</f>
        <v>195748</v>
      </c>
      <c r="S103" s="51" t="n">
        <f aca="false">R103-Q103</f>
        <v>-22231</v>
      </c>
      <c r="T103" s="52" t="n">
        <f aca="false">IF(Q103=0,0,S103/Q103)</f>
        <v>-0.101986888645236</v>
      </c>
      <c r="U103" s="51" t="str">
        <f aca="false">IF(AND(Q103&gt;0,T103&lt;-0.15),"ADVERSE","")</f>
        <v/>
      </c>
    </row>
    <row r="104" customFormat="false" ht="15" hidden="false" customHeight="false" outlineLevel="0" collapsed="false">
      <c r="A104" s="47" t="s">
        <v>3</v>
      </c>
      <c r="B104" s="47" t="s">
        <v>135</v>
      </c>
      <c r="C104" s="48" t="n">
        <v>45809</v>
      </c>
      <c r="D104" s="47" t="s">
        <v>33</v>
      </c>
      <c r="E104" s="47" t="s">
        <v>42</v>
      </c>
      <c r="F104" s="49" t="n">
        <v>849939</v>
      </c>
      <c r="G104" s="49" t="n">
        <v>861035</v>
      </c>
      <c r="H104" s="49" t="n">
        <v>488290</v>
      </c>
      <c r="I104" s="49" t="n">
        <v>501678</v>
      </c>
      <c r="J104" s="49" t="n">
        <v>138965</v>
      </c>
      <c r="K104" s="49" t="n">
        <v>146772</v>
      </c>
      <c r="L104" s="50" t="n">
        <v>71.3</v>
      </c>
      <c r="M104" s="51" t="n">
        <f aca="false">G104-F104</f>
        <v>11096</v>
      </c>
      <c r="N104" s="52" t="n">
        <f aca="false">IF(F104=0,0,M104/F104)</f>
        <v>0.0130550545392081</v>
      </c>
      <c r="O104" s="51" t="n">
        <f aca="false">G104-I104</f>
        <v>359357</v>
      </c>
      <c r="P104" s="51" t="n">
        <f aca="false">F104-H104</f>
        <v>361649</v>
      </c>
      <c r="Q104" s="51" t="n">
        <f aca="false">F104-H104-J104</f>
        <v>222684</v>
      </c>
      <c r="R104" s="51" t="n">
        <f aca="false">G104-I104-K104</f>
        <v>212585</v>
      </c>
      <c r="S104" s="51" t="n">
        <f aca="false">R104-Q104</f>
        <v>-10099</v>
      </c>
      <c r="T104" s="52" t="n">
        <f aca="false">IF(Q104=0,0,S104/Q104)</f>
        <v>-0.0453512600815505</v>
      </c>
      <c r="U104" s="51" t="str">
        <f aca="false">IF(AND(Q104&gt;0,T104&lt;-0.15),"ADVERSE","")</f>
        <v/>
      </c>
    </row>
    <row r="105" customFormat="false" ht="15" hidden="false" customHeight="false" outlineLevel="0" collapsed="false">
      <c r="A105" s="47" t="s">
        <v>3</v>
      </c>
      <c r="B105" s="47" t="s">
        <v>136</v>
      </c>
      <c r="C105" s="48" t="n">
        <v>45839</v>
      </c>
      <c r="D105" s="47" t="s">
        <v>33</v>
      </c>
      <c r="E105" s="47" t="s">
        <v>42</v>
      </c>
      <c r="F105" s="49" t="n">
        <v>865282</v>
      </c>
      <c r="G105" s="49" t="n">
        <v>767021</v>
      </c>
      <c r="H105" s="49" t="n">
        <v>497105</v>
      </c>
      <c r="I105" s="49" t="n">
        <v>448044</v>
      </c>
      <c r="J105" s="49" t="n">
        <v>141474</v>
      </c>
      <c r="K105" s="49" t="n">
        <v>129524</v>
      </c>
      <c r="L105" s="50" t="n">
        <v>72.8</v>
      </c>
      <c r="M105" s="51" t="n">
        <f aca="false">G105-F105</f>
        <v>-98261</v>
      </c>
      <c r="N105" s="52" t="n">
        <f aca="false">IF(F105=0,0,M105/F105)</f>
        <v>-0.113559510078795</v>
      </c>
      <c r="O105" s="51" t="n">
        <f aca="false">G105-I105</f>
        <v>318977</v>
      </c>
      <c r="P105" s="51" t="n">
        <f aca="false">F105-H105</f>
        <v>368177</v>
      </c>
      <c r="Q105" s="51" t="n">
        <f aca="false">F105-H105-J105</f>
        <v>226703</v>
      </c>
      <c r="R105" s="51" t="n">
        <f aca="false">G105-I105-K105</f>
        <v>189453</v>
      </c>
      <c r="S105" s="51" t="n">
        <f aca="false">R105-Q105</f>
        <v>-37250</v>
      </c>
      <c r="T105" s="52" t="n">
        <f aca="false">IF(Q105=0,0,S105/Q105)</f>
        <v>-0.164311897063559</v>
      </c>
      <c r="U105" s="51" t="str">
        <f aca="false">IF(AND(Q105&gt;0,T105&lt;-0.15),"ADVERSE","")</f>
        <v>ADVERSE</v>
      </c>
    </row>
    <row r="106" customFormat="false" ht="15" hidden="false" customHeight="false" outlineLevel="0" collapsed="false">
      <c r="A106" s="47" t="s">
        <v>3</v>
      </c>
      <c r="B106" s="47" t="s">
        <v>136</v>
      </c>
      <c r="C106" s="48" t="n">
        <v>45870</v>
      </c>
      <c r="D106" s="47" t="s">
        <v>33</v>
      </c>
      <c r="E106" s="47" t="s">
        <v>42</v>
      </c>
      <c r="F106" s="49" t="n">
        <v>852383</v>
      </c>
      <c r="G106" s="49" t="n">
        <v>892964</v>
      </c>
      <c r="H106" s="49" t="n">
        <v>489694</v>
      </c>
      <c r="I106" s="49" t="n">
        <v>521698</v>
      </c>
      <c r="J106" s="49" t="n">
        <v>139365</v>
      </c>
      <c r="K106" s="49" t="n">
        <v>141278</v>
      </c>
      <c r="L106" s="50" t="n">
        <v>70.6</v>
      </c>
      <c r="M106" s="51" t="n">
        <f aca="false">G106-F106</f>
        <v>40581</v>
      </c>
      <c r="N106" s="52" t="n">
        <f aca="false">IF(F106=0,0,M106/F106)</f>
        <v>0.0476088800457072</v>
      </c>
      <c r="O106" s="51" t="n">
        <f aca="false">G106-I106</f>
        <v>371266</v>
      </c>
      <c r="P106" s="51" t="n">
        <f aca="false">F106-H106</f>
        <v>362689</v>
      </c>
      <c r="Q106" s="51" t="n">
        <f aca="false">F106-H106-J106</f>
        <v>223324</v>
      </c>
      <c r="R106" s="51" t="n">
        <f aca="false">G106-I106-K106</f>
        <v>229988</v>
      </c>
      <c r="S106" s="51" t="n">
        <f aca="false">R106-Q106</f>
        <v>6664</v>
      </c>
      <c r="T106" s="52" t="n">
        <f aca="false">IF(Q106=0,0,S106/Q106)</f>
        <v>0.029840053017141</v>
      </c>
      <c r="U106" s="51" t="str">
        <f aca="false">IF(AND(Q106&gt;0,T106&lt;-0.15),"ADVERSE","")</f>
        <v/>
      </c>
    </row>
    <row r="107" customFormat="false" ht="15" hidden="false" customHeight="false" outlineLevel="0" collapsed="false">
      <c r="A107" s="47" t="s">
        <v>3</v>
      </c>
      <c r="B107" s="47" t="s">
        <v>136</v>
      </c>
      <c r="C107" s="48" t="n">
        <v>45901</v>
      </c>
      <c r="D107" s="47" t="s">
        <v>33</v>
      </c>
      <c r="E107" s="47" t="s">
        <v>42</v>
      </c>
      <c r="F107" s="49" t="n">
        <v>882248</v>
      </c>
      <c r="G107" s="49" t="n">
        <v>870751</v>
      </c>
      <c r="H107" s="49" t="n">
        <v>506852</v>
      </c>
      <c r="I107" s="49" t="n">
        <v>502997</v>
      </c>
      <c r="J107" s="49" t="n">
        <v>144248</v>
      </c>
      <c r="K107" s="49" t="n">
        <v>146857</v>
      </c>
      <c r="L107" s="50" t="n">
        <v>73</v>
      </c>
      <c r="M107" s="51" t="n">
        <f aca="false">G107-F107</f>
        <v>-11497</v>
      </c>
      <c r="N107" s="52" t="n">
        <f aca="false">IF(F107=0,0,M107/F107)</f>
        <v>-0.0130314832110699</v>
      </c>
      <c r="O107" s="51" t="n">
        <f aca="false">G107-I107</f>
        <v>367754</v>
      </c>
      <c r="P107" s="51" t="n">
        <f aca="false">F107-H107</f>
        <v>375396</v>
      </c>
      <c r="Q107" s="51" t="n">
        <f aca="false">F107-H107-J107</f>
        <v>231148</v>
      </c>
      <c r="R107" s="51" t="n">
        <f aca="false">G107-I107-K107</f>
        <v>220897</v>
      </c>
      <c r="S107" s="51" t="n">
        <f aca="false">R107-Q107</f>
        <v>-10251</v>
      </c>
      <c r="T107" s="52" t="n">
        <f aca="false">IF(Q107=0,0,S107/Q107)</f>
        <v>-0.0443482098049734</v>
      </c>
      <c r="U107" s="51" t="str">
        <f aca="false">IF(AND(Q107&gt;0,T107&lt;-0.15),"ADVERSE","")</f>
        <v/>
      </c>
    </row>
    <row r="108" customFormat="false" ht="15" hidden="false" customHeight="false" outlineLevel="0" collapsed="false">
      <c r="A108" s="47" t="s">
        <v>3</v>
      </c>
      <c r="B108" s="47" t="s">
        <v>137</v>
      </c>
      <c r="C108" s="48" t="n">
        <v>45931</v>
      </c>
      <c r="D108" s="47" t="s">
        <v>33</v>
      </c>
      <c r="E108" s="47" t="s">
        <v>42</v>
      </c>
      <c r="F108" s="49" t="n">
        <v>934493</v>
      </c>
      <c r="G108" s="49" t="n">
        <v>897947</v>
      </c>
      <c r="H108" s="49" t="n">
        <v>536866</v>
      </c>
      <c r="I108" s="49" t="n">
        <v>536328</v>
      </c>
      <c r="J108" s="49" t="n">
        <v>152790</v>
      </c>
      <c r="K108" s="49" t="n">
        <v>148336</v>
      </c>
      <c r="L108" s="50" t="n">
        <v>73.1</v>
      </c>
      <c r="M108" s="51" t="n">
        <f aca="false">G108-F108</f>
        <v>-36546</v>
      </c>
      <c r="N108" s="52" t="n">
        <f aca="false">IF(F108=0,0,M108/F108)</f>
        <v>-0.0391078370838519</v>
      </c>
      <c r="O108" s="51" t="n">
        <f aca="false">G108-I108</f>
        <v>361619</v>
      </c>
      <c r="P108" s="51" t="n">
        <f aca="false">F108-H108</f>
        <v>397627</v>
      </c>
      <c r="Q108" s="51" t="n">
        <f aca="false">F108-H108-J108</f>
        <v>244837</v>
      </c>
      <c r="R108" s="51" t="n">
        <f aca="false">G108-I108-K108</f>
        <v>213283</v>
      </c>
      <c r="S108" s="51" t="n">
        <f aca="false">R108-Q108</f>
        <v>-31554</v>
      </c>
      <c r="T108" s="52" t="n">
        <f aca="false">IF(Q108=0,0,S108/Q108)</f>
        <v>-0.128877579777566</v>
      </c>
      <c r="U108" s="51" t="str">
        <f aca="false">IF(AND(Q108&gt;0,T108&lt;-0.15),"ADVERSE","")</f>
        <v/>
      </c>
    </row>
    <row r="109" customFormat="false" ht="15" hidden="false" customHeight="false" outlineLevel="0" collapsed="false">
      <c r="A109" s="47" t="s">
        <v>3</v>
      </c>
      <c r="B109" s="47" t="s">
        <v>137</v>
      </c>
      <c r="C109" s="48" t="n">
        <v>45962</v>
      </c>
      <c r="D109" s="47" t="s">
        <v>33</v>
      </c>
      <c r="E109" s="47" t="s">
        <v>42</v>
      </c>
      <c r="F109" s="49" t="n">
        <v>894300</v>
      </c>
      <c r="G109" s="49" t="n">
        <v>868970</v>
      </c>
      <c r="H109" s="49" t="n">
        <v>513775</v>
      </c>
      <c r="I109" s="49" t="n">
        <v>518234</v>
      </c>
      <c r="J109" s="49" t="n">
        <v>146218</v>
      </c>
      <c r="K109" s="49" t="n">
        <v>149395</v>
      </c>
      <c r="L109" s="50" t="n">
        <v>72.6</v>
      </c>
      <c r="M109" s="51" t="n">
        <f aca="false">G109-F109</f>
        <v>-25330</v>
      </c>
      <c r="N109" s="52" t="n">
        <f aca="false">IF(F109=0,0,M109/F109)</f>
        <v>-0.0283238286928324</v>
      </c>
      <c r="O109" s="51" t="n">
        <f aca="false">G109-I109</f>
        <v>350736</v>
      </c>
      <c r="P109" s="51" t="n">
        <f aca="false">F109-H109</f>
        <v>380525</v>
      </c>
      <c r="Q109" s="51" t="n">
        <f aca="false">F109-H109-J109</f>
        <v>234307</v>
      </c>
      <c r="R109" s="51" t="n">
        <f aca="false">G109-I109-K109</f>
        <v>201341</v>
      </c>
      <c r="S109" s="51" t="n">
        <f aca="false">R109-Q109</f>
        <v>-32966</v>
      </c>
      <c r="T109" s="52" t="n">
        <f aca="false">IF(Q109=0,0,S109/Q109)</f>
        <v>-0.140695753861387</v>
      </c>
      <c r="U109" s="51" t="str">
        <f aca="false">IF(AND(Q109&gt;0,T109&lt;-0.15),"ADVERSE","")</f>
        <v/>
      </c>
    </row>
    <row r="110" customFormat="false" ht="15" hidden="false" customHeight="false" outlineLevel="0" collapsed="false">
      <c r="A110" s="47" t="s">
        <v>3</v>
      </c>
      <c r="B110" s="47" t="s">
        <v>137</v>
      </c>
      <c r="C110" s="48" t="n">
        <v>45992</v>
      </c>
      <c r="D110" s="47" t="s">
        <v>33</v>
      </c>
      <c r="E110" s="47" t="s">
        <v>42</v>
      </c>
      <c r="F110" s="49" t="n">
        <v>890893</v>
      </c>
      <c r="G110" s="49" t="n">
        <v>903073</v>
      </c>
      <c r="H110" s="49" t="n">
        <v>511818</v>
      </c>
      <c r="I110" s="49" t="n">
        <v>547308</v>
      </c>
      <c r="J110" s="49" t="n">
        <v>145661</v>
      </c>
      <c r="K110" s="49" t="n">
        <v>150171</v>
      </c>
      <c r="L110" s="50" t="n">
        <v>73.9</v>
      </c>
      <c r="M110" s="51" t="n">
        <f aca="false">G110-F110</f>
        <v>12180</v>
      </c>
      <c r="N110" s="52" t="n">
        <f aca="false">IF(F110=0,0,M110/F110)</f>
        <v>0.0136716754986289</v>
      </c>
      <c r="O110" s="51" t="n">
        <f aca="false">G110-I110</f>
        <v>355765</v>
      </c>
      <c r="P110" s="51" t="n">
        <f aca="false">F110-H110</f>
        <v>379075</v>
      </c>
      <c r="Q110" s="51" t="n">
        <f aca="false">F110-H110-J110</f>
        <v>233414</v>
      </c>
      <c r="R110" s="51" t="n">
        <f aca="false">G110-I110-K110</f>
        <v>205594</v>
      </c>
      <c r="S110" s="51" t="n">
        <f aca="false">R110-Q110</f>
        <v>-27820</v>
      </c>
      <c r="T110" s="52" t="n">
        <f aca="false">IF(Q110=0,0,S110/Q110)</f>
        <v>-0.119187366653243</v>
      </c>
      <c r="U110" s="51" t="str">
        <f aca="false">IF(AND(Q110&gt;0,T110&lt;-0.15),"ADVERSE","")</f>
        <v/>
      </c>
    </row>
    <row r="111" customFormat="false" ht="15" hidden="false" customHeight="false" outlineLevel="0" collapsed="false">
      <c r="A111" s="47" t="s">
        <v>3</v>
      </c>
      <c r="B111" s="47" t="s">
        <v>138</v>
      </c>
      <c r="C111" s="48" t="n">
        <v>46023</v>
      </c>
      <c r="D111" s="47" t="s">
        <v>33</v>
      </c>
      <c r="E111" s="47" t="s">
        <v>42</v>
      </c>
      <c r="F111" s="49" t="n">
        <v>863171</v>
      </c>
      <c r="G111" s="49" t="n">
        <v>877522</v>
      </c>
      <c r="H111" s="49" t="n">
        <v>495892</v>
      </c>
      <c r="I111" s="49" t="n">
        <v>519092</v>
      </c>
      <c r="J111" s="49" t="n">
        <v>141129</v>
      </c>
      <c r="K111" s="49" t="n">
        <v>154482</v>
      </c>
      <c r="L111" s="50" t="n">
        <v>73.7</v>
      </c>
      <c r="M111" s="51" t="n">
        <f aca="false">G111-F111</f>
        <v>14351</v>
      </c>
      <c r="N111" s="52" t="n">
        <f aca="false">IF(F111=0,0,M111/F111)</f>
        <v>0.0166259061066695</v>
      </c>
      <c r="O111" s="51" t="n">
        <f aca="false">G111-I111</f>
        <v>358430</v>
      </c>
      <c r="P111" s="51" t="n">
        <f aca="false">F111-H111</f>
        <v>367279</v>
      </c>
      <c r="Q111" s="51" t="n">
        <f aca="false">F111-H111-J111</f>
        <v>226150</v>
      </c>
      <c r="R111" s="51" t="n">
        <f aca="false">G111-I111-K111</f>
        <v>203948</v>
      </c>
      <c r="S111" s="51" t="n">
        <f aca="false">R111-Q111</f>
        <v>-22202</v>
      </c>
      <c r="T111" s="52" t="n">
        <f aca="false">IF(Q111=0,0,S111/Q111)</f>
        <v>-0.0981737784656202</v>
      </c>
      <c r="U111" s="51" t="str">
        <f aca="false">IF(AND(Q111&gt;0,T111&lt;-0.15),"ADVERSE","")</f>
        <v/>
      </c>
    </row>
    <row r="112" customFormat="false" ht="15" hidden="false" customHeight="false" outlineLevel="0" collapsed="false">
      <c r="A112" s="47" t="s">
        <v>3</v>
      </c>
      <c r="B112" s="47" t="s">
        <v>138</v>
      </c>
      <c r="C112" s="48" t="n">
        <v>46054</v>
      </c>
      <c r="D112" s="47" t="s">
        <v>33</v>
      </c>
      <c r="E112" s="47" t="s">
        <v>42</v>
      </c>
      <c r="F112" s="49" t="n">
        <v>899628</v>
      </c>
      <c r="G112" s="49" t="n">
        <v>912330</v>
      </c>
      <c r="H112" s="49" t="n">
        <v>516836</v>
      </c>
      <c r="I112" s="49" t="n">
        <v>527672</v>
      </c>
      <c r="J112" s="49" t="n">
        <v>147089</v>
      </c>
      <c r="K112" s="49" t="n">
        <v>154407</v>
      </c>
      <c r="L112" s="50" t="n">
        <v>72.9</v>
      </c>
      <c r="M112" s="51" t="n">
        <f aca="false">G112-F112</f>
        <v>12702</v>
      </c>
      <c r="N112" s="52" t="n">
        <f aca="false">IF(F112=0,0,M112/F112)</f>
        <v>0.0141191692566261</v>
      </c>
      <c r="O112" s="51" t="n">
        <f aca="false">G112-I112</f>
        <v>384658</v>
      </c>
      <c r="P112" s="51" t="n">
        <f aca="false">F112-H112</f>
        <v>382792</v>
      </c>
      <c r="Q112" s="51" t="n">
        <f aca="false">F112-H112-J112</f>
        <v>235703</v>
      </c>
      <c r="R112" s="51" t="n">
        <f aca="false">G112-I112-K112</f>
        <v>230251</v>
      </c>
      <c r="S112" s="51" t="n">
        <f aca="false">R112-Q112</f>
        <v>-5452</v>
      </c>
      <c r="T112" s="52" t="n">
        <f aca="false">IF(Q112=0,0,S112/Q112)</f>
        <v>-0.0231308044445764</v>
      </c>
      <c r="U112" s="51" t="str">
        <f aca="false">IF(AND(Q112&gt;0,T112&lt;-0.15),"ADVERSE","")</f>
        <v/>
      </c>
    </row>
    <row r="113" customFormat="false" ht="15" hidden="false" customHeight="false" outlineLevel="0" collapsed="false">
      <c r="A113" s="47" t="s">
        <v>3</v>
      </c>
      <c r="B113" s="47" t="s">
        <v>138</v>
      </c>
      <c r="C113" s="48" t="n">
        <v>46082</v>
      </c>
      <c r="D113" s="47" t="s">
        <v>33</v>
      </c>
      <c r="E113" s="47" t="s">
        <v>42</v>
      </c>
      <c r="F113" s="49" t="n">
        <v>968921</v>
      </c>
      <c r="G113" s="49" t="n">
        <v>956071</v>
      </c>
      <c r="H113" s="49" t="n">
        <v>556645</v>
      </c>
      <c r="I113" s="49" t="n">
        <v>567116</v>
      </c>
      <c r="J113" s="49" t="n">
        <v>158419</v>
      </c>
      <c r="K113" s="49" t="n">
        <v>157345</v>
      </c>
      <c r="L113" s="50" t="n">
        <v>74.8</v>
      </c>
      <c r="M113" s="51" t="n">
        <f aca="false">G113-F113</f>
        <v>-12850</v>
      </c>
      <c r="N113" s="52" t="n">
        <f aca="false">IF(F113=0,0,M113/F113)</f>
        <v>-0.0132621751412138</v>
      </c>
      <c r="O113" s="51" t="n">
        <f aca="false">G113-I113</f>
        <v>388955</v>
      </c>
      <c r="P113" s="51" t="n">
        <f aca="false">F113-H113</f>
        <v>412276</v>
      </c>
      <c r="Q113" s="51" t="n">
        <f aca="false">F113-H113-J113</f>
        <v>253857</v>
      </c>
      <c r="R113" s="51" t="n">
        <f aca="false">G113-I113-K113</f>
        <v>231610</v>
      </c>
      <c r="S113" s="51" t="n">
        <f aca="false">R113-Q113</f>
        <v>-22247</v>
      </c>
      <c r="T113" s="52" t="n">
        <f aca="false">IF(Q113=0,0,S113/Q113)</f>
        <v>-0.0876359525244528</v>
      </c>
      <c r="U113" s="51" t="str">
        <f aca="false">IF(AND(Q113&gt;0,T113&lt;-0.15),"ADVERSE","")</f>
        <v/>
      </c>
    </row>
    <row r="114" customFormat="false" ht="15" hidden="false" customHeight="false" outlineLevel="0" collapsed="false">
      <c r="A114" s="47" t="s">
        <v>134</v>
      </c>
      <c r="B114" s="47" t="s">
        <v>135</v>
      </c>
      <c r="C114" s="48" t="n">
        <v>45017</v>
      </c>
      <c r="D114" s="47" t="s">
        <v>33</v>
      </c>
      <c r="E114" s="47" t="s">
        <v>43</v>
      </c>
      <c r="F114" s="49" t="n">
        <v>495943</v>
      </c>
      <c r="G114" s="49" t="n">
        <v>513173</v>
      </c>
      <c r="H114" s="49" t="n">
        <v>284919</v>
      </c>
      <c r="I114" s="49" t="n">
        <v>290928</v>
      </c>
      <c r="J114" s="49" t="n">
        <v>81087</v>
      </c>
      <c r="K114" s="49" t="n">
        <v>87495</v>
      </c>
      <c r="L114" s="50" t="n">
        <v>26.4</v>
      </c>
      <c r="M114" s="51" t="n">
        <f aca="false">G114-F114</f>
        <v>17230</v>
      </c>
      <c r="N114" s="52" t="n">
        <f aca="false">IF(F114=0,0,M114/F114)</f>
        <v>0.034741895742051</v>
      </c>
      <c r="O114" s="51" t="n">
        <f aca="false">G114-I114</f>
        <v>222245</v>
      </c>
      <c r="P114" s="51" t="n">
        <f aca="false">F114-H114</f>
        <v>211024</v>
      </c>
      <c r="Q114" s="51" t="n">
        <f aca="false">F114-H114-J114</f>
        <v>129937</v>
      </c>
      <c r="R114" s="51" t="n">
        <f aca="false">G114-I114-K114</f>
        <v>134750</v>
      </c>
      <c r="S114" s="51" t="n">
        <f aca="false">R114-Q114</f>
        <v>4813</v>
      </c>
      <c r="T114" s="52" t="n">
        <f aca="false">IF(Q114=0,0,S114/Q114)</f>
        <v>0.0370410275749017</v>
      </c>
      <c r="U114" s="51" t="str">
        <f aca="false">IF(AND(Q114&gt;0,T114&lt;-0.15),"ADVERSE","")</f>
        <v/>
      </c>
    </row>
    <row r="115" customFormat="false" ht="15" hidden="false" customHeight="false" outlineLevel="0" collapsed="false">
      <c r="A115" s="47" t="s">
        <v>134</v>
      </c>
      <c r="B115" s="47" t="s">
        <v>135</v>
      </c>
      <c r="C115" s="48" t="n">
        <v>45047</v>
      </c>
      <c r="D115" s="47" t="s">
        <v>33</v>
      </c>
      <c r="E115" s="47" t="s">
        <v>43</v>
      </c>
      <c r="F115" s="49" t="n">
        <v>506284</v>
      </c>
      <c r="G115" s="49" t="n">
        <v>524091</v>
      </c>
      <c r="H115" s="49" t="n">
        <v>290860</v>
      </c>
      <c r="I115" s="49" t="n">
        <v>305448</v>
      </c>
      <c r="J115" s="49" t="n">
        <v>82777</v>
      </c>
      <c r="K115" s="49" t="n">
        <v>82180</v>
      </c>
      <c r="L115" s="50" t="n">
        <v>25.1</v>
      </c>
      <c r="M115" s="51" t="n">
        <f aca="false">G115-F115</f>
        <v>17807</v>
      </c>
      <c r="N115" s="52" t="n">
        <f aca="false">IF(F115=0,0,M115/F115)</f>
        <v>0.035171958821531</v>
      </c>
      <c r="O115" s="51" t="n">
        <f aca="false">G115-I115</f>
        <v>218643</v>
      </c>
      <c r="P115" s="51" t="n">
        <f aca="false">F115-H115</f>
        <v>215424</v>
      </c>
      <c r="Q115" s="51" t="n">
        <f aca="false">F115-H115-J115</f>
        <v>132647</v>
      </c>
      <c r="R115" s="51" t="n">
        <f aca="false">G115-I115-K115</f>
        <v>136463</v>
      </c>
      <c r="S115" s="51" t="n">
        <f aca="false">R115-Q115</f>
        <v>3816</v>
      </c>
      <c r="T115" s="52" t="n">
        <f aca="false">IF(Q115=0,0,S115/Q115)</f>
        <v>0.0287680837109019</v>
      </c>
      <c r="U115" s="51" t="str">
        <f aca="false">IF(AND(Q115&gt;0,T115&lt;-0.15),"ADVERSE","")</f>
        <v/>
      </c>
    </row>
    <row r="116" customFormat="false" ht="15" hidden="false" customHeight="false" outlineLevel="0" collapsed="false">
      <c r="A116" s="47" t="s">
        <v>134</v>
      </c>
      <c r="B116" s="47" t="s">
        <v>135</v>
      </c>
      <c r="C116" s="48" t="n">
        <v>45078</v>
      </c>
      <c r="D116" s="47" t="s">
        <v>33</v>
      </c>
      <c r="E116" s="47" t="s">
        <v>43</v>
      </c>
      <c r="F116" s="49" t="n">
        <v>506894</v>
      </c>
      <c r="G116" s="49" t="n">
        <v>533226</v>
      </c>
      <c r="H116" s="49" t="n">
        <v>291211</v>
      </c>
      <c r="I116" s="49" t="n">
        <v>305443</v>
      </c>
      <c r="J116" s="49" t="n">
        <v>82877</v>
      </c>
      <c r="K116" s="49" t="n">
        <v>83253</v>
      </c>
      <c r="L116" s="50" t="n">
        <v>25.8</v>
      </c>
      <c r="M116" s="51" t="n">
        <f aca="false">G116-F116</f>
        <v>26332</v>
      </c>
      <c r="N116" s="52" t="n">
        <f aca="false">IF(F116=0,0,M116/F116)</f>
        <v>0.0519477444988499</v>
      </c>
      <c r="O116" s="51" t="n">
        <f aca="false">G116-I116</f>
        <v>227783</v>
      </c>
      <c r="P116" s="51" t="n">
        <f aca="false">F116-H116</f>
        <v>215683</v>
      </c>
      <c r="Q116" s="51" t="n">
        <f aca="false">F116-H116-J116</f>
        <v>132806</v>
      </c>
      <c r="R116" s="51" t="n">
        <f aca="false">G116-I116-K116</f>
        <v>144530</v>
      </c>
      <c r="S116" s="51" t="n">
        <f aca="false">R116-Q116</f>
        <v>11724</v>
      </c>
      <c r="T116" s="52" t="n">
        <f aca="false">IF(Q116=0,0,S116/Q116)</f>
        <v>0.0882791440145777</v>
      </c>
      <c r="U116" s="51" t="str">
        <f aca="false">IF(AND(Q116&gt;0,T116&lt;-0.15),"ADVERSE","")</f>
        <v/>
      </c>
    </row>
    <row r="117" customFormat="false" ht="15" hidden="false" customHeight="false" outlineLevel="0" collapsed="false">
      <c r="A117" s="47" t="s">
        <v>134</v>
      </c>
      <c r="B117" s="47" t="s">
        <v>136</v>
      </c>
      <c r="C117" s="48" t="n">
        <v>45108</v>
      </c>
      <c r="D117" s="47" t="s">
        <v>33</v>
      </c>
      <c r="E117" s="47" t="s">
        <v>43</v>
      </c>
      <c r="F117" s="49" t="n">
        <v>529081</v>
      </c>
      <c r="G117" s="49" t="n">
        <v>529076</v>
      </c>
      <c r="H117" s="49" t="n">
        <v>303957</v>
      </c>
      <c r="I117" s="49" t="n">
        <v>301479</v>
      </c>
      <c r="J117" s="49" t="n">
        <v>86505</v>
      </c>
      <c r="K117" s="49" t="n">
        <v>83654</v>
      </c>
      <c r="L117" s="50" t="n">
        <v>26.2</v>
      </c>
      <c r="M117" s="51" t="n">
        <f aca="false">G117-F117</f>
        <v>-5</v>
      </c>
      <c r="N117" s="52" t="n">
        <f aca="false">IF(F117=0,0,M117/F117)</f>
        <v>-9.45034881237466E-006</v>
      </c>
      <c r="O117" s="51" t="n">
        <f aca="false">G117-I117</f>
        <v>227597</v>
      </c>
      <c r="P117" s="51" t="n">
        <f aca="false">F117-H117</f>
        <v>225124</v>
      </c>
      <c r="Q117" s="51" t="n">
        <f aca="false">F117-H117-J117</f>
        <v>138619</v>
      </c>
      <c r="R117" s="51" t="n">
        <f aca="false">G117-I117-K117</f>
        <v>143943</v>
      </c>
      <c r="S117" s="51" t="n">
        <f aca="false">R117-Q117</f>
        <v>5324</v>
      </c>
      <c r="T117" s="52" t="n">
        <f aca="false">IF(Q117=0,0,S117/Q117)</f>
        <v>0.038407433324436</v>
      </c>
      <c r="U117" s="51" t="str">
        <f aca="false">IF(AND(Q117&gt;0,T117&lt;-0.15),"ADVERSE","")</f>
        <v/>
      </c>
    </row>
    <row r="118" customFormat="false" ht="15" hidden="false" customHeight="false" outlineLevel="0" collapsed="false">
      <c r="A118" s="47" t="s">
        <v>134</v>
      </c>
      <c r="B118" s="47" t="s">
        <v>136</v>
      </c>
      <c r="C118" s="48" t="n">
        <v>45139</v>
      </c>
      <c r="D118" s="47" t="s">
        <v>33</v>
      </c>
      <c r="E118" s="47" t="s">
        <v>43</v>
      </c>
      <c r="F118" s="49" t="n">
        <v>512634</v>
      </c>
      <c r="G118" s="49" t="n">
        <v>580422</v>
      </c>
      <c r="H118" s="49" t="n">
        <v>294508</v>
      </c>
      <c r="I118" s="49" t="n">
        <v>324712</v>
      </c>
      <c r="J118" s="49" t="n">
        <v>83816</v>
      </c>
      <c r="K118" s="49" t="n">
        <v>96088</v>
      </c>
      <c r="L118" s="50" t="n">
        <v>27.3</v>
      </c>
      <c r="M118" s="51" t="n">
        <f aca="false">G118-F118</f>
        <v>67788</v>
      </c>
      <c r="N118" s="52" t="n">
        <f aca="false">IF(F118=0,0,M118/F118)</f>
        <v>0.13223469375812</v>
      </c>
      <c r="O118" s="51" t="n">
        <f aca="false">G118-I118</f>
        <v>255710</v>
      </c>
      <c r="P118" s="51" t="n">
        <f aca="false">F118-H118</f>
        <v>218126</v>
      </c>
      <c r="Q118" s="51" t="n">
        <f aca="false">F118-H118-J118</f>
        <v>134310</v>
      </c>
      <c r="R118" s="51" t="n">
        <f aca="false">G118-I118-K118</f>
        <v>159622</v>
      </c>
      <c r="S118" s="51" t="n">
        <f aca="false">R118-Q118</f>
        <v>25312</v>
      </c>
      <c r="T118" s="52" t="n">
        <f aca="false">IF(Q118=0,0,S118/Q118)</f>
        <v>0.188459533914079</v>
      </c>
      <c r="U118" s="51" t="str">
        <f aca="false">IF(AND(Q118&gt;0,T118&lt;-0.15),"ADVERSE","")</f>
        <v/>
      </c>
    </row>
    <row r="119" customFormat="false" ht="15" hidden="false" customHeight="false" outlineLevel="0" collapsed="false">
      <c r="A119" s="47" t="s">
        <v>134</v>
      </c>
      <c r="B119" s="47" t="s">
        <v>136</v>
      </c>
      <c r="C119" s="48" t="n">
        <v>45170</v>
      </c>
      <c r="D119" s="47" t="s">
        <v>33</v>
      </c>
      <c r="E119" s="47" t="s">
        <v>43</v>
      </c>
      <c r="F119" s="49" t="n">
        <v>531802</v>
      </c>
      <c r="G119" s="49" t="n">
        <v>543613</v>
      </c>
      <c r="H119" s="49" t="n">
        <v>305520</v>
      </c>
      <c r="I119" s="49" t="n">
        <v>317405</v>
      </c>
      <c r="J119" s="49" t="n">
        <v>86950</v>
      </c>
      <c r="K119" s="49" t="n">
        <v>93572</v>
      </c>
      <c r="L119" s="50" t="n">
        <v>26.9</v>
      </c>
      <c r="M119" s="51" t="n">
        <f aca="false">G119-F119</f>
        <v>11811</v>
      </c>
      <c r="N119" s="52" t="n">
        <f aca="false">IF(F119=0,0,M119/F119)</f>
        <v>0.0222093937217235</v>
      </c>
      <c r="O119" s="51" t="n">
        <f aca="false">G119-I119</f>
        <v>226208</v>
      </c>
      <c r="P119" s="51" t="n">
        <f aca="false">F119-H119</f>
        <v>226282</v>
      </c>
      <c r="Q119" s="51" t="n">
        <f aca="false">F119-H119-J119</f>
        <v>139332</v>
      </c>
      <c r="R119" s="51" t="n">
        <f aca="false">G119-I119-K119</f>
        <v>132636</v>
      </c>
      <c r="S119" s="51" t="n">
        <f aca="false">R119-Q119</f>
        <v>-6696</v>
      </c>
      <c r="T119" s="52" t="n">
        <f aca="false">IF(Q119=0,0,S119/Q119)</f>
        <v>-0.0480578761519249</v>
      </c>
      <c r="U119" s="51" t="str">
        <f aca="false">IF(AND(Q119&gt;0,T119&lt;-0.15),"ADVERSE","")</f>
        <v/>
      </c>
    </row>
    <row r="120" customFormat="false" ht="15" hidden="false" customHeight="false" outlineLevel="0" collapsed="false">
      <c r="A120" s="47" t="s">
        <v>134</v>
      </c>
      <c r="B120" s="47" t="s">
        <v>137</v>
      </c>
      <c r="C120" s="48" t="n">
        <v>45200</v>
      </c>
      <c r="D120" s="47" t="s">
        <v>33</v>
      </c>
      <c r="E120" s="47" t="s">
        <v>43</v>
      </c>
      <c r="F120" s="49" t="n">
        <v>544548</v>
      </c>
      <c r="G120" s="49" t="n">
        <v>566184</v>
      </c>
      <c r="H120" s="49" t="n">
        <v>312843</v>
      </c>
      <c r="I120" s="49" t="n">
        <v>324294</v>
      </c>
      <c r="J120" s="49" t="n">
        <v>89034</v>
      </c>
      <c r="K120" s="49" t="n">
        <v>93829</v>
      </c>
      <c r="L120" s="50" t="n">
        <v>26.8</v>
      </c>
      <c r="M120" s="51" t="n">
        <f aca="false">G120-F120</f>
        <v>21636</v>
      </c>
      <c r="N120" s="52" t="n">
        <f aca="false">IF(F120=0,0,M120/F120)</f>
        <v>0.0397320346415743</v>
      </c>
      <c r="O120" s="51" t="n">
        <f aca="false">G120-I120</f>
        <v>241890</v>
      </c>
      <c r="P120" s="51" t="n">
        <f aca="false">F120-H120</f>
        <v>231705</v>
      </c>
      <c r="Q120" s="51" t="n">
        <f aca="false">F120-H120-J120</f>
        <v>142671</v>
      </c>
      <c r="R120" s="51" t="n">
        <f aca="false">G120-I120-K120</f>
        <v>148061</v>
      </c>
      <c r="S120" s="51" t="n">
        <f aca="false">R120-Q120</f>
        <v>5390</v>
      </c>
      <c r="T120" s="52" t="n">
        <f aca="false">IF(Q120=0,0,S120/Q120)</f>
        <v>0.0377792263319105</v>
      </c>
      <c r="U120" s="51" t="str">
        <f aca="false">IF(AND(Q120&gt;0,T120&lt;-0.15),"ADVERSE","")</f>
        <v/>
      </c>
    </row>
    <row r="121" customFormat="false" ht="15" hidden="false" customHeight="false" outlineLevel="0" collapsed="false">
      <c r="A121" s="47" t="s">
        <v>134</v>
      </c>
      <c r="B121" s="47" t="s">
        <v>137</v>
      </c>
      <c r="C121" s="48" t="n">
        <v>45231</v>
      </c>
      <c r="D121" s="47" t="s">
        <v>33</v>
      </c>
      <c r="E121" s="47" t="s">
        <v>43</v>
      </c>
      <c r="F121" s="49" t="n">
        <v>543448</v>
      </c>
      <c r="G121" s="49" t="n">
        <v>534229</v>
      </c>
      <c r="H121" s="49" t="n">
        <v>312211</v>
      </c>
      <c r="I121" s="49" t="n">
        <v>307008</v>
      </c>
      <c r="J121" s="49" t="n">
        <v>88854</v>
      </c>
      <c r="K121" s="49" t="n">
        <v>88494</v>
      </c>
      <c r="L121" s="50" t="n">
        <v>26.6</v>
      </c>
      <c r="M121" s="51" t="n">
        <f aca="false">G121-F121</f>
        <v>-9219</v>
      </c>
      <c r="N121" s="52" t="n">
        <f aca="false">IF(F121=0,0,M121/F121)</f>
        <v>-0.0169639045502054</v>
      </c>
      <c r="O121" s="51" t="n">
        <f aca="false">G121-I121</f>
        <v>227221</v>
      </c>
      <c r="P121" s="51" t="n">
        <f aca="false">F121-H121</f>
        <v>231237</v>
      </c>
      <c r="Q121" s="51" t="n">
        <f aca="false">F121-H121-J121</f>
        <v>142383</v>
      </c>
      <c r="R121" s="51" t="n">
        <f aca="false">G121-I121-K121</f>
        <v>138727</v>
      </c>
      <c r="S121" s="51" t="n">
        <f aca="false">R121-Q121</f>
        <v>-3656</v>
      </c>
      <c r="T121" s="52" t="n">
        <f aca="false">IF(Q121=0,0,S121/Q121)</f>
        <v>-0.0256772227021484</v>
      </c>
      <c r="U121" s="51" t="str">
        <f aca="false">IF(AND(Q121&gt;0,T121&lt;-0.15),"ADVERSE","")</f>
        <v/>
      </c>
    </row>
    <row r="122" customFormat="false" ht="15" hidden="false" customHeight="false" outlineLevel="0" collapsed="false">
      <c r="A122" s="47" t="s">
        <v>134</v>
      </c>
      <c r="B122" s="47" t="s">
        <v>137</v>
      </c>
      <c r="C122" s="48" t="n">
        <v>45261</v>
      </c>
      <c r="D122" s="47" t="s">
        <v>33</v>
      </c>
      <c r="E122" s="47" t="s">
        <v>43</v>
      </c>
      <c r="F122" s="49" t="n">
        <v>538397</v>
      </c>
      <c r="G122" s="49" t="n">
        <v>567768</v>
      </c>
      <c r="H122" s="49" t="n">
        <v>309309</v>
      </c>
      <c r="I122" s="49" t="n">
        <v>324761</v>
      </c>
      <c r="J122" s="49" t="n">
        <v>88028</v>
      </c>
      <c r="K122" s="49" t="n">
        <v>89468</v>
      </c>
      <c r="L122" s="50" t="n">
        <v>26.6</v>
      </c>
      <c r="M122" s="51" t="n">
        <f aca="false">G122-F122</f>
        <v>29371</v>
      </c>
      <c r="N122" s="52" t="n">
        <f aca="false">IF(F122=0,0,M122/F122)</f>
        <v>0.0545526813856689</v>
      </c>
      <c r="O122" s="51" t="n">
        <f aca="false">G122-I122</f>
        <v>243007</v>
      </c>
      <c r="P122" s="51" t="n">
        <f aca="false">F122-H122</f>
        <v>229088</v>
      </c>
      <c r="Q122" s="51" t="n">
        <f aca="false">F122-H122-J122</f>
        <v>141060</v>
      </c>
      <c r="R122" s="51" t="n">
        <f aca="false">G122-I122-K122</f>
        <v>153539</v>
      </c>
      <c r="S122" s="51" t="n">
        <f aca="false">R122-Q122</f>
        <v>12479</v>
      </c>
      <c r="T122" s="52" t="n">
        <f aca="false">IF(Q122=0,0,S122/Q122)</f>
        <v>0.0884659010350206</v>
      </c>
      <c r="U122" s="51" t="str">
        <f aca="false">IF(AND(Q122&gt;0,T122&lt;-0.15),"ADVERSE","")</f>
        <v/>
      </c>
    </row>
    <row r="123" customFormat="false" ht="15" hidden="false" customHeight="false" outlineLevel="0" collapsed="false">
      <c r="A123" s="47" t="s">
        <v>134</v>
      </c>
      <c r="B123" s="47" t="s">
        <v>138</v>
      </c>
      <c r="C123" s="48" t="n">
        <v>45292</v>
      </c>
      <c r="D123" s="47" t="s">
        <v>33</v>
      </c>
      <c r="E123" s="47" t="s">
        <v>43</v>
      </c>
      <c r="F123" s="49" t="n">
        <v>527983</v>
      </c>
      <c r="G123" s="49" t="n">
        <v>543813</v>
      </c>
      <c r="H123" s="49" t="n">
        <v>303326</v>
      </c>
      <c r="I123" s="49" t="n">
        <v>303823</v>
      </c>
      <c r="J123" s="49" t="n">
        <v>86325</v>
      </c>
      <c r="K123" s="49" t="n">
        <v>92745</v>
      </c>
      <c r="L123" s="50" t="n">
        <v>26.8</v>
      </c>
      <c r="M123" s="51" t="n">
        <f aca="false">G123-F123</f>
        <v>15830</v>
      </c>
      <c r="N123" s="52" t="n">
        <f aca="false">IF(F123=0,0,M123/F123)</f>
        <v>0.0299820259364411</v>
      </c>
      <c r="O123" s="51" t="n">
        <f aca="false">G123-I123</f>
        <v>239990</v>
      </c>
      <c r="P123" s="51" t="n">
        <f aca="false">F123-H123</f>
        <v>224657</v>
      </c>
      <c r="Q123" s="51" t="n">
        <f aca="false">F123-H123-J123</f>
        <v>138332</v>
      </c>
      <c r="R123" s="51" t="n">
        <f aca="false">G123-I123-K123</f>
        <v>147245</v>
      </c>
      <c r="S123" s="51" t="n">
        <f aca="false">R123-Q123</f>
        <v>8913</v>
      </c>
      <c r="T123" s="52" t="n">
        <f aca="false">IF(Q123=0,0,S123/Q123)</f>
        <v>0.0644319463320128</v>
      </c>
      <c r="U123" s="51" t="str">
        <f aca="false">IF(AND(Q123&gt;0,T123&lt;-0.15),"ADVERSE","")</f>
        <v/>
      </c>
    </row>
    <row r="124" customFormat="false" ht="15" hidden="false" customHeight="false" outlineLevel="0" collapsed="false">
      <c r="A124" s="47" t="s">
        <v>134</v>
      </c>
      <c r="B124" s="47" t="s">
        <v>138</v>
      </c>
      <c r="C124" s="48" t="n">
        <v>45323</v>
      </c>
      <c r="D124" s="47" t="s">
        <v>33</v>
      </c>
      <c r="E124" s="47" t="s">
        <v>43</v>
      </c>
      <c r="F124" s="49" t="n">
        <v>543436</v>
      </c>
      <c r="G124" s="49" t="n">
        <v>531638</v>
      </c>
      <c r="H124" s="49" t="n">
        <v>312204</v>
      </c>
      <c r="I124" s="49" t="n">
        <v>310640</v>
      </c>
      <c r="J124" s="49" t="n">
        <v>88852</v>
      </c>
      <c r="K124" s="49" t="n">
        <v>85451</v>
      </c>
      <c r="L124" s="50" t="n">
        <v>27.1</v>
      </c>
      <c r="M124" s="51" t="n">
        <f aca="false">G124-F124</f>
        <v>-11798</v>
      </c>
      <c r="N124" s="52" t="n">
        <f aca="false">IF(F124=0,0,M124/F124)</f>
        <v>-0.0217100081702353</v>
      </c>
      <c r="O124" s="51" t="n">
        <f aca="false">G124-I124</f>
        <v>220998</v>
      </c>
      <c r="P124" s="51" t="n">
        <f aca="false">F124-H124</f>
        <v>231232</v>
      </c>
      <c r="Q124" s="51" t="n">
        <f aca="false">F124-H124-J124</f>
        <v>142380</v>
      </c>
      <c r="R124" s="51" t="n">
        <f aca="false">G124-I124-K124</f>
        <v>135547</v>
      </c>
      <c r="S124" s="51" t="n">
        <f aca="false">R124-Q124</f>
        <v>-6833</v>
      </c>
      <c r="T124" s="52" t="n">
        <f aca="false">IF(Q124=0,0,S124/Q124)</f>
        <v>-0.0479912909116449</v>
      </c>
      <c r="U124" s="51" t="str">
        <f aca="false">IF(AND(Q124&gt;0,T124&lt;-0.15),"ADVERSE","")</f>
        <v/>
      </c>
    </row>
    <row r="125" customFormat="false" ht="15" hidden="false" customHeight="false" outlineLevel="0" collapsed="false">
      <c r="A125" s="47" t="s">
        <v>134</v>
      </c>
      <c r="B125" s="47" t="s">
        <v>138</v>
      </c>
      <c r="C125" s="48" t="n">
        <v>45352</v>
      </c>
      <c r="D125" s="47" t="s">
        <v>33</v>
      </c>
      <c r="E125" s="47" t="s">
        <v>43</v>
      </c>
      <c r="F125" s="49" t="n">
        <v>591171</v>
      </c>
      <c r="G125" s="49" t="n">
        <v>572439</v>
      </c>
      <c r="H125" s="49" t="n">
        <v>339627</v>
      </c>
      <c r="I125" s="49" t="n">
        <v>333295</v>
      </c>
      <c r="J125" s="49" t="n">
        <v>96656</v>
      </c>
      <c r="K125" s="49" t="n">
        <v>92945</v>
      </c>
      <c r="L125" s="50" t="n">
        <v>27.9</v>
      </c>
      <c r="M125" s="51" t="n">
        <f aca="false">G125-F125</f>
        <v>-18732</v>
      </c>
      <c r="N125" s="52" t="n">
        <f aca="false">IF(F125=0,0,M125/F125)</f>
        <v>-0.0316862633654222</v>
      </c>
      <c r="O125" s="51" t="n">
        <f aca="false">G125-I125</f>
        <v>239144</v>
      </c>
      <c r="P125" s="51" t="n">
        <f aca="false">F125-H125</f>
        <v>251544</v>
      </c>
      <c r="Q125" s="51" t="n">
        <f aca="false">F125-H125-J125</f>
        <v>154888</v>
      </c>
      <c r="R125" s="51" t="n">
        <f aca="false">G125-I125-K125</f>
        <v>146199</v>
      </c>
      <c r="S125" s="51" t="n">
        <f aca="false">R125-Q125</f>
        <v>-8689</v>
      </c>
      <c r="T125" s="52" t="n">
        <f aca="false">IF(Q125=0,0,S125/Q125)</f>
        <v>-0.0560986002789112</v>
      </c>
      <c r="U125" s="51" t="str">
        <f aca="false">IF(AND(Q125&gt;0,T125&lt;-0.15),"ADVERSE","")</f>
        <v/>
      </c>
    </row>
    <row r="126" customFormat="false" ht="15" hidden="false" customHeight="false" outlineLevel="0" collapsed="false">
      <c r="A126" s="47" t="s">
        <v>139</v>
      </c>
      <c r="B126" s="47" t="s">
        <v>135</v>
      </c>
      <c r="C126" s="48" t="n">
        <v>45383</v>
      </c>
      <c r="D126" s="47" t="s">
        <v>33</v>
      </c>
      <c r="E126" s="47" t="s">
        <v>43</v>
      </c>
      <c r="F126" s="49" t="n">
        <v>562919</v>
      </c>
      <c r="G126" s="49" t="n">
        <v>586545</v>
      </c>
      <c r="H126" s="49" t="n">
        <v>323397</v>
      </c>
      <c r="I126" s="49" t="n">
        <v>340649</v>
      </c>
      <c r="J126" s="49" t="n">
        <v>92037</v>
      </c>
      <c r="K126" s="49" t="n">
        <v>90957</v>
      </c>
      <c r="L126" s="50" t="n">
        <v>27.4</v>
      </c>
      <c r="M126" s="51" t="n">
        <f aca="false">G126-F126</f>
        <v>23626</v>
      </c>
      <c r="N126" s="52" t="n">
        <f aca="false">IF(F126=0,0,M126/F126)</f>
        <v>0.0419705144079344</v>
      </c>
      <c r="O126" s="51" t="n">
        <f aca="false">G126-I126</f>
        <v>245896</v>
      </c>
      <c r="P126" s="51" t="n">
        <f aca="false">F126-H126</f>
        <v>239522</v>
      </c>
      <c r="Q126" s="51" t="n">
        <f aca="false">F126-H126-J126</f>
        <v>147485</v>
      </c>
      <c r="R126" s="51" t="n">
        <f aca="false">G126-I126-K126</f>
        <v>154939</v>
      </c>
      <c r="S126" s="51" t="n">
        <f aca="false">R126-Q126</f>
        <v>7454</v>
      </c>
      <c r="T126" s="52" t="n">
        <f aca="false">IF(Q126=0,0,S126/Q126)</f>
        <v>0.0505407329558938</v>
      </c>
      <c r="U126" s="51" t="str">
        <f aca="false">IF(AND(Q126&gt;0,T126&lt;-0.15),"ADVERSE","")</f>
        <v/>
      </c>
    </row>
    <row r="127" customFormat="false" ht="15" hidden="false" customHeight="false" outlineLevel="0" collapsed="false">
      <c r="A127" s="47" t="s">
        <v>139</v>
      </c>
      <c r="B127" s="47" t="s">
        <v>135</v>
      </c>
      <c r="C127" s="48" t="n">
        <v>45413</v>
      </c>
      <c r="D127" s="47" t="s">
        <v>33</v>
      </c>
      <c r="E127" s="47" t="s">
        <v>43</v>
      </c>
      <c r="F127" s="49" t="n">
        <v>562795</v>
      </c>
      <c r="G127" s="49" t="n">
        <v>571638</v>
      </c>
      <c r="H127" s="49" t="n">
        <v>323326</v>
      </c>
      <c r="I127" s="49" t="n">
        <v>338066</v>
      </c>
      <c r="J127" s="49" t="n">
        <v>92017</v>
      </c>
      <c r="K127" s="49" t="n">
        <v>95385</v>
      </c>
      <c r="L127" s="50" t="n">
        <v>27.8</v>
      </c>
      <c r="M127" s="51" t="n">
        <f aca="false">G127-F127</f>
        <v>8843</v>
      </c>
      <c r="N127" s="52" t="n">
        <f aca="false">IF(F127=0,0,M127/F127)</f>
        <v>0.0157126484776873</v>
      </c>
      <c r="O127" s="51" t="n">
        <f aca="false">G127-I127</f>
        <v>233572</v>
      </c>
      <c r="P127" s="51" t="n">
        <f aca="false">F127-H127</f>
        <v>239469</v>
      </c>
      <c r="Q127" s="51" t="n">
        <f aca="false">F127-H127-J127</f>
        <v>147452</v>
      </c>
      <c r="R127" s="51" t="n">
        <f aca="false">G127-I127-K127</f>
        <v>138187</v>
      </c>
      <c r="S127" s="51" t="n">
        <f aca="false">R127-Q127</f>
        <v>-9265</v>
      </c>
      <c r="T127" s="52" t="n">
        <f aca="false">IF(Q127=0,0,S127/Q127)</f>
        <v>-0.0628340069988878</v>
      </c>
      <c r="U127" s="51" t="str">
        <f aca="false">IF(AND(Q127&gt;0,T127&lt;-0.15),"ADVERSE","")</f>
        <v/>
      </c>
    </row>
    <row r="128" customFormat="false" ht="15" hidden="false" customHeight="false" outlineLevel="0" collapsed="false">
      <c r="A128" s="47" t="s">
        <v>139</v>
      </c>
      <c r="B128" s="47" t="s">
        <v>135</v>
      </c>
      <c r="C128" s="48" t="n">
        <v>45444</v>
      </c>
      <c r="D128" s="47" t="s">
        <v>33</v>
      </c>
      <c r="E128" s="47" t="s">
        <v>43</v>
      </c>
      <c r="F128" s="49" t="n">
        <v>578154</v>
      </c>
      <c r="G128" s="49" t="n">
        <v>555198</v>
      </c>
      <c r="H128" s="49" t="n">
        <v>332149</v>
      </c>
      <c r="I128" s="49" t="n">
        <v>315759</v>
      </c>
      <c r="J128" s="49" t="n">
        <v>94528</v>
      </c>
      <c r="K128" s="49" t="n">
        <v>99432</v>
      </c>
      <c r="L128" s="50" t="n">
        <v>27.7</v>
      </c>
      <c r="M128" s="51" t="n">
        <f aca="false">G128-F128</f>
        <v>-22956</v>
      </c>
      <c r="N128" s="52" t="n">
        <f aca="false">IF(F128=0,0,M128/F128)</f>
        <v>-0.0397056839527185</v>
      </c>
      <c r="O128" s="51" t="n">
        <f aca="false">G128-I128</f>
        <v>239439</v>
      </c>
      <c r="P128" s="51" t="n">
        <f aca="false">F128-H128</f>
        <v>246005</v>
      </c>
      <c r="Q128" s="51" t="n">
        <f aca="false">F128-H128-J128</f>
        <v>151477</v>
      </c>
      <c r="R128" s="51" t="n">
        <f aca="false">G128-I128-K128</f>
        <v>140007</v>
      </c>
      <c r="S128" s="51" t="n">
        <f aca="false">R128-Q128</f>
        <v>-11470</v>
      </c>
      <c r="T128" s="52" t="n">
        <f aca="false">IF(Q128=0,0,S128/Q128)</f>
        <v>-0.075721066564561</v>
      </c>
      <c r="U128" s="51" t="str">
        <f aca="false">IF(AND(Q128&gt;0,T128&lt;-0.15),"ADVERSE","")</f>
        <v/>
      </c>
    </row>
    <row r="129" customFormat="false" ht="15" hidden="false" customHeight="false" outlineLevel="0" collapsed="false">
      <c r="A129" s="47" t="s">
        <v>139</v>
      </c>
      <c r="B129" s="47" t="s">
        <v>136</v>
      </c>
      <c r="C129" s="48" t="n">
        <v>45474</v>
      </c>
      <c r="D129" s="47" t="s">
        <v>33</v>
      </c>
      <c r="E129" s="47" t="s">
        <v>43</v>
      </c>
      <c r="F129" s="49" t="n">
        <v>597259</v>
      </c>
      <c r="G129" s="49" t="n">
        <v>594732</v>
      </c>
      <c r="H129" s="49" t="n">
        <v>343125</v>
      </c>
      <c r="I129" s="49" t="n">
        <v>345095</v>
      </c>
      <c r="J129" s="49" t="n">
        <v>97652</v>
      </c>
      <c r="K129" s="49" t="n">
        <v>93095</v>
      </c>
      <c r="L129" s="50" t="n">
        <v>28.3</v>
      </c>
      <c r="M129" s="51" t="n">
        <f aca="false">G129-F129</f>
        <v>-2527</v>
      </c>
      <c r="N129" s="52" t="n">
        <f aca="false">IF(F129=0,0,M129/F129)</f>
        <v>-0.00423099526336146</v>
      </c>
      <c r="O129" s="51" t="n">
        <f aca="false">G129-I129</f>
        <v>249637</v>
      </c>
      <c r="P129" s="51" t="n">
        <f aca="false">F129-H129</f>
        <v>254134</v>
      </c>
      <c r="Q129" s="51" t="n">
        <f aca="false">F129-H129-J129</f>
        <v>156482</v>
      </c>
      <c r="R129" s="51" t="n">
        <f aca="false">G129-I129-K129</f>
        <v>156542</v>
      </c>
      <c r="S129" s="51" t="n">
        <f aca="false">R129-Q129</f>
        <v>60</v>
      </c>
      <c r="T129" s="52" t="n">
        <f aca="false">IF(Q129=0,0,S129/Q129)</f>
        <v>0.000383430682123184</v>
      </c>
      <c r="U129" s="51" t="str">
        <f aca="false">IF(AND(Q129&gt;0,T129&lt;-0.15),"ADVERSE","")</f>
        <v/>
      </c>
    </row>
    <row r="130" customFormat="false" ht="15" hidden="false" customHeight="false" outlineLevel="0" collapsed="false">
      <c r="A130" s="47" t="s">
        <v>139</v>
      </c>
      <c r="B130" s="47" t="s">
        <v>136</v>
      </c>
      <c r="C130" s="48" t="n">
        <v>45505</v>
      </c>
      <c r="D130" s="47" t="s">
        <v>33</v>
      </c>
      <c r="E130" s="47" t="s">
        <v>43</v>
      </c>
      <c r="F130" s="49" t="n">
        <v>570857</v>
      </c>
      <c r="G130" s="49" t="n">
        <v>587388</v>
      </c>
      <c r="H130" s="49" t="n">
        <v>327957</v>
      </c>
      <c r="I130" s="49" t="n">
        <v>339930</v>
      </c>
      <c r="J130" s="49" t="n">
        <v>93335</v>
      </c>
      <c r="K130" s="49" t="n">
        <v>97288</v>
      </c>
      <c r="L130" s="50" t="n">
        <v>27.6</v>
      </c>
      <c r="M130" s="51" t="n">
        <f aca="false">G130-F130</f>
        <v>16531</v>
      </c>
      <c r="N130" s="52" t="n">
        <f aca="false">IF(F130=0,0,M130/F130)</f>
        <v>0.0289582154550089</v>
      </c>
      <c r="O130" s="51" t="n">
        <f aca="false">G130-I130</f>
        <v>247458</v>
      </c>
      <c r="P130" s="51" t="n">
        <f aca="false">F130-H130</f>
        <v>242900</v>
      </c>
      <c r="Q130" s="51" t="n">
        <f aca="false">F130-H130-J130</f>
        <v>149565</v>
      </c>
      <c r="R130" s="51" t="n">
        <f aca="false">G130-I130-K130</f>
        <v>150170</v>
      </c>
      <c r="S130" s="51" t="n">
        <f aca="false">R130-Q130</f>
        <v>605</v>
      </c>
      <c r="T130" s="52" t="n">
        <f aca="false">IF(Q130=0,0,S130/Q130)</f>
        <v>0.0040450640189884</v>
      </c>
      <c r="U130" s="51" t="str">
        <f aca="false">IF(AND(Q130&gt;0,T130&lt;-0.15),"ADVERSE","")</f>
        <v/>
      </c>
    </row>
    <row r="131" customFormat="false" ht="15" hidden="false" customHeight="false" outlineLevel="0" collapsed="false">
      <c r="A131" s="47" t="s">
        <v>139</v>
      </c>
      <c r="B131" s="47" t="s">
        <v>136</v>
      </c>
      <c r="C131" s="48" t="n">
        <v>45536</v>
      </c>
      <c r="D131" s="47" t="s">
        <v>33</v>
      </c>
      <c r="E131" s="47" t="s">
        <v>43</v>
      </c>
      <c r="F131" s="49" t="n">
        <v>588787</v>
      </c>
      <c r="G131" s="49" t="n">
        <v>577433</v>
      </c>
      <c r="H131" s="49" t="n">
        <v>338258</v>
      </c>
      <c r="I131" s="49" t="n">
        <v>329315</v>
      </c>
      <c r="J131" s="49" t="n">
        <v>96267</v>
      </c>
      <c r="K131" s="49" t="n">
        <v>97144</v>
      </c>
      <c r="L131" s="50" t="n">
        <v>28.8</v>
      </c>
      <c r="M131" s="51" t="n">
        <f aca="false">G131-F131</f>
        <v>-11354</v>
      </c>
      <c r="N131" s="52" t="n">
        <f aca="false">IF(F131=0,0,M131/F131)</f>
        <v>-0.0192837138048225</v>
      </c>
      <c r="O131" s="51" t="n">
        <f aca="false">G131-I131</f>
        <v>248118</v>
      </c>
      <c r="P131" s="51" t="n">
        <f aca="false">F131-H131</f>
        <v>250529</v>
      </c>
      <c r="Q131" s="51" t="n">
        <f aca="false">F131-H131-J131</f>
        <v>154262</v>
      </c>
      <c r="R131" s="51" t="n">
        <f aca="false">G131-I131-K131</f>
        <v>150974</v>
      </c>
      <c r="S131" s="51" t="n">
        <f aca="false">R131-Q131</f>
        <v>-3288</v>
      </c>
      <c r="T131" s="52" t="n">
        <f aca="false">IF(Q131=0,0,S131/Q131)</f>
        <v>-0.0213143872113677</v>
      </c>
      <c r="U131" s="51" t="str">
        <f aca="false">IF(AND(Q131&gt;0,T131&lt;-0.15),"ADVERSE","")</f>
        <v/>
      </c>
    </row>
    <row r="132" customFormat="false" ht="15" hidden="false" customHeight="false" outlineLevel="0" collapsed="false">
      <c r="A132" s="47" t="s">
        <v>139</v>
      </c>
      <c r="B132" s="47" t="s">
        <v>137</v>
      </c>
      <c r="C132" s="48" t="n">
        <v>45566</v>
      </c>
      <c r="D132" s="47" t="s">
        <v>33</v>
      </c>
      <c r="E132" s="47" t="s">
        <v>43</v>
      </c>
      <c r="F132" s="49" t="n">
        <v>609341</v>
      </c>
      <c r="G132" s="49" t="n">
        <v>616943</v>
      </c>
      <c r="H132" s="49" t="n">
        <v>350067</v>
      </c>
      <c r="I132" s="49" t="n">
        <v>361469</v>
      </c>
      <c r="J132" s="49" t="n">
        <v>99627</v>
      </c>
      <c r="K132" s="49" t="n">
        <v>102305</v>
      </c>
      <c r="L132" s="50" t="n">
        <v>28.6</v>
      </c>
      <c r="M132" s="51" t="n">
        <f aca="false">G132-F132</f>
        <v>7602</v>
      </c>
      <c r="N132" s="52" t="n">
        <f aca="false">IF(F132=0,0,M132/F132)</f>
        <v>0.0124757730072324</v>
      </c>
      <c r="O132" s="51" t="n">
        <f aca="false">G132-I132</f>
        <v>255474</v>
      </c>
      <c r="P132" s="51" t="n">
        <f aca="false">F132-H132</f>
        <v>259274</v>
      </c>
      <c r="Q132" s="51" t="n">
        <f aca="false">F132-H132-J132</f>
        <v>159647</v>
      </c>
      <c r="R132" s="51" t="n">
        <f aca="false">G132-I132-K132</f>
        <v>153169</v>
      </c>
      <c r="S132" s="51" t="n">
        <f aca="false">R132-Q132</f>
        <v>-6478</v>
      </c>
      <c r="T132" s="52" t="n">
        <f aca="false">IF(Q132=0,0,S132/Q132)</f>
        <v>-0.0405770230571198</v>
      </c>
      <c r="U132" s="51" t="str">
        <f aca="false">IF(AND(Q132&gt;0,T132&lt;-0.15),"ADVERSE","")</f>
        <v/>
      </c>
    </row>
    <row r="133" customFormat="false" ht="15" hidden="false" customHeight="false" outlineLevel="0" collapsed="false">
      <c r="A133" s="47" t="s">
        <v>139</v>
      </c>
      <c r="B133" s="47" t="s">
        <v>137</v>
      </c>
      <c r="C133" s="48" t="n">
        <v>45597</v>
      </c>
      <c r="D133" s="47" t="s">
        <v>33</v>
      </c>
      <c r="E133" s="47" t="s">
        <v>43</v>
      </c>
      <c r="F133" s="49" t="n">
        <v>609643</v>
      </c>
      <c r="G133" s="49" t="n">
        <v>593237</v>
      </c>
      <c r="H133" s="49" t="n">
        <v>350240</v>
      </c>
      <c r="I133" s="49" t="n">
        <v>345848</v>
      </c>
      <c r="J133" s="49" t="n">
        <v>99677</v>
      </c>
      <c r="K133" s="49" t="n">
        <v>100531</v>
      </c>
      <c r="L133" s="50" t="n">
        <v>28.6</v>
      </c>
      <c r="M133" s="51" t="n">
        <f aca="false">G133-F133</f>
        <v>-16406</v>
      </c>
      <c r="N133" s="52" t="n">
        <f aca="false">IF(F133=0,0,M133/F133)</f>
        <v>-0.026910831421012</v>
      </c>
      <c r="O133" s="51" t="n">
        <f aca="false">G133-I133</f>
        <v>247389</v>
      </c>
      <c r="P133" s="51" t="n">
        <f aca="false">F133-H133</f>
        <v>259403</v>
      </c>
      <c r="Q133" s="51" t="n">
        <f aca="false">F133-H133-J133</f>
        <v>159726</v>
      </c>
      <c r="R133" s="51" t="n">
        <f aca="false">G133-I133-K133</f>
        <v>146858</v>
      </c>
      <c r="S133" s="51" t="n">
        <f aca="false">R133-Q133</f>
        <v>-12868</v>
      </c>
      <c r="T133" s="52" t="n">
        <f aca="false">IF(Q133=0,0,S133/Q133)</f>
        <v>-0.0805629640759801</v>
      </c>
      <c r="U133" s="51" t="str">
        <f aca="false">IF(AND(Q133&gt;0,T133&lt;-0.15),"ADVERSE","")</f>
        <v/>
      </c>
    </row>
    <row r="134" customFormat="false" ht="15" hidden="false" customHeight="false" outlineLevel="0" collapsed="false">
      <c r="A134" s="47" t="s">
        <v>139</v>
      </c>
      <c r="B134" s="47" t="s">
        <v>137</v>
      </c>
      <c r="C134" s="48" t="n">
        <v>45627</v>
      </c>
      <c r="D134" s="47" t="s">
        <v>33</v>
      </c>
      <c r="E134" s="47" t="s">
        <v>43</v>
      </c>
      <c r="F134" s="49" t="n">
        <v>605427</v>
      </c>
      <c r="G134" s="49" t="n">
        <v>602053</v>
      </c>
      <c r="H134" s="49" t="n">
        <v>347818</v>
      </c>
      <c r="I134" s="49" t="n">
        <v>341647</v>
      </c>
      <c r="J134" s="49" t="n">
        <v>98987</v>
      </c>
      <c r="K134" s="49" t="n">
        <v>98669</v>
      </c>
      <c r="L134" s="50" t="n">
        <v>28.6</v>
      </c>
      <c r="M134" s="51" t="n">
        <f aca="false">G134-F134</f>
        <v>-3374</v>
      </c>
      <c r="N134" s="52" t="n">
        <f aca="false">IF(F134=0,0,M134/F134)</f>
        <v>-0.00557292621571222</v>
      </c>
      <c r="O134" s="51" t="n">
        <f aca="false">G134-I134</f>
        <v>260406</v>
      </c>
      <c r="P134" s="51" t="n">
        <f aca="false">F134-H134</f>
        <v>257609</v>
      </c>
      <c r="Q134" s="51" t="n">
        <f aca="false">F134-H134-J134</f>
        <v>158622</v>
      </c>
      <c r="R134" s="51" t="n">
        <f aca="false">G134-I134-K134</f>
        <v>161737</v>
      </c>
      <c r="S134" s="51" t="n">
        <f aca="false">R134-Q134</f>
        <v>3115</v>
      </c>
      <c r="T134" s="52" t="n">
        <f aca="false">IF(Q134=0,0,S134/Q134)</f>
        <v>0.0196378812522853</v>
      </c>
      <c r="U134" s="51" t="str">
        <f aca="false">IF(AND(Q134&gt;0,T134&lt;-0.15),"ADVERSE","")</f>
        <v/>
      </c>
    </row>
    <row r="135" customFormat="false" ht="15" hidden="false" customHeight="false" outlineLevel="0" collapsed="false">
      <c r="A135" s="47" t="s">
        <v>139</v>
      </c>
      <c r="B135" s="47" t="s">
        <v>138</v>
      </c>
      <c r="C135" s="48" t="n">
        <v>45658</v>
      </c>
      <c r="D135" s="47" t="s">
        <v>33</v>
      </c>
      <c r="E135" s="47" t="s">
        <v>43</v>
      </c>
      <c r="F135" s="49" t="n">
        <v>592117</v>
      </c>
      <c r="G135" s="49" t="n">
        <v>559510</v>
      </c>
      <c r="H135" s="49" t="n">
        <v>340171</v>
      </c>
      <c r="I135" s="49" t="n">
        <v>321075</v>
      </c>
      <c r="J135" s="49" t="n">
        <v>96811</v>
      </c>
      <c r="K135" s="49" t="n">
        <v>87405</v>
      </c>
      <c r="L135" s="50" t="n">
        <v>28.6</v>
      </c>
      <c r="M135" s="51" t="n">
        <f aca="false">G135-F135</f>
        <v>-32607</v>
      </c>
      <c r="N135" s="52" t="n">
        <f aca="false">IF(F135=0,0,M135/F135)</f>
        <v>-0.0550685084197887</v>
      </c>
      <c r="O135" s="51" t="n">
        <f aca="false">G135-I135</f>
        <v>238435</v>
      </c>
      <c r="P135" s="51" t="n">
        <f aca="false">F135-H135</f>
        <v>251946</v>
      </c>
      <c r="Q135" s="51" t="n">
        <f aca="false">F135-H135-J135</f>
        <v>155135</v>
      </c>
      <c r="R135" s="51" t="n">
        <f aca="false">G135-I135-K135</f>
        <v>151030</v>
      </c>
      <c r="S135" s="51" t="n">
        <f aca="false">R135-Q135</f>
        <v>-4105</v>
      </c>
      <c r="T135" s="52" t="n">
        <f aca="false">IF(Q135=0,0,S135/Q135)</f>
        <v>-0.0264608244432269</v>
      </c>
      <c r="U135" s="51" t="str">
        <f aca="false">IF(AND(Q135&gt;0,T135&lt;-0.15),"ADVERSE","")</f>
        <v/>
      </c>
    </row>
    <row r="136" customFormat="false" ht="15" hidden="false" customHeight="false" outlineLevel="0" collapsed="false">
      <c r="A136" s="47" t="s">
        <v>139</v>
      </c>
      <c r="B136" s="47" t="s">
        <v>138</v>
      </c>
      <c r="C136" s="48" t="n">
        <v>45689</v>
      </c>
      <c r="D136" s="47" t="s">
        <v>33</v>
      </c>
      <c r="E136" s="47" t="s">
        <v>43</v>
      </c>
      <c r="F136" s="49" t="n">
        <v>585110</v>
      </c>
      <c r="G136" s="49" t="n">
        <v>596551</v>
      </c>
      <c r="H136" s="49" t="n">
        <v>336146</v>
      </c>
      <c r="I136" s="49" t="n">
        <v>343895</v>
      </c>
      <c r="J136" s="49" t="n">
        <v>95666</v>
      </c>
      <c r="K136" s="49" t="n">
        <v>99386</v>
      </c>
      <c r="L136" s="50" t="n">
        <v>29.4</v>
      </c>
      <c r="M136" s="51" t="n">
        <f aca="false">G136-F136</f>
        <v>11441</v>
      </c>
      <c r="N136" s="52" t="n">
        <f aca="false">IF(F136=0,0,M136/F136)</f>
        <v>0.019553588214182</v>
      </c>
      <c r="O136" s="51" t="n">
        <f aca="false">G136-I136</f>
        <v>252656</v>
      </c>
      <c r="P136" s="51" t="n">
        <f aca="false">F136-H136</f>
        <v>248964</v>
      </c>
      <c r="Q136" s="51" t="n">
        <f aca="false">F136-H136-J136</f>
        <v>153298</v>
      </c>
      <c r="R136" s="51" t="n">
        <f aca="false">G136-I136-K136</f>
        <v>153270</v>
      </c>
      <c r="S136" s="51" t="n">
        <f aca="false">R136-Q136</f>
        <v>-28</v>
      </c>
      <c r="T136" s="52" t="n">
        <f aca="false">IF(Q136=0,0,S136/Q136)</f>
        <v>-0.00018265078474605</v>
      </c>
      <c r="U136" s="51" t="str">
        <f aca="false">IF(AND(Q136&gt;0,T136&lt;-0.15),"ADVERSE","")</f>
        <v/>
      </c>
    </row>
    <row r="137" customFormat="false" ht="15" hidden="false" customHeight="false" outlineLevel="0" collapsed="false">
      <c r="A137" s="47" t="s">
        <v>139</v>
      </c>
      <c r="B137" s="47" t="s">
        <v>138</v>
      </c>
      <c r="C137" s="48" t="n">
        <v>45717</v>
      </c>
      <c r="D137" s="47" t="s">
        <v>33</v>
      </c>
      <c r="E137" s="47" t="s">
        <v>43</v>
      </c>
      <c r="F137" s="49" t="n">
        <v>648055</v>
      </c>
      <c r="G137" s="49" t="n">
        <v>638305</v>
      </c>
      <c r="H137" s="49" t="n">
        <v>372308</v>
      </c>
      <c r="I137" s="49" t="n">
        <v>370233</v>
      </c>
      <c r="J137" s="49" t="n">
        <v>105957</v>
      </c>
      <c r="K137" s="49" t="n">
        <v>100054</v>
      </c>
      <c r="L137" s="50" t="n">
        <v>29.6</v>
      </c>
      <c r="M137" s="51" t="n">
        <f aca="false">G137-F137</f>
        <v>-9750</v>
      </c>
      <c r="N137" s="52" t="n">
        <f aca="false">IF(F137=0,0,M137/F137)</f>
        <v>-0.0150450193270633</v>
      </c>
      <c r="O137" s="51" t="n">
        <f aca="false">G137-I137</f>
        <v>268072</v>
      </c>
      <c r="P137" s="51" t="n">
        <f aca="false">F137-H137</f>
        <v>275747</v>
      </c>
      <c r="Q137" s="51" t="n">
        <f aca="false">F137-H137-J137</f>
        <v>169790</v>
      </c>
      <c r="R137" s="51" t="n">
        <f aca="false">G137-I137-K137</f>
        <v>168018</v>
      </c>
      <c r="S137" s="51" t="n">
        <f aca="false">R137-Q137</f>
        <v>-1772</v>
      </c>
      <c r="T137" s="52" t="n">
        <f aca="false">IF(Q137=0,0,S137/Q137)</f>
        <v>-0.0104364214618058</v>
      </c>
      <c r="U137" s="51" t="str">
        <f aca="false">IF(AND(Q137&gt;0,T137&lt;-0.15),"ADVERSE","")</f>
        <v/>
      </c>
    </row>
    <row r="138" customFormat="false" ht="15" hidden="false" customHeight="false" outlineLevel="0" collapsed="false">
      <c r="A138" s="47" t="s">
        <v>3</v>
      </c>
      <c r="B138" s="47" t="s">
        <v>135</v>
      </c>
      <c r="C138" s="48" t="n">
        <v>45748</v>
      </c>
      <c r="D138" s="47" t="s">
        <v>33</v>
      </c>
      <c r="E138" s="47" t="s">
        <v>43</v>
      </c>
      <c r="F138" s="49" t="n">
        <v>619282</v>
      </c>
      <c r="G138" s="49" t="n">
        <v>604771</v>
      </c>
      <c r="H138" s="49" t="n">
        <v>355777</v>
      </c>
      <c r="I138" s="49" t="n">
        <v>349167</v>
      </c>
      <c r="J138" s="49" t="n">
        <v>101253</v>
      </c>
      <c r="K138" s="49" t="n">
        <v>103859</v>
      </c>
      <c r="L138" s="50" t="n">
        <v>29.4</v>
      </c>
      <c r="M138" s="51" t="n">
        <f aca="false">G138-F138</f>
        <v>-14511</v>
      </c>
      <c r="N138" s="52" t="n">
        <f aca="false">IF(F138=0,0,M138/F138)</f>
        <v>-0.0234319744478283</v>
      </c>
      <c r="O138" s="51" t="n">
        <f aca="false">G138-I138</f>
        <v>255604</v>
      </c>
      <c r="P138" s="51" t="n">
        <f aca="false">F138-H138</f>
        <v>263505</v>
      </c>
      <c r="Q138" s="51" t="n">
        <f aca="false">F138-H138-J138</f>
        <v>162252</v>
      </c>
      <c r="R138" s="51" t="n">
        <f aca="false">G138-I138-K138</f>
        <v>151745</v>
      </c>
      <c r="S138" s="51" t="n">
        <f aca="false">R138-Q138</f>
        <v>-10507</v>
      </c>
      <c r="T138" s="52" t="n">
        <f aca="false">IF(Q138=0,0,S138/Q138)</f>
        <v>-0.0647572911273821</v>
      </c>
      <c r="U138" s="51" t="str">
        <f aca="false">IF(AND(Q138&gt;0,T138&lt;-0.15),"ADVERSE","")</f>
        <v/>
      </c>
    </row>
    <row r="139" customFormat="false" ht="15" hidden="false" customHeight="false" outlineLevel="0" collapsed="false">
      <c r="A139" s="47" t="s">
        <v>3</v>
      </c>
      <c r="B139" s="47" t="s">
        <v>135</v>
      </c>
      <c r="C139" s="48" t="n">
        <v>45778</v>
      </c>
      <c r="D139" s="47" t="s">
        <v>33</v>
      </c>
      <c r="E139" s="47" t="s">
        <v>43</v>
      </c>
      <c r="F139" s="49" t="n">
        <v>614218</v>
      </c>
      <c r="G139" s="49" t="n">
        <v>612333</v>
      </c>
      <c r="H139" s="49" t="n">
        <v>352868</v>
      </c>
      <c r="I139" s="49" t="n">
        <v>356163</v>
      </c>
      <c r="J139" s="49" t="n">
        <v>100425</v>
      </c>
      <c r="K139" s="49" t="n">
        <v>101303</v>
      </c>
      <c r="L139" s="50" t="n">
        <v>29.5</v>
      </c>
      <c r="M139" s="51" t="n">
        <f aca="false">G139-F139</f>
        <v>-1885</v>
      </c>
      <c r="N139" s="52" t="n">
        <f aca="false">IF(F139=0,0,M139/F139)</f>
        <v>-0.0030689429485948</v>
      </c>
      <c r="O139" s="51" t="n">
        <f aca="false">G139-I139</f>
        <v>256170</v>
      </c>
      <c r="P139" s="51" t="n">
        <f aca="false">F139-H139</f>
        <v>261350</v>
      </c>
      <c r="Q139" s="51" t="n">
        <f aca="false">F139-H139-J139</f>
        <v>160925</v>
      </c>
      <c r="R139" s="51" t="n">
        <f aca="false">G139-I139-K139</f>
        <v>154867</v>
      </c>
      <c r="S139" s="51" t="n">
        <f aca="false">R139-Q139</f>
        <v>-6058</v>
      </c>
      <c r="T139" s="52" t="n">
        <f aca="false">IF(Q139=0,0,S139/Q139)</f>
        <v>-0.0376448656206307</v>
      </c>
      <c r="U139" s="51" t="str">
        <f aca="false">IF(AND(Q139&gt;0,T139&lt;-0.15),"ADVERSE","")</f>
        <v/>
      </c>
    </row>
    <row r="140" customFormat="false" ht="15" hidden="false" customHeight="false" outlineLevel="0" collapsed="false">
      <c r="A140" s="47" t="s">
        <v>3</v>
      </c>
      <c r="B140" s="47" t="s">
        <v>135</v>
      </c>
      <c r="C140" s="48" t="n">
        <v>45809</v>
      </c>
      <c r="D140" s="47" t="s">
        <v>33</v>
      </c>
      <c r="E140" s="47" t="s">
        <v>43</v>
      </c>
      <c r="F140" s="49" t="n">
        <v>632879</v>
      </c>
      <c r="G140" s="49" t="n">
        <v>663728</v>
      </c>
      <c r="H140" s="49" t="n">
        <v>363589</v>
      </c>
      <c r="I140" s="49" t="n">
        <v>378964</v>
      </c>
      <c r="J140" s="49" t="n">
        <v>103476</v>
      </c>
      <c r="K140" s="49" t="n">
        <v>109534</v>
      </c>
      <c r="L140" s="50" t="n">
        <v>29.7</v>
      </c>
      <c r="M140" s="51" t="n">
        <f aca="false">G140-F140</f>
        <v>30849</v>
      </c>
      <c r="N140" s="52" t="n">
        <f aca="false">IF(F140=0,0,M140/F140)</f>
        <v>0.048743914713555</v>
      </c>
      <c r="O140" s="51" t="n">
        <f aca="false">G140-I140</f>
        <v>284764</v>
      </c>
      <c r="P140" s="51" t="n">
        <f aca="false">F140-H140</f>
        <v>269290</v>
      </c>
      <c r="Q140" s="51" t="n">
        <f aca="false">F140-H140-J140</f>
        <v>165814</v>
      </c>
      <c r="R140" s="51" t="n">
        <f aca="false">G140-I140-K140</f>
        <v>175230</v>
      </c>
      <c r="S140" s="51" t="n">
        <f aca="false">R140-Q140</f>
        <v>9416</v>
      </c>
      <c r="T140" s="52" t="n">
        <f aca="false">IF(Q140=0,0,S140/Q140)</f>
        <v>0.0567865198354783</v>
      </c>
      <c r="U140" s="51" t="str">
        <f aca="false">IF(AND(Q140&gt;0,T140&lt;-0.15),"ADVERSE","")</f>
        <v/>
      </c>
    </row>
    <row r="141" customFormat="false" ht="15" hidden="false" customHeight="false" outlineLevel="0" collapsed="false">
      <c r="A141" s="47" t="s">
        <v>3</v>
      </c>
      <c r="B141" s="47" t="s">
        <v>136</v>
      </c>
      <c r="C141" s="48" t="n">
        <v>45839</v>
      </c>
      <c r="D141" s="47" t="s">
        <v>33</v>
      </c>
      <c r="E141" s="47" t="s">
        <v>43</v>
      </c>
      <c r="F141" s="49" t="n">
        <v>657282</v>
      </c>
      <c r="G141" s="49" t="n">
        <v>590514</v>
      </c>
      <c r="H141" s="49" t="n">
        <v>377609</v>
      </c>
      <c r="I141" s="49" t="n">
        <v>339401</v>
      </c>
      <c r="J141" s="49" t="n">
        <v>107466</v>
      </c>
      <c r="K141" s="49" t="n">
        <v>101016</v>
      </c>
      <c r="L141" s="50" t="n">
        <v>30.9</v>
      </c>
      <c r="M141" s="51" t="n">
        <f aca="false">G141-F141</f>
        <v>-66768</v>
      </c>
      <c r="N141" s="52" t="n">
        <f aca="false">IF(F141=0,0,M141/F141)</f>
        <v>-0.101581969383005</v>
      </c>
      <c r="O141" s="51" t="n">
        <f aca="false">G141-I141</f>
        <v>251113</v>
      </c>
      <c r="P141" s="51" t="n">
        <f aca="false">F141-H141</f>
        <v>279673</v>
      </c>
      <c r="Q141" s="51" t="n">
        <f aca="false">F141-H141-J141</f>
        <v>172207</v>
      </c>
      <c r="R141" s="51" t="n">
        <f aca="false">G141-I141-K141</f>
        <v>150097</v>
      </c>
      <c r="S141" s="51" t="n">
        <f aca="false">R141-Q141</f>
        <v>-22110</v>
      </c>
      <c r="T141" s="52" t="n">
        <f aca="false">IF(Q141=0,0,S141/Q141)</f>
        <v>-0.128391993356832</v>
      </c>
      <c r="U141" s="51" t="str">
        <f aca="false">IF(AND(Q141&gt;0,T141&lt;-0.15),"ADVERSE","")</f>
        <v/>
      </c>
    </row>
    <row r="142" customFormat="false" ht="15" hidden="false" customHeight="false" outlineLevel="0" collapsed="false">
      <c r="A142" s="47" t="s">
        <v>3</v>
      </c>
      <c r="B142" s="47" t="s">
        <v>136</v>
      </c>
      <c r="C142" s="48" t="n">
        <v>45870</v>
      </c>
      <c r="D142" s="47" t="s">
        <v>33</v>
      </c>
      <c r="E142" s="47" t="s">
        <v>43</v>
      </c>
      <c r="F142" s="49" t="n">
        <v>637245</v>
      </c>
      <c r="G142" s="49" t="n">
        <v>620613</v>
      </c>
      <c r="H142" s="49" t="n">
        <v>366097</v>
      </c>
      <c r="I142" s="49" t="n">
        <v>358109</v>
      </c>
      <c r="J142" s="49" t="n">
        <v>104190</v>
      </c>
      <c r="K142" s="49" t="n">
        <v>103033</v>
      </c>
      <c r="L142" s="50" t="n">
        <v>30.1</v>
      </c>
      <c r="M142" s="51" t="n">
        <f aca="false">G142-F142</f>
        <v>-16632</v>
      </c>
      <c r="N142" s="52" t="n">
        <f aca="false">IF(F142=0,0,M142/F142)</f>
        <v>-0.026099851705388</v>
      </c>
      <c r="O142" s="51" t="n">
        <f aca="false">G142-I142</f>
        <v>262504</v>
      </c>
      <c r="P142" s="51" t="n">
        <f aca="false">F142-H142</f>
        <v>271148</v>
      </c>
      <c r="Q142" s="51" t="n">
        <f aca="false">F142-H142-J142</f>
        <v>166958</v>
      </c>
      <c r="R142" s="51" t="n">
        <f aca="false">G142-I142-K142</f>
        <v>159471</v>
      </c>
      <c r="S142" s="51" t="n">
        <f aca="false">R142-Q142</f>
        <v>-7487</v>
      </c>
      <c r="T142" s="52" t="n">
        <f aca="false">IF(Q142=0,0,S142/Q142)</f>
        <v>-0.04484361336384</v>
      </c>
      <c r="U142" s="51" t="str">
        <f aca="false">IF(AND(Q142&gt;0,T142&lt;-0.15),"ADVERSE","")</f>
        <v/>
      </c>
    </row>
    <row r="143" customFormat="false" ht="15" hidden="false" customHeight="false" outlineLevel="0" collapsed="false">
      <c r="A143" s="47" t="s">
        <v>3</v>
      </c>
      <c r="B143" s="47" t="s">
        <v>136</v>
      </c>
      <c r="C143" s="48" t="n">
        <v>45901</v>
      </c>
      <c r="D143" s="47" t="s">
        <v>33</v>
      </c>
      <c r="E143" s="47" t="s">
        <v>43</v>
      </c>
      <c r="F143" s="49" t="n">
        <v>660789</v>
      </c>
      <c r="G143" s="49" t="n">
        <v>650753</v>
      </c>
      <c r="H143" s="49" t="n">
        <v>379623</v>
      </c>
      <c r="I143" s="49" t="n">
        <v>369763</v>
      </c>
      <c r="J143" s="49" t="n">
        <v>108039</v>
      </c>
      <c r="K143" s="49" t="n">
        <v>114796</v>
      </c>
      <c r="L143" s="50" t="n">
        <v>30.6</v>
      </c>
      <c r="M143" s="51" t="n">
        <f aca="false">G143-F143</f>
        <v>-10036</v>
      </c>
      <c r="N143" s="52" t="n">
        <f aca="false">IF(F143=0,0,M143/F143)</f>
        <v>-0.0151879041570002</v>
      </c>
      <c r="O143" s="51" t="n">
        <f aca="false">G143-I143</f>
        <v>280990</v>
      </c>
      <c r="P143" s="51" t="n">
        <f aca="false">F143-H143</f>
        <v>281166</v>
      </c>
      <c r="Q143" s="51" t="n">
        <f aca="false">F143-H143-J143</f>
        <v>173127</v>
      </c>
      <c r="R143" s="51" t="n">
        <f aca="false">G143-I143-K143</f>
        <v>166194</v>
      </c>
      <c r="S143" s="51" t="n">
        <f aca="false">R143-Q143</f>
        <v>-6933</v>
      </c>
      <c r="T143" s="52" t="n">
        <f aca="false">IF(Q143=0,0,S143/Q143)</f>
        <v>-0.0400457467639363</v>
      </c>
      <c r="U143" s="51" t="str">
        <f aca="false">IF(AND(Q143&gt;0,T143&lt;-0.15),"ADVERSE","")</f>
        <v/>
      </c>
    </row>
    <row r="144" customFormat="false" ht="15" hidden="false" customHeight="false" outlineLevel="0" collapsed="false">
      <c r="A144" s="47" t="s">
        <v>3</v>
      </c>
      <c r="B144" s="47" t="s">
        <v>137</v>
      </c>
      <c r="C144" s="48" t="n">
        <v>45931</v>
      </c>
      <c r="D144" s="47" t="s">
        <v>33</v>
      </c>
      <c r="E144" s="47" t="s">
        <v>43</v>
      </c>
      <c r="F144" s="49" t="n">
        <v>663630</v>
      </c>
      <c r="G144" s="49" t="n">
        <v>673157</v>
      </c>
      <c r="H144" s="49" t="n">
        <v>381255</v>
      </c>
      <c r="I144" s="49" t="n">
        <v>387008</v>
      </c>
      <c r="J144" s="49" t="n">
        <v>108503</v>
      </c>
      <c r="K144" s="49" t="n">
        <v>107129</v>
      </c>
      <c r="L144" s="50" t="n">
        <v>30.8</v>
      </c>
      <c r="M144" s="51" t="n">
        <f aca="false">G144-F144</f>
        <v>9527</v>
      </c>
      <c r="N144" s="52" t="n">
        <f aca="false">IF(F144=0,0,M144/F144)</f>
        <v>0.0143558910838871</v>
      </c>
      <c r="O144" s="51" t="n">
        <f aca="false">G144-I144</f>
        <v>286149</v>
      </c>
      <c r="P144" s="51" t="n">
        <f aca="false">F144-H144</f>
        <v>282375</v>
      </c>
      <c r="Q144" s="51" t="n">
        <f aca="false">F144-H144-J144</f>
        <v>173872</v>
      </c>
      <c r="R144" s="51" t="n">
        <f aca="false">G144-I144-K144</f>
        <v>179020</v>
      </c>
      <c r="S144" s="51" t="n">
        <f aca="false">R144-Q144</f>
        <v>5148</v>
      </c>
      <c r="T144" s="52" t="n">
        <f aca="false">IF(Q144=0,0,S144/Q144)</f>
        <v>0.0296079874850465</v>
      </c>
      <c r="U144" s="51" t="str">
        <f aca="false">IF(AND(Q144&gt;0,T144&lt;-0.15),"ADVERSE","")</f>
        <v/>
      </c>
    </row>
    <row r="145" customFormat="false" ht="15" hidden="false" customHeight="false" outlineLevel="0" collapsed="false">
      <c r="A145" s="47" t="s">
        <v>3</v>
      </c>
      <c r="B145" s="47" t="s">
        <v>137</v>
      </c>
      <c r="C145" s="48" t="n">
        <v>45962</v>
      </c>
      <c r="D145" s="47" t="s">
        <v>33</v>
      </c>
      <c r="E145" s="47" t="s">
        <v>43</v>
      </c>
      <c r="F145" s="49" t="n">
        <v>685978</v>
      </c>
      <c r="G145" s="49" t="n">
        <v>686601</v>
      </c>
      <c r="H145" s="49" t="n">
        <v>394094</v>
      </c>
      <c r="I145" s="49" t="n">
        <v>393882</v>
      </c>
      <c r="J145" s="49" t="n">
        <v>112157</v>
      </c>
      <c r="K145" s="49" t="n">
        <v>112982</v>
      </c>
      <c r="L145" s="50" t="n">
        <v>30.9</v>
      </c>
      <c r="M145" s="51" t="n">
        <f aca="false">G145-F145</f>
        <v>623</v>
      </c>
      <c r="N145" s="52" t="n">
        <f aca="false">IF(F145=0,0,M145/F145)</f>
        <v>0.000908192391009624</v>
      </c>
      <c r="O145" s="51" t="n">
        <f aca="false">G145-I145</f>
        <v>292719</v>
      </c>
      <c r="P145" s="51" t="n">
        <f aca="false">F145-H145</f>
        <v>291884</v>
      </c>
      <c r="Q145" s="51" t="n">
        <f aca="false">F145-H145-J145</f>
        <v>179727</v>
      </c>
      <c r="R145" s="51" t="n">
        <f aca="false">G145-I145-K145</f>
        <v>179737</v>
      </c>
      <c r="S145" s="51" t="n">
        <f aca="false">R145-Q145</f>
        <v>10</v>
      </c>
      <c r="T145" s="52" t="n">
        <f aca="false">IF(Q145=0,0,S145/Q145)</f>
        <v>5.56399428021388E-005</v>
      </c>
      <c r="U145" s="51" t="str">
        <f aca="false">IF(AND(Q145&gt;0,T145&lt;-0.15),"ADVERSE","")</f>
        <v/>
      </c>
    </row>
    <row r="146" customFormat="false" ht="15" hidden="false" customHeight="false" outlineLevel="0" collapsed="false">
      <c r="A146" s="47" t="s">
        <v>3</v>
      </c>
      <c r="B146" s="47" t="s">
        <v>137</v>
      </c>
      <c r="C146" s="48" t="n">
        <v>45992</v>
      </c>
      <c r="D146" s="47" t="s">
        <v>33</v>
      </c>
      <c r="E146" s="47" t="s">
        <v>43</v>
      </c>
      <c r="F146" s="49" t="n">
        <v>667781</v>
      </c>
      <c r="G146" s="49" t="n">
        <v>607873</v>
      </c>
      <c r="H146" s="49" t="n">
        <v>383640</v>
      </c>
      <c r="I146" s="49" t="n">
        <v>346888</v>
      </c>
      <c r="J146" s="49" t="n">
        <v>109182</v>
      </c>
      <c r="K146" s="49" t="n">
        <v>102199</v>
      </c>
      <c r="L146" s="50" t="n">
        <v>30.7</v>
      </c>
      <c r="M146" s="51" t="n">
        <f aca="false">G146-F146</f>
        <v>-59908</v>
      </c>
      <c r="N146" s="52" t="n">
        <f aca="false">IF(F146=0,0,M146/F146)</f>
        <v>-0.0897120463145852</v>
      </c>
      <c r="O146" s="51" t="n">
        <f aca="false">G146-I146</f>
        <v>260985</v>
      </c>
      <c r="P146" s="51" t="n">
        <f aca="false">F146-H146</f>
        <v>284141</v>
      </c>
      <c r="Q146" s="51" t="n">
        <f aca="false">F146-H146-J146</f>
        <v>174959</v>
      </c>
      <c r="R146" s="51" t="n">
        <f aca="false">G146-I146-K146</f>
        <v>158786</v>
      </c>
      <c r="S146" s="51" t="n">
        <f aca="false">R146-Q146</f>
        <v>-16173</v>
      </c>
      <c r="T146" s="52" t="n">
        <f aca="false">IF(Q146=0,0,S146/Q146)</f>
        <v>-0.0924387999474163</v>
      </c>
      <c r="U146" s="51" t="str">
        <f aca="false">IF(AND(Q146&gt;0,T146&lt;-0.15),"ADVERSE","")</f>
        <v/>
      </c>
    </row>
    <row r="147" customFormat="false" ht="15" hidden="false" customHeight="false" outlineLevel="0" collapsed="false">
      <c r="A147" s="47" t="s">
        <v>3</v>
      </c>
      <c r="B147" s="47" t="s">
        <v>138</v>
      </c>
      <c r="C147" s="48" t="n">
        <v>46023</v>
      </c>
      <c r="D147" s="47" t="s">
        <v>33</v>
      </c>
      <c r="E147" s="47" t="s">
        <v>43</v>
      </c>
      <c r="F147" s="49" t="n">
        <v>654986</v>
      </c>
      <c r="G147" s="49" t="n">
        <v>657642</v>
      </c>
      <c r="H147" s="49" t="n">
        <v>376289</v>
      </c>
      <c r="I147" s="49" t="n">
        <v>382644</v>
      </c>
      <c r="J147" s="49" t="n">
        <v>107090</v>
      </c>
      <c r="K147" s="49" t="n">
        <v>117264</v>
      </c>
      <c r="L147" s="50" t="n">
        <v>31.8</v>
      </c>
      <c r="M147" s="51" t="n">
        <f aca="false">G147-F147</f>
        <v>2656</v>
      </c>
      <c r="N147" s="52" t="n">
        <f aca="false">IF(F147=0,0,M147/F147)</f>
        <v>0.00405504850485354</v>
      </c>
      <c r="O147" s="51" t="n">
        <f aca="false">G147-I147</f>
        <v>274998</v>
      </c>
      <c r="P147" s="51" t="n">
        <f aca="false">F147-H147</f>
        <v>278697</v>
      </c>
      <c r="Q147" s="51" t="n">
        <f aca="false">F147-H147-J147</f>
        <v>171607</v>
      </c>
      <c r="R147" s="51" t="n">
        <f aca="false">G147-I147-K147</f>
        <v>157734</v>
      </c>
      <c r="S147" s="51" t="n">
        <f aca="false">R147-Q147</f>
        <v>-13873</v>
      </c>
      <c r="T147" s="52" t="n">
        <f aca="false">IF(Q147=0,0,S147/Q147)</f>
        <v>-0.0808416906070265</v>
      </c>
      <c r="U147" s="51" t="str">
        <f aca="false">IF(AND(Q147&gt;0,T147&lt;-0.15),"ADVERSE","")</f>
        <v/>
      </c>
    </row>
    <row r="148" customFormat="false" ht="15" hidden="false" customHeight="false" outlineLevel="0" collapsed="false">
      <c r="A148" s="47" t="s">
        <v>3</v>
      </c>
      <c r="B148" s="47" t="s">
        <v>138</v>
      </c>
      <c r="C148" s="48" t="n">
        <v>46054</v>
      </c>
      <c r="D148" s="47" t="s">
        <v>33</v>
      </c>
      <c r="E148" s="47" t="s">
        <v>43</v>
      </c>
      <c r="F148" s="49" t="n">
        <v>676464</v>
      </c>
      <c r="G148" s="49" t="n">
        <v>673849</v>
      </c>
      <c r="H148" s="49" t="n">
        <v>388629</v>
      </c>
      <c r="I148" s="49" t="n">
        <v>385491</v>
      </c>
      <c r="J148" s="49" t="n">
        <v>110602</v>
      </c>
      <c r="K148" s="49" t="n">
        <v>108069</v>
      </c>
      <c r="L148" s="50" t="n">
        <v>30.8</v>
      </c>
      <c r="M148" s="51" t="n">
        <f aca="false">G148-F148</f>
        <v>-2615</v>
      </c>
      <c r="N148" s="52" t="n">
        <f aca="false">IF(F148=0,0,M148/F148)</f>
        <v>-0.00386568982237044</v>
      </c>
      <c r="O148" s="51" t="n">
        <f aca="false">G148-I148</f>
        <v>288358</v>
      </c>
      <c r="P148" s="51" t="n">
        <f aca="false">F148-H148</f>
        <v>287835</v>
      </c>
      <c r="Q148" s="51" t="n">
        <f aca="false">F148-H148-J148</f>
        <v>177233</v>
      </c>
      <c r="R148" s="51" t="n">
        <f aca="false">G148-I148-K148</f>
        <v>180289</v>
      </c>
      <c r="S148" s="51" t="n">
        <f aca="false">R148-Q148</f>
        <v>3056</v>
      </c>
      <c r="T148" s="52" t="n">
        <f aca="false">IF(Q148=0,0,S148/Q148)</f>
        <v>0.0172428385232998</v>
      </c>
      <c r="U148" s="51" t="str">
        <f aca="false">IF(AND(Q148&gt;0,T148&lt;-0.15),"ADVERSE","")</f>
        <v/>
      </c>
    </row>
    <row r="149" customFormat="false" ht="15" hidden="false" customHeight="false" outlineLevel="0" collapsed="false">
      <c r="A149" s="47" t="s">
        <v>3</v>
      </c>
      <c r="B149" s="47" t="s">
        <v>138</v>
      </c>
      <c r="C149" s="48" t="n">
        <v>46082</v>
      </c>
      <c r="D149" s="47" t="s">
        <v>33</v>
      </c>
      <c r="E149" s="47" t="s">
        <v>43</v>
      </c>
      <c r="F149" s="49" t="n">
        <v>740475</v>
      </c>
      <c r="G149" s="49" t="n">
        <v>715425</v>
      </c>
      <c r="H149" s="49" t="n">
        <v>425403</v>
      </c>
      <c r="I149" s="49" t="n">
        <v>407195</v>
      </c>
      <c r="J149" s="49" t="n">
        <v>121068</v>
      </c>
      <c r="K149" s="49" t="n">
        <v>120057</v>
      </c>
      <c r="L149" s="50" t="n">
        <v>30.8</v>
      </c>
      <c r="M149" s="51" t="n">
        <f aca="false">G149-F149</f>
        <v>-25050</v>
      </c>
      <c r="N149" s="52" t="n">
        <f aca="false">IF(F149=0,0,M149/F149)</f>
        <v>-0.0338296363820521</v>
      </c>
      <c r="O149" s="51" t="n">
        <f aca="false">G149-I149</f>
        <v>308230</v>
      </c>
      <c r="P149" s="51" t="n">
        <f aca="false">F149-H149</f>
        <v>315072</v>
      </c>
      <c r="Q149" s="51" t="n">
        <f aca="false">F149-H149-J149</f>
        <v>194004</v>
      </c>
      <c r="R149" s="51" t="n">
        <f aca="false">G149-I149-K149</f>
        <v>188173</v>
      </c>
      <c r="S149" s="51" t="n">
        <f aca="false">R149-Q149</f>
        <v>-5831</v>
      </c>
      <c r="T149" s="52" t="n">
        <f aca="false">IF(Q149=0,0,S149/Q149)</f>
        <v>-0.030056081317911</v>
      </c>
      <c r="U149" s="51" t="str">
        <f aca="false">IF(AND(Q149&gt;0,T149&lt;-0.15),"ADVERSE","")</f>
        <v/>
      </c>
    </row>
    <row r="150" customFormat="false" ht="15" hidden="false" customHeight="false" outlineLevel="0" collapsed="false">
      <c r="A150" s="47" t="s">
        <v>134</v>
      </c>
      <c r="B150" s="47" t="s">
        <v>135</v>
      </c>
      <c r="C150" s="48" t="n">
        <v>45017</v>
      </c>
      <c r="D150" s="47" t="s">
        <v>33</v>
      </c>
      <c r="E150" s="47" t="s">
        <v>44</v>
      </c>
      <c r="F150" s="49" t="n">
        <v>540850</v>
      </c>
      <c r="G150" s="49" t="n">
        <v>532435</v>
      </c>
      <c r="H150" s="49" t="n">
        <v>310718</v>
      </c>
      <c r="I150" s="49" t="n">
        <v>303225</v>
      </c>
      <c r="J150" s="49" t="n">
        <v>88429</v>
      </c>
      <c r="K150" s="49" t="n">
        <v>85566</v>
      </c>
      <c r="L150" s="50" t="n">
        <v>28.2</v>
      </c>
      <c r="M150" s="51" t="n">
        <f aca="false">G150-F150</f>
        <v>-8415</v>
      </c>
      <c r="N150" s="52" t="n">
        <f aca="false">IF(F150=0,0,M150/F150)</f>
        <v>-0.0155588425626329</v>
      </c>
      <c r="O150" s="51" t="n">
        <f aca="false">G150-I150</f>
        <v>229210</v>
      </c>
      <c r="P150" s="51" t="n">
        <f aca="false">F150-H150</f>
        <v>230132</v>
      </c>
      <c r="Q150" s="51" t="n">
        <f aca="false">F150-H150-J150</f>
        <v>141703</v>
      </c>
      <c r="R150" s="51" t="n">
        <f aca="false">G150-I150-K150</f>
        <v>143644</v>
      </c>
      <c r="S150" s="51" t="n">
        <f aca="false">R150-Q150</f>
        <v>1941</v>
      </c>
      <c r="T150" s="52" t="n">
        <f aca="false">IF(Q150=0,0,S150/Q150)</f>
        <v>0.0136976634227927</v>
      </c>
      <c r="U150" s="51" t="str">
        <f aca="false">IF(AND(Q150&gt;0,T150&lt;-0.15),"ADVERSE","")</f>
        <v/>
      </c>
    </row>
    <row r="151" customFormat="false" ht="15" hidden="false" customHeight="false" outlineLevel="0" collapsed="false">
      <c r="A151" s="47" t="s">
        <v>134</v>
      </c>
      <c r="B151" s="47" t="s">
        <v>135</v>
      </c>
      <c r="C151" s="48" t="n">
        <v>45047</v>
      </c>
      <c r="D151" s="47" t="s">
        <v>33</v>
      </c>
      <c r="E151" s="47" t="s">
        <v>44</v>
      </c>
      <c r="F151" s="49" t="n">
        <v>535287</v>
      </c>
      <c r="G151" s="49" t="n">
        <v>555855</v>
      </c>
      <c r="H151" s="49" t="n">
        <v>307522</v>
      </c>
      <c r="I151" s="49" t="n">
        <v>318596</v>
      </c>
      <c r="J151" s="49" t="n">
        <v>87519</v>
      </c>
      <c r="K151" s="49" t="n">
        <v>93101</v>
      </c>
      <c r="L151" s="50" t="n">
        <v>27.3</v>
      </c>
      <c r="M151" s="51" t="n">
        <f aca="false">G151-F151</f>
        <v>20568</v>
      </c>
      <c r="N151" s="52" t="n">
        <f aca="false">IF(F151=0,0,M151/F151)</f>
        <v>0.0384242471795504</v>
      </c>
      <c r="O151" s="51" t="n">
        <f aca="false">G151-I151</f>
        <v>237259</v>
      </c>
      <c r="P151" s="51" t="n">
        <f aca="false">F151-H151</f>
        <v>227765</v>
      </c>
      <c r="Q151" s="51" t="n">
        <f aca="false">F151-H151-J151</f>
        <v>140246</v>
      </c>
      <c r="R151" s="51" t="n">
        <f aca="false">G151-I151-K151</f>
        <v>144158</v>
      </c>
      <c r="S151" s="51" t="n">
        <f aca="false">R151-Q151</f>
        <v>3912</v>
      </c>
      <c r="T151" s="52" t="n">
        <f aca="false">IF(Q151=0,0,S151/Q151)</f>
        <v>0.0278938436746859</v>
      </c>
      <c r="U151" s="51" t="str">
        <f aca="false">IF(AND(Q151&gt;0,T151&lt;-0.15),"ADVERSE","")</f>
        <v/>
      </c>
    </row>
    <row r="152" customFormat="false" ht="15" hidden="false" customHeight="false" outlineLevel="0" collapsed="false">
      <c r="A152" s="47" t="s">
        <v>134</v>
      </c>
      <c r="B152" s="47" t="s">
        <v>135</v>
      </c>
      <c r="C152" s="48" t="n">
        <v>45078</v>
      </c>
      <c r="D152" s="47" t="s">
        <v>33</v>
      </c>
      <c r="E152" s="47" t="s">
        <v>44</v>
      </c>
      <c r="F152" s="49" t="n">
        <v>557105</v>
      </c>
      <c r="G152" s="49" t="n">
        <v>570940</v>
      </c>
      <c r="H152" s="49" t="n">
        <v>320057</v>
      </c>
      <c r="I152" s="49" t="n">
        <v>326826</v>
      </c>
      <c r="J152" s="49" t="n">
        <v>91087</v>
      </c>
      <c r="K152" s="49" t="n">
        <v>86056</v>
      </c>
      <c r="L152" s="50" t="n">
        <v>27.5</v>
      </c>
      <c r="M152" s="51" t="n">
        <f aca="false">G152-F152</f>
        <v>13835</v>
      </c>
      <c r="N152" s="52" t="n">
        <f aca="false">IF(F152=0,0,M152/F152)</f>
        <v>0.024833738702758</v>
      </c>
      <c r="O152" s="51" t="n">
        <f aca="false">G152-I152</f>
        <v>244114</v>
      </c>
      <c r="P152" s="51" t="n">
        <f aca="false">F152-H152</f>
        <v>237048</v>
      </c>
      <c r="Q152" s="51" t="n">
        <f aca="false">F152-H152-J152</f>
        <v>145961</v>
      </c>
      <c r="R152" s="51" t="n">
        <f aca="false">G152-I152-K152</f>
        <v>158058</v>
      </c>
      <c r="S152" s="51" t="n">
        <f aca="false">R152-Q152</f>
        <v>12097</v>
      </c>
      <c r="T152" s="52" t="n">
        <f aca="false">IF(Q152=0,0,S152/Q152)</f>
        <v>0.0828783031083646</v>
      </c>
      <c r="U152" s="51" t="str">
        <f aca="false">IF(AND(Q152&gt;0,T152&lt;-0.15),"ADVERSE","")</f>
        <v/>
      </c>
    </row>
    <row r="153" customFormat="false" ht="15" hidden="false" customHeight="false" outlineLevel="0" collapsed="false">
      <c r="A153" s="47" t="s">
        <v>134</v>
      </c>
      <c r="B153" s="47" t="s">
        <v>136</v>
      </c>
      <c r="C153" s="48" t="n">
        <v>45108</v>
      </c>
      <c r="D153" s="47" t="s">
        <v>33</v>
      </c>
      <c r="E153" s="47" t="s">
        <v>44</v>
      </c>
      <c r="F153" s="49" t="n">
        <v>567727</v>
      </c>
      <c r="G153" s="49" t="n">
        <v>595166</v>
      </c>
      <c r="H153" s="49" t="n">
        <v>326159</v>
      </c>
      <c r="I153" s="49" t="n">
        <v>343952</v>
      </c>
      <c r="J153" s="49" t="n">
        <v>92823</v>
      </c>
      <c r="K153" s="49" t="n">
        <v>103300</v>
      </c>
      <c r="L153" s="50" t="n">
        <v>27.5</v>
      </c>
      <c r="M153" s="51" t="n">
        <f aca="false">G153-F153</f>
        <v>27439</v>
      </c>
      <c r="N153" s="52" t="n">
        <f aca="false">IF(F153=0,0,M153/F153)</f>
        <v>0.0483313282616469</v>
      </c>
      <c r="O153" s="51" t="n">
        <f aca="false">G153-I153</f>
        <v>251214</v>
      </c>
      <c r="P153" s="51" t="n">
        <f aca="false">F153-H153</f>
        <v>241568</v>
      </c>
      <c r="Q153" s="51" t="n">
        <f aca="false">F153-H153-J153</f>
        <v>148745</v>
      </c>
      <c r="R153" s="51" t="n">
        <f aca="false">G153-I153-K153</f>
        <v>147914</v>
      </c>
      <c r="S153" s="51" t="n">
        <f aca="false">R153-Q153</f>
        <v>-831</v>
      </c>
      <c r="T153" s="52" t="n">
        <f aca="false">IF(Q153=0,0,S153/Q153)</f>
        <v>-0.00558674241150963</v>
      </c>
      <c r="U153" s="51" t="str">
        <f aca="false">IF(AND(Q153&gt;0,T153&lt;-0.15),"ADVERSE","")</f>
        <v/>
      </c>
    </row>
    <row r="154" customFormat="false" ht="15" hidden="false" customHeight="false" outlineLevel="0" collapsed="false">
      <c r="A154" s="47" t="s">
        <v>134</v>
      </c>
      <c r="B154" s="47" t="s">
        <v>136</v>
      </c>
      <c r="C154" s="48" t="n">
        <v>45139</v>
      </c>
      <c r="D154" s="47" t="s">
        <v>33</v>
      </c>
      <c r="E154" s="47" t="s">
        <v>44</v>
      </c>
      <c r="F154" s="49" t="n">
        <v>545270</v>
      </c>
      <c r="G154" s="49" t="n">
        <v>585975</v>
      </c>
      <c r="H154" s="49" t="n">
        <v>313258</v>
      </c>
      <c r="I154" s="49" t="n">
        <v>340104</v>
      </c>
      <c r="J154" s="49" t="n">
        <v>89152</v>
      </c>
      <c r="K154" s="49" t="n">
        <v>86629</v>
      </c>
      <c r="L154" s="50" t="n">
        <v>28.4</v>
      </c>
      <c r="M154" s="51" t="n">
        <f aca="false">G154-F154</f>
        <v>40705</v>
      </c>
      <c r="N154" s="52" t="n">
        <f aca="false">IF(F154=0,0,M154/F154)</f>
        <v>0.0746510902855466</v>
      </c>
      <c r="O154" s="51" t="n">
        <f aca="false">G154-I154</f>
        <v>245871</v>
      </c>
      <c r="P154" s="51" t="n">
        <f aca="false">F154-H154</f>
        <v>232012</v>
      </c>
      <c r="Q154" s="51" t="n">
        <f aca="false">F154-H154-J154</f>
        <v>142860</v>
      </c>
      <c r="R154" s="51" t="n">
        <f aca="false">G154-I154-K154</f>
        <v>159242</v>
      </c>
      <c r="S154" s="51" t="n">
        <f aca="false">R154-Q154</f>
        <v>16382</v>
      </c>
      <c r="T154" s="52" t="n">
        <f aca="false">IF(Q154=0,0,S154/Q154)</f>
        <v>0.114671706565869</v>
      </c>
      <c r="U154" s="51" t="str">
        <f aca="false">IF(AND(Q154&gt;0,T154&lt;-0.15),"ADVERSE","")</f>
        <v/>
      </c>
    </row>
    <row r="155" customFormat="false" ht="15" hidden="false" customHeight="false" outlineLevel="0" collapsed="false">
      <c r="A155" s="47" t="s">
        <v>134</v>
      </c>
      <c r="B155" s="47" t="s">
        <v>136</v>
      </c>
      <c r="C155" s="48" t="n">
        <v>45170</v>
      </c>
      <c r="D155" s="47" t="s">
        <v>33</v>
      </c>
      <c r="E155" s="47" t="s">
        <v>44</v>
      </c>
      <c r="F155" s="49" t="n">
        <v>570771</v>
      </c>
      <c r="G155" s="49" t="n">
        <v>581141</v>
      </c>
      <c r="H155" s="49" t="n">
        <v>327908</v>
      </c>
      <c r="I155" s="49" t="n">
        <v>335031</v>
      </c>
      <c r="J155" s="49" t="n">
        <v>93321</v>
      </c>
      <c r="K155" s="49" t="n">
        <v>92495</v>
      </c>
      <c r="L155" s="50" t="n">
        <v>27.9</v>
      </c>
      <c r="M155" s="51" t="n">
        <f aca="false">G155-F155</f>
        <v>10370</v>
      </c>
      <c r="N155" s="52" t="n">
        <f aca="false">IF(F155=0,0,M155/F155)</f>
        <v>0.0181684072946944</v>
      </c>
      <c r="O155" s="51" t="n">
        <f aca="false">G155-I155</f>
        <v>246110</v>
      </c>
      <c r="P155" s="51" t="n">
        <f aca="false">F155-H155</f>
        <v>242863</v>
      </c>
      <c r="Q155" s="51" t="n">
        <f aca="false">F155-H155-J155</f>
        <v>149542</v>
      </c>
      <c r="R155" s="51" t="n">
        <f aca="false">G155-I155-K155</f>
        <v>153615</v>
      </c>
      <c r="S155" s="51" t="n">
        <f aca="false">R155-Q155</f>
        <v>4073</v>
      </c>
      <c r="T155" s="52" t="n">
        <f aca="false">IF(Q155=0,0,S155/Q155)</f>
        <v>0.0272364954327212</v>
      </c>
      <c r="U155" s="51" t="str">
        <f aca="false">IF(AND(Q155&gt;0,T155&lt;-0.15),"ADVERSE","")</f>
        <v/>
      </c>
    </row>
    <row r="156" customFormat="false" ht="15" hidden="false" customHeight="false" outlineLevel="0" collapsed="false">
      <c r="A156" s="47" t="s">
        <v>134</v>
      </c>
      <c r="B156" s="47" t="s">
        <v>137</v>
      </c>
      <c r="C156" s="48" t="n">
        <v>45200</v>
      </c>
      <c r="D156" s="47" t="s">
        <v>33</v>
      </c>
      <c r="E156" s="47" t="s">
        <v>44</v>
      </c>
      <c r="F156" s="49" t="n">
        <v>583715</v>
      </c>
      <c r="G156" s="49" t="n">
        <v>606503</v>
      </c>
      <c r="H156" s="49" t="n">
        <v>335344</v>
      </c>
      <c r="I156" s="49" t="n">
        <v>345663</v>
      </c>
      <c r="J156" s="49" t="n">
        <v>95437</v>
      </c>
      <c r="K156" s="49" t="n">
        <v>96187</v>
      </c>
      <c r="L156" s="50" t="n">
        <v>29</v>
      </c>
      <c r="M156" s="51" t="n">
        <f aca="false">G156-F156</f>
        <v>22788</v>
      </c>
      <c r="N156" s="52" t="n">
        <f aca="false">IF(F156=0,0,M156/F156)</f>
        <v>0.0390395998046992</v>
      </c>
      <c r="O156" s="51" t="n">
        <f aca="false">G156-I156</f>
        <v>260840</v>
      </c>
      <c r="P156" s="51" t="n">
        <f aca="false">F156-H156</f>
        <v>248371</v>
      </c>
      <c r="Q156" s="51" t="n">
        <f aca="false">F156-H156-J156</f>
        <v>152934</v>
      </c>
      <c r="R156" s="51" t="n">
        <f aca="false">G156-I156-K156</f>
        <v>164653</v>
      </c>
      <c r="S156" s="51" t="n">
        <f aca="false">R156-Q156</f>
        <v>11719</v>
      </c>
      <c r="T156" s="52" t="n">
        <f aca="false">IF(Q156=0,0,S156/Q156)</f>
        <v>0.0766278263826226</v>
      </c>
      <c r="U156" s="51" t="str">
        <f aca="false">IF(AND(Q156&gt;0,T156&lt;-0.15),"ADVERSE","")</f>
        <v/>
      </c>
    </row>
    <row r="157" customFormat="false" ht="15" hidden="false" customHeight="false" outlineLevel="0" collapsed="false">
      <c r="A157" s="47" t="s">
        <v>134</v>
      </c>
      <c r="B157" s="47" t="s">
        <v>137</v>
      </c>
      <c r="C157" s="48" t="n">
        <v>45231</v>
      </c>
      <c r="D157" s="47" t="s">
        <v>33</v>
      </c>
      <c r="E157" s="47" t="s">
        <v>44</v>
      </c>
      <c r="F157" s="49" t="n">
        <v>580910</v>
      </c>
      <c r="G157" s="49" t="n">
        <v>591493</v>
      </c>
      <c r="H157" s="49" t="n">
        <v>333733</v>
      </c>
      <c r="I157" s="49" t="n">
        <v>337585</v>
      </c>
      <c r="J157" s="49" t="n">
        <v>94979</v>
      </c>
      <c r="K157" s="49" t="n">
        <v>102559</v>
      </c>
      <c r="L157" s="50" t="n">
        <v>29</v>
      </c>
      <c r="M157" s="51" t="n">
        <f aca="false">G157-F157</f>
        <v>10583</v>
      </c>
      <c r="N157" s="52" t="n">
        <f aca="false">IF(F157=0,0,M157/F157)</f>
        <v>0.0182179683599869</v>
      </c>
      <c r="O157" s="51" t="n">
        <f aca="false">G157-I157</f>
        <v>253908</v>
      </c>
      <c r="P157" s="51" t="n">
        <f aca="false">F157-H157</f>
        <v>247177</v>
      </c>
      <c r="Q157" s="51" t="n">
        <f aca="false">F157-H157-J157</f>
        <v>152198</v>
      </c>
      <c r="R157" s="51" t="n">
        <f aca="false">G157-I157-K157</f>
        <v>151349</v>
      </c>
      <c r="S157" s="51" t="n">
        <f aca="false">R157-Q157</f>
        <v>-849</v>
      </c>
      <c r="T157" s="52" t="n">
        <f aca="false">IF(Q157=0,0,S157/Q157)</f>
        <v>-0.00557825989829039</v>
      </c>
      <c r="U157" s="51" t="str">
        <f aca="false">IF(AND(Q157&gt;0,T157&lt;-0.15),"ADVERSE","")</f>
        <v/>
      </c>
    </row>
    <row r="158" customFormat="false" ht="15" hidden="false" customHeight="false" outlineLevel="0" collapsed="false">
      <c r="A158" s="47" t="s">
        <v>134</v>
      </c>
      <c r="B158" s="47" t="s">
        <v>137</v>
      </c>
      <c r="C158" s="48" t="n">
        <v>45261</v>
      </c>
      <c r="D158" s="47" t="s">
        <v>33</v>
      </c>
      <c r="E158" s="47" t="s">
        <v>44</v>
      </c>
      <c r="F158" s="49" t="n">
        <v>574448</v>
      </c>
      <c r="G158" s="49" t="n">
        <v>567934</v>
      </c>
      <c r="H158" s="49" t="n">
        <v>330020</v>
      </c>
      <c r="I158" s="49" t="n">
        <v>322373</v>
      </c>
      <c r="J158" s="49" t="n">
        <v>93922</v>
      </c>
      <c r="K158" s="49" t="n">
        <v>100028</v>
      </c>
      <c r="L158" s="50" t="n">
        <v>28.9</v>
      </c>
      <c r="M158" s="51" t="n">
        <f aca="false">G158-F158</f>
        <v>-6514</v>
      </c>
      <c r="N158" s="52" t="n">
        <f aca="false">IF(F158=0,0,M158/F158)</f>
        <v>-0.0113395816505584</v>
      </c>
      <c r="O158" s="51" t="n">
        <f aca="false">G158-I158</f>
        <v>245561</v>
      </c>
      <c r="P158" s="51" t="n">
        <f aca="false">F158-H158</f>
        <v>244428</v>
      </c>
      <c r="Q158" s="51" t="n">
        <f aca="false">F158-H158-J158</f>
        <v>150506</v>
      </c>
      <c r="R158" s="51" t="n">
        <f aca="false">G158-I158-K158</f>
        <v>145533</v>
      </c>
      <c r="S158" s="51" t="n">
        <f aca="false">R158-Q158</f>
        <v>-4973</v>
      </c>
      <c r="T158" s="52" t="n">
        <f aca="false">IF(Q158=0,0,S158/Q158)</f>
        <v>-0.0330418720848338</v>
      </c>
      <c r="U158" s="51" t="str">
        <f aca="false">IF(AND(Q158&gt;0,T158&lt;-0.15),"ADVERSE","")</f>
        <v/>
      </c>
    </row>
    <row r="159" customFormat="false" ht="15" hidden="false" customHeight="false" outlineLevel="0" collapsed="false">
      <c r="A159" s="47" t="s">
        <v>134</v>
      </c>
      <c r="B159" s="47" t="s">
        <v>138</v>
      </c>
      <c r="C159" s="48" t="n">
        <v>45292</v>
      </c>
      <c r="D159" s="47" t="s">
        <v>33</v>
      </c>
      <c r="E159" s="47" t="s">
        <v>44</v>
      </c>
      <c r="F159" s="49" t="n">
        <v>560613</v>
      </c>
      <c r="G159" s="49" t="n">
        <v>569799</v>
      </c>
      <c r="H159" s="49" t="n">
        <v>322072</v>
      </c>
      <c r="I159" s="49" t="n">
        <v>330115</v>
      </c>
      <c r="J159" s="49" t="n">
        <v>91660</v>
      </c>
      <c r="K159" s="49" t="n">
        <v>93176</v>
      </c>
      <c r="L159" s="50" t="n">
        <v>29.5</v>
      </c>
      <c r="M159" s="51" t="n">
        <f aca="false">G159-F159</f>
        <v>9186</v>
      </c>
      <c r="N159" s="52" t="n">
        <f aca="false">IF(F159=0,0,M159/F159)</f>
        <v>0.0163856350102477</v>
      </c>
      <c r="O159" s="51" t="n">
        <f aca="false">G159-I159</f>
        <v>239684</v>
      </c>
      <c r="P159" s="51" t="n">
        <f aca="false">F159-H159</f>
        <v>238541</v>
      </c>
      <c r="Q159" s="51" t="n">
        <f aca="false">F159-H159-J159</f>
        <v>146881</v>
      </c>
      <c r="R159" s="51" t="n">
        <f aca="false">G159-I159-K159</f>
        <v>146508</v>
      </c>
      <c r="S159" s="51" t="n">
        <f aca="false">R159-Q159</f>
        <v>-373</v>
      </c>
      <c r="T159" s="52" t="n">
        <f aca="false">IF(Q159=0,0,S159/Q159)</f>
        <v>-0.0025394707280043</v>
      </c>
      <c r="U159" s="51" t="str">
        <f aca="false">IF(AND(Q159&gt;0,T159&lt;-0.15),"ADVERSE","")</f>
        <v/>
      </c>
    </row>
    <row r="160" customFormat="false" ht="15" hidden="false" customHeight="false" outlineLevel="0" collapsed="false">
      <c r="A160" s="47" t="s">
        <v>134</v>
      </c>
      <c r="B160" s="47" t="s">
        <v>138</v>
      </c>
      <c r="C160" s="48" t="n">
        <v>45323</v>
      </c>
      <c r="D160" s="47" t="s">
        <v>33</v>
      </c>
      <c r="E160" s="47" t="s">
        <v>44</v>
      </c>
      <c r="F160" s="49" t="n">
        <v>566197</v>
      </c>
      <c r="G160" s="49" t="n">
        <v>566583</v>
      </c>
      <c r="H160" s="49" t="n">
        <v>325280</v>
      </c>
      <c r="I160" s="49" t="n">
        <v>332179</v>
      </c>
      <c r="J160" s="49" t="n">
        <v>92573</v>
      </c>
      <c r="K160" s="49" t="n">
        <v>92039</v>
      </c>
      <c r="L160" s="50" t="n">
        <v>29.6</v>
      </c>
      <c r="M160" s="51" t="n">
        <f aca="false">G160-F160</f>
        <v>386</v>
      </c>
      <c r="N160" s="52" t="n">
        <f aca="false">IF(F160=0,0,M160/F160)</f>
        <v>0.000681741513996012</v>
      </c>
      <c r="O160" s="51" t="n">
        <f aca="false">G160-I160</f>
        <v>234404</v>
      </c>
      <c r="P160" s="51" t="n">
        <f aca="false">F160-H160</f>
        <v>240917</v>
      </c>
      <c r="Q160" s="51" t="n">
        <f aca="false">F160-H160-J160</f>
        <v>148344</v>
      </c>
      <c r="R160" s="51" t="n">
        <f aca="false">G160-I160-K160</f>
        <v>142365</v>
      </c>
      <c r="S160" s="51" t="n">
        <f aca="false">R160-Q160</f>
        <v>-5979</v>
      </c>
      <c r="T160" s="52" t="n">
        <f aca="false">IF(Q160=0,0,S160/Q160)</f>
        <v>-0.0403049668338457</v>
      </c>
      <c r="U160" s="51" t="str">
        <f aca="false">IF(AND(Q160&gt;0,T160&lt;-0.15),"ADVERSE","")</f>
        <v/>
      </c>
    </row>
    <row r="161" customFormat="false" ht="15" hidden="false" customHeight="false" outlineLevel="0" collapsed="false">
      <c r="A161" s="47" t="s">
        <v>134</v>
      </c>
      <c r="B161" s="47" t="s">
        <v>138</v>
      </c>
      <c r="C161" s="48" t="n">
        <v>45352</v>
      </c>
      <c r="D161" s="47" t="s">
        <v>33</v>
      </c>
      <c r="E161" s="47" t="s">
        <v>44</v>
      </c>
      <c r="F161" s="49" t="n">
        <v>616994</v>
      </c>
      <c r="G161" s="49" t="n">
        <v>657577</v>
      </c>
      <c r="H161" s="49" t="n">
        <v>354463</v>
      </c>
      <c r="I161" s="49" t="n">
        <v>374900</v>
      </c>
      <c r="J161" s="49" t="n">
        <v>100879</v>
      </c>
      <c r="K161" s="49" t="n">
        <v>108695</v>
      </c>
      <c r="L161" s="50" t="n">
        <v>29.1</v>
      </c>
      <c r="M161" s="51" t="n">
        <f aca="false">G161-F161</f>
        <v>40583</v>
      </c>
      <c r="N161" s="52" t="n">
        <f aca="false">IF(F161=0,0,M161/F161)</f>
        <v>0.0657753560002204</v>
      </c>
      <c r="O161" s="51" t="n">
        <f aca="false">G161-I161</f>
        <v>282677</v>
      </c>
      <c r="P161" s="51" t="n">
        <f aca="false">F161-H161</f>
        <v>262531</v>
      </c>
      <c r="Q161" s="51" t="n">
        <f aca="false">F161-H161-J161</f>
        <v>161652</v>
      </c>
      <c r="R161" s="51" t="n">
        <f aca="false">G161-I161-K161</f>
        <v>173982</v>
      </c>
      <c r="S161" s="51" t="n">
        <f aca="false">R161-Q161</f>
        <v>12330</v>
      </c>
      <c r="T161" s="52" t="n">
        <f aca="false">IF(Q161=0,0,S161/Q161)</f>
        <v>0.0762749610273922</v>
      </c>
      <c r="U161" s="51" t="str">
        <f aca="false">IF(AND(Q161&gt;0,T161&lt;-0.15),"ADVERSE","")</f>
        <v/>
      </c>
    </row>
    <row r="162" customFormat="false" ht="15" hidden="false" customHeight="false" outlineLevel="0" collapsed="false">
      <c r="A162" s="47" t="s">
        <v>139</v>
      </c>
      <c r="B162" s="47" t="s">
        <v>135</v>
      </c>
      <c r="C162" s="48" t="n">
        <v>45383</v>
      </c>
      <c r="D162" s="47" t="s">
        <v>33</v>
      </c>
      <c r="E162" s="47" t="s">
        <v>44</v>
      </c>
      <c r="F162" s="49" t="n">
        <v>597508</v>
      </c>
      <c r="G162" s="49" t="n">
        <v>612586</v>
      </c>
      <c r="H162" s="49" t="n">
        <v>343268</v>
      </c>
      <c r="I162" s="49" t="n">
        <v>351821</v>
      </c>
      <c r="J162" s="49" t="n">
        <v>97693</v>
      </c>
      <c r="K162" s="49" t="n">
        <v>104758</v>
      </c>
      <c r="L162" s="50" t="n">
        <v>30</v>
      </c>
      <c r="M162" s="51" t="n">
        <f aca="false">G162-F162</f>
        <v>15078</v>
      </c>
      <c r="N162" s="52" t="n">
        <f aca="false">IF(F162=0,0,M162/F162)</f>
        <v>0.0252348085716007</v>
      </c>
      <c r="O162" s="51" t="n">
        <f aca="false">G162-I162</f>
        <v>260765</v>
      </c>
      <c r="P162" s="51" t="n">
        <f aca="false">F162-H162</f>
        <v>254240</v>
      </c>
      <c r="Q162" s="51" t="n">
        <f aca="false">F162-H162-J162</f>
        <v>156547</v>
      </c>
      <c r="R162" s="51" t="n">
        <f aca="false">G162-I162-K162</f>
        <v>156007</v>
      </c>
      <c r="S162" s="51" t="n">
        <f aca="false">R162-Q162</f>
        <v>-540</v>
      </c>
      <c r="T162" s="52" t="n">
        <f aca="false">IF(Q162=0,0,S162/Q162)</f>
        <v>-0.00344944329817882</v>
      </c>
      <c r="U162" s="51" t="str">
        <f aca="false">IF(AND(Q162&gt;0,T162&lt;-0.15),"ADVERSE","")</f>
        <v/>
      </c>
    </row>
    <row r="163" customFormat="false" ht="15" hidden="false" customHeight="false" outlineLevel="0" collapsed="false">
      <c r="A163" s="47" t="s">
        <v>139</v>
      </c>
      <c r="B163" s="47" t="s">
        <v>135</v>
      </c>
      <c r="C163" s="48" t="n">
        <v>45413</v>
      </c>
      <c r="D163" s="47" t="s">
        <v>33</v>
      </c>
      <c r="E163" s="47" t="s">
        <v>44</v>
      </c>
      <c r="F163" s="49" t="n">
        <v>598985</v>
      </c>
      <c r="G163" s="49" t="n">
        <v>587710</v>
      </c>
      <c r="H163" s="49" t="n">
        <v>344117</v>
      </c>
      <c r="I163" s="49" t="n">
        <v>337337</v>
      </c>
      <c r="J163" s="49" t="n">
        <v>97934</v>
      </c>
      <c r="K163" s="49" t="n">
        <v>92212</v>
      </c>
      <c r="L163" s="50" t="n">
        <v>30</v>
      </c>
      <c r="M163" s="51" t="n">
        <f aca="false">G163-F163</f>
        <v>-11275</v>
      </c>
      <c r="N163" s="52" t="n">
        <f aca="false">IF(F163=0,0,M163/F163)</f>
        <v>-0.0188235097706954</v>
      </c>
      <c r="O163" s="51" t="n">
        <f aca="false">G163-I163</f>
        <v>250373</v>
      </c>
      <c r="P163" s="51" t="n">
        <f aca="false">F163-H163</f>
        <v>254868</v>
      </c>
      <c r="Q163" s="51" t="n">
        <f aca="false">F163-H163-J163</f>
        <v>156934</v>
      </c>
      <c r="R163" s="51" t="n">
        <f aca="false">G163-I163-K163</f>
        <v>158161</v>
      </c>
      <c r="S163" s="51" t="n">
        <f aca="false">R163-Q163</f>
        <v>1227</v>
      </c>
      <c r="T163" s="52" t="n">
        <f aca="false">IF(Q163=0,0,S163/Q163)</f>
        <v>0.00781857341302713</v>
      </c>
      <c r="U163" s="51" t="str">
        <f aca="false">IF(AND(Q163&gt;0,T163&lt;-0.15),"ADVERSE","")</f>
        <v/>
      </c>
    </row>
    <row r="164" customFormat="false" ht="15" hidden="false" customHeight="false" outlineLevel="0" collapsed="false">
      <c r="A164" s="47" t="s">
        <v>139</v>
      </c>
      <c r="B164" s="47" t="s">
        <v>135</v>
      </c>
      <c r="C164" s="48" t="n">
        <v>45444</v>
      </c>
      <c r="D164" s="47" t="s">
        <v>33</v>
      </c>
      <c r="E164" s="47" t="s">
        <v>44</v>
      </c>
      <c r="F164" s="49" t="n">
        <v>621077</v>
      </c>
      <c r="G164" s="49" t="n">
        <v>633354</v>
      </c>
      <c r="H164" s="49" t="n">
        <v>356809</v>
      </c>
      <c r="I164" s="49" t="n">
        <v>363620</v>
      </c>
      <c r="J164" s="49" t="n">
        <v>101546</v>
      </c>
      <c r="K164" s="49" t="n">
        <v>107811</v>
      </c>
      <c r="L164" s="50" t="n">
        <v>30.1</v>
      </c>
      <c r="M164" s="51" t="n">
        <f aca="false">G164-F164</f>
        <v>12277</v>
      </c>
      <c r="N164" s="52" t="n">
        <f aca="false">IF(F164=0,0,M164/F164)</f>
        <v>0.0197672752331836</v>
      </c>
      <c r="O164" s="51" t="n">
        <f aca="false">G164-I164</f>
        <v>269734</v>
      </c>
      <c r="P164" s="51" t="n">
        <f aca="false">F164-H164</f>
        <v>264268</v>
      </c>
      <c r="Q164" s="51" t="n">
        <f aca="false">F164-H164-J164</f>
        <v>162722</v>
      </c>
      <c r="R164" s="51" t="n">
        <f aca="false">G164-I164-K164</f>
        <v>161923</v>
      </c>
      <c r="S164" s="51" t="n">
        <f aca="false">R164-Q164</f>
        <v>-799</v>
      </c>
      <c r="T164" s="52" t="n">
        <f aca="false">IF(Q164=0,0,S164/Q164)</f>
        <v>-0.00491021496785929</v>
      </c>
      <c r="U164" s="51" t="str">
        <f aca="false">IF(AND(Q164&gt;0,T164&lt;-0.15),"ADVERSE","")</f>
        <v/>
      </c>
    </row>
    <row r="165" customFormat="false" ht="15" hidden="false" customHeight="false" outlineLevel="0" collapsed="false">
      <c r="A165" s="47" t="s">
        <v>139</v>
      </c>
      <c r="B165" s="47" t="s">
        <v>136</v>
      </c>
      <c r="C165" s="48" t="n">
        <v>45474</v>
      </c>
      <c r="D165" s="47" t="s">
        <v>33</v>
      </c>
      <c r="E165" s="47" t="s">
        <v>44</v>
      </c>
      <c r="F165" s="49" t="n">
        <v>628353</v>
      </c>
      <c r="G165" s="49" t="n">
        <v>657398</v>
      </c>
      <c r="H165" s="49" t="n">
        <v>360989</v>
      </c>
      <c r="I165" s="49" t="n">
        <v>379841</v>
      </c>
      <c r="J165" s="49" t="n">
        <v>102736</v>
      </c>
      <c r="K165" s="49" t="n">
        <v>106937</v>
      </c>
      <c r="L165" s="50" t="n">
        <v>29.7</v>
      </c>
      <c r="M165" s="51" t="n">
        <f aca="false">G165-F165</f>
        <v>29045</v>
      </c>
      <c r="N165" s="52" t="n">
        <f aca="false">IF(F165=0,0,M165/F165)</f>
        <v>0.0462240173914981</v>
      </c>
      <c r="O165" s="51" t="n">
        <f aca="false">G165-I165</f>
        <v>277557</v>
      </c>
      <c r="P165" s="51" t="n">
        <f aca="false">F165-H165</f>
        <v>267364</v>
      </c>
      <c r="Q165" s="51" t="n">
        <f aca="false">F165-H165-J165</f>
        <v>164628</v>
      </c>
      <c r="R165" s="51" t="n">
        <f aca="false">G165-I165-K165</f>
        <v>170620</v>
      </c>
      <c r="S165" s="51" t="n">
        <f aca="false">R165-Q165</f>
        <v>5992</v>
      </c>
      <c r="T165" s="52" t="n">
        <f aca="false">IF(Q165=0,0,S165/Q165)</f>
        <v>0.0363972106810506</v>
      </c>
      <c r="U165" s="51" t="str">
        <f aca="false">IF(AND(Q165&gt;0,T165&lt;-0.15),"ADVERSE","")</f>
        <v/>
      </c>
    </row>
    <row r="166" customFormat="false" ht="15" hidden="false" customHeight="false" outlineLevel="0" collapsed="false">
      <c r="A166" s="47" t="s">
        <v>139</v>
      </c>
      <c r="B166" s="47" t="s">
        <v>136</v>
      </c>
      <c r="C166" s="48" t="n">
        <v>45505</v>
      </c>
      <c r="D166" s="47" t="s">
        <v>33</v>
      </c>
      <c r="E166" s="47" t="s">
        <v>44</v>
      </c>
      <c r="F166" s="49" t="n">
        <v>610350</v>
      </c>
      <c r="G166" s="49" t="n">
        <v>632349</v>
      </c>
      <c r="H166" s="49" t="n">
        <v>350646</v>
      </c>
      <c r="I166" s="49" t="n">
        <v>362823</v>
      </c>
      <c r="J166" s="49" t="n">
        <v>99792</v>
      </c>
      <c r="K166" s="49" t="n">
        <v>106626</v>
      </c>
      <c r="L166" s="50" t="n">
        <v>30.3</v>
      </c>
      <c r="M166" s="51" t="n">
        <f aca="false">G166-F166</f>
        <v>21999</v>
      </c>
      <c r="N166" s="52" t="n">
        <f aca="false">IF(F166=0,0,M166/F166)</f>
        <v>0.0360432538707299</v>
      </c>
      <c r="O166" s="51" t="n">
        <f aca="false">G166-I166</f>
        <v>269526</v>
      </c>
      <c r="P166" s="51" t="n">
        <f aca="false">F166-H166</f>
        <v>259704</v>
      </c>
      <c r="Q166" s="51" t="n">
        <f aca="false">F166-H166-J166</f>
        <v>159912</v>
      </c>
      <c r="R166" s="51" t="n">
        <f aca="false">G166-I166-K166</f>
        <v>162900</v>
      </c>
      <c r="S166" s="51" t="n">
        <f aca="false">R166-Q166</f>
        <v>2988</v>
      </c>
      <c r="T166" s="52" t="n">
        <f aca="false">IF(Q166=0,0,S166/Q166)</f>
        <v>0.0186852769022963</v>
      </c>
      <c r="U166" s="51" t="str">
        <f aca="false">IF(AND(Q166&gt;0,T166&lt;-0.15),"ADVERSE","")</f>
        <v/>
      </c>
    </row>
    <row r="167" customFormat="false" ht="15" hidden="false" customHeight="false" outlineLevel="0" collapsed="false">
      <c r="A167" s="47" t="s">
        <v>139</v>
      </c>
      <c r="B167" s="47" t="s">
        <v>136</v>
      </c>
      <c r="C167" s="48" t="n">
        <v>45536</v>
      </c>
      <c r="D167" s="47" t="s">
        <v>33</v>
      </c>
      <c r="E167" s="47" t="s">
        <v>44</v>
      </c>
      <c r="F167" s="49" t="n">
        <v>623842</v>
      </c>
      <c r="G167" s="49" t="n">
        <v>611733</v>
      </c>
      <c r="H167" s="49" t="n">
        <v>358397</v>
      </c>
      <c r="I167" s="49" t="n">
        <v>355233</v>
      </c>
      <c r="J167" s="49" t="n">
        <v>101998</v>
      </c>
      <c r="K167" s="49" t="n">
        <v>102867</v>
      </c>
      <c r="L167" s="50" t="n">
        <v>30.1</v>
      </c>
      <c r="M167" s="51" t="n">
        <f aca="false">G167-F167</f>
        <v>-12109</v>
      </c>
      <c r="N167" s="52" t="n">
        <f aca="false">IF(F167=0,0,M167/F167)</f>
        <v>-0.0194103635215327</v>
      </c>
      <c r="O167" s="51" t="n">
        <f aca="false">G167-I167</f>
        <v>256500</v>
      </c>
      <c r="P167" s="51" t="n">
        <f aca="false">F167-H167</f>
        <v>265445</v>
      </c>
      <c r="Q167" s="51" t="n">
        <f aca="false">F167-H167-J167</f>
        <v>163447</v>
      </c>
      <c r="R167" s="51" t="n">
        <f aca="false">G167-I167-K167</f>
        <v>153633</v>
      </c>
      <c r="S167" s="51" t="n">
        <f aca="false">R167-Q167</f>
        <v>-9814</v>
      </c>
      <c r="T167" s="52" t="n">
        <f aca="false">IF(Q167=0,0,S167/Q167)</f>
        <v>-0.0600439286129449</v>
      </c>
      <c r="U167" s="51" t="str">
        <f aca="false">IF(AND(Q167&gt;0,T167&lt;-0.15),"ADVERSE","")</f>
        <v/>
      </c>
    </row>
    <row r="168" customFormat="false" ht="15" hidden="false" customHeight="false" outlineLevel="0" collapsed="false">
      <c r="A168" s="47" t="s">
        <v>139</v>
      </c>
      <c r="B168" s="47" t="s">
        <v>137</v>
      </c>
      <c r="C168" s="48" t="n">
        <v>45566</v>
      </c>
      <c r="D168" s="47" t="s">
        <v>33</v>
      </c>
      <c r="E168" s="47" t="s">
        <v>44</v>
      </c>
      <c r="F168" s="49" t="n">
        <v>651749</v>
      </c>
      <c r="G168" s="49" t="n">
        <v>679118</v>
      </c>
      <c r="H168" s="49" t="n">
        <v>374430</v>
      </c>
      <c r="I168" s="49" t="n">
        <v>380000</v>
      </c>
      <c r="J168" s="49" t="n">
        <v>106561</v>
      </c>
      <c r="K168" s="49" t="n">
        <v>108811</v>
      </c>
      <c r="L168" s="50" t="n">
        <v>29.7</v>
      </c>
      <c r="M168" s="51" t="n">
        <f aca="false">G168-F168</f>
        <v>27369</v>
      </c>
      <c r="N168" s="52" t="n">
        <f aca="false">IF(F168=0,0,M168/F168)</f>
        <v>0.0419931599434752</v>
      </c>
      <c r="O168" s="51" t="n">
        <f aca="false">G168-I168</f>
        <v>299118</v>
      </c>
      <c r="P168" s="51" t="n">
        <f aca="false">F168-H168</f>
        <v>277319</v>
      </c>
      <c r="Q168" s="51" t="n">
        <f aca="false">F168-H168-J168</f>
        <v>170758</v>
      </c>
      <c r="R168" s="51" t="n">
        <f aca="false">G168-I168-K168</f>
        <v>190307</v>
      </c>
      <c r="S168" s="51" t="n">
        <f aca="false">R168-Q168</f>
        <v>19549</v>
      </c>
      <c r="T168" s="52" t="n">
        <f aca="false">IF(Q168=0,0,S168/Q168)</f>
        <v>0.11448365523138</v>
      </c>
      <c r="U168" s="51" t="str">
        <f aca="false">IF(AND(Q168&gt;0,T168&lt;-0.15),"ADVERSE","")</f>
        <v/>
      </c>
    </row>
    <row r="169" customFormat="false" ht="15" hidden="false" customHeight="false" outlineLevel="0" collapsed="false">
      <c r="A169" s="47" t="s">
        <v>139</v>
      </c>
      <c r="B169" s="47" t="s">
        <v>137</v>
      </c>
      <c r="C169" s="48" t="n">
        <v>45597</v>
      </c>
      <c r="D169" s="47" t="s">
        <v>33</v>
      </c>
      <c r="E169" s="47" t="s">
        <v>44</v>
      </c>
      <c r="F169" s="49" t="n">
        <v>654997</v>
      </c>
      <c r="G169" s="49" t="n">
        <v>676228</v>
      </c>
      <c r="H169" s="49" t="n">
        <v>376296</v>
      </c>
      <c r="I169" s="49" t="n">
        <v>389473</v>
      </c>
      <c r="J169" s="49" t="n">
        <v>107092</v>
      </c>
      <c r="K169" s="49" t="n">
        <v>102174</v>
      </c>
      <c r="L169" s="50" t="n">
        <v>29.9</v>
      </c>
      <c r="M169" s="51" t="n">
        <f aca="false">G169-F169</f>
        <v>21231</v>
      </c>
      <c r="N169" s="52" t="n">
        <f aca="false">IF(F169=0,0,M169/F169)</f>
        <v>0.0324138889185752</v>
      </c>
      <c r="O169" s="51" t="n">
        <f aca="false">G169-I169</f>
        <v>286755</v>
      </c>
      <c r="P169" s="51" t="n">
        <f aca="false">F169-H169</f>
        <v>278701</v>
      </c>
      <c r="Q169" s="51" t="n">
        <f aca="false">F169-H169-J169</f>
        <v>171609</v>
      </c>
      <c r="R169" s="51" t="n">
        <f aca="false">G169-I169-K169</f>
        <v>184581</v>
      </c>
      <c r="S169" s="51" t="n">
        <f aca="false">R169-Q169</f>
        <v>12972</v>
      </c>
      <c r="T169" s="52" t="n">
        <f aca="false">IF(Q169=0,0,S169/Q169)</f>
        <v>0.0755904410607835</v>
      </c>
      <c r="U169" s="51" t="str">
        <f aca="false">IF(AND(Q169&gt;0,T169&lt;-0.15),"ADVERSE","")</f>
        <v/>
      </c>
    </row>
    <row r="170" customFormat="false" ht="15" hidden="false" customHeight="false" outlineLevel="0" collapsed="false">
      <c r="A170" s="47" t="s">
        <v>139</v>
      </c>
      <c r="B170" s="47" t="s">
        <v>137</v>
      </c>
      <c r="C170" s="48" t="n">
        <v>45627</v>
      </c>
      <c r="D170" s="47" t="s">
        <v>33</v>
      </c>
      <c r="E170" s="47" t="s">
        <v>44</v>
      </c>
      <c r="F170" s="49" t="n">
        <v>633033</v>
      </c>
      <c r="G170" s="49" t="n">
        <v>638617</v>
      </c>
      <c r="H170" s="49" t="n">
        <v>363678</v>
      </c>
      <c r="I170" s="49" t="n">
        <v>372017</v>
      </c>
      <c r="J170" s="49" t="n">
        <v>103501</v>
      </c>
      <c r="K170" s="49" t="n">
        <v>104977</v>
      </c>
      <c r="L170" s="50" t="n">
        <v>30.7</v>
      </c>
      <c r="M170" s="51" t="n">
        <f aca="false">G170-F170</f>
        <v>5584</v>
      </c>
      <c r="N170" s="52" t="n">
        <f aca="false">IF(F170=0,0,M170/F170)</f>
        <v>0.00882102512823186</v>
      </c>
      <c r="O170" s="51" t="n">
        <f aca="false">G170-I170</f>
        <v>266600</v>
      </c>
      <c r="P170" s="51" t="n">
        <f aca="false">F170-H170</f>
        <v>269355</v>
      </c>
      <c r="Q170" s="51" t="n">
        <f aca="false">F170-H170-J170</f>
        <v>165854</v>
      </c>
      <c r="R170" s="51" t="n">
        <f aca="false">G170-I170-K170</f>
        <v>161623</v>
      </c>
      <c r="S170" s="51" t="n">
        <f aca="false">R170-Q170</f>
        <v>-4231</v>
      </c>
      <c r="T170" s="52" t="n">
        <f aca="false">IF(Q170=0,0,S170/Q170)</f>
        <v>-0.0255103886550822</v>
      </c>
      <c r="U170" s="51" t="str">
        <f aca="false">IF(AND(Q170&gt;0,T170&lt;-0.15),"ADVERSE","")</f>
        <v/>
      </c>
    </row>
    <row r="171" customFormat="false" ht="15" hidden="false" customHeight="false" outlineLevel="0" collapsed="false">
      <c r="A171" s="47" t="s">
        <v>139</v>
      </c>
      <c r="B171" s="47" t="s">
        <v>138</v>
      </c>
      <c r="C171" s="48" t="n">
        <v>45658</v>
      </c>
      <c r="D171" s="47" t="s">
        <v>33</v>
      </c>
      <c r="E171" s="47" t="s">
        <v>44</v>
      </c>
      <c r="F171" s="49" t="n">
        <v>624640</v>
      </c>
      <c r="G171" s="49" t="n">
        <v>625841</v>
      </c>
      <c r="H171" s="49" t="n">
        <v>358856</v>
      </c>
      <c r="I171" s="49" t="n">
        <v>354636</v>
      </c>
      <c r="J171" s="49" t="n">
        <v>102129</v>
      </c>
      <c r="K171" s="49" t="n">
        <v>96134</v>
      </c>
      <c r="L171" s="50" t="n">
        <v>30.9</v>
      </c>
      <c r="M171" s="51" t="n">
        <f aca="false">G171-F171</f>
        <v>1201</v>
      </c>
      <c r="N171" s="52" t="n">
        <f aca="false">IF(F171=0,0,M171/F171)</f>
        <v>0.0019227074795082</v>
      </c>
      <c r="O171" s="51" t="n">
        <f aca="false">G171-I171</f>
        <v>271205</v>
      </c>
      <c r="P171" s="51" t="n">
        <f aca="false">F171-H171</f>
        <v>265784</v>
      </c>
      <c r="Q171" s="51" t="n">
        <f aca="false">F171-H171-J171</f>
        <v>163655</v>
      </c>
      <c r="R171" s="51" t="n">
        <f aca="false">G171-I171-K171</f>
        <v>175071</v>
      </c>
      <c r="S171" s="51" t="n">
        <f aca="false">R171-Q171</f>
        <v>11416</v>
      </c>
      <c r="T171" s="52" t="n">
        <f aca="false">IF(Q171=0,0,S171/Q171)</f>
        <v>0.0697564999541719</v>
      </c>
      <c r="U171" s="51" t="str">
        <f aca="false">IF(AND(Q171&gt;0,T171&lt;-0.15),"ADVERSE","")</f>
        <v/>
      </c>
    </row>
    <row r="172" customFormat="false" ht="15" hidden="false" customHeight="false" outlineLevel="0" collapsed="false">
      <c r="A172" s="47" t="s">
        <v>139</v>
      </c>
      <c r="B172" s="47" t="s">
        <v>138</v>
      </c>
      <c r="C172" s="48" t="n">
        <v>45689</v>
      </c>
      <c r="D172" s="47" t="s">
        <v>33</v>
      </c>
      <c r="E172" s="47" t="s">
        <v>44</v>
      </c>
      <c r="F172" s="49" t="n">
        <v>641171</v>
      </c>
      <c r="G172" s="49" t="n">
        <v>647342</v>
      </c>
      <c r="H172" s="49" t="n">
        <v>368353</v>
      </c>
      <c r="I172" s="49" t="n">
        <v>370759</v>
      </c>
      <c r="J172" s="49" t="n">
        <v>104832</v>
      </c>
      <c r="K172" s="49" t="n">
        <v>103160</v>
      </c>
      <c r="L172" s="50" t="n">
        <v>31.2</v>
      </c>
      <c r="M172" s="51" t="n">
        <f aca="false">G172-F172</f>
        <v>6171</v>
      </c>
      <c r="N172" s="52" t="n">
        <f aca="false">IF(F172=0,0,M172/F172)</f>
        <v>0.00962457753079912</v>
      </c>
      <c r="O172" s="51" t="n">
        <f aca="false">G172-I172</f>
        <v>276583</v>
      </c>
      <c r="P172" s="51" t="n">
        <f aca="false">F172-H172</f>
        <v>272818</v>
      </c>
      <c r="Q172" s="51" t="n">
        <f aca="false">F172-H172-J172</f>
        <v>167986</v>
      </c>
      <c r="R172" s="51" t="n">
        <f aca="false">G172-I172-K172</f>
        <v>173423</v>
      </c>
      <c r="S172" s="51" t="n">
        <f aca="false">R172-Q172</f>
        <v>5437</v>
      </c>
      <c r="T172" s="52" t="n">
        <f aca="false">IF(Q172=0,0,S172/Q172)</f>
        <v>0.0323657923874609</v>
      </c>
      <c r="U172" s="51" t="str">
        <f aca="false">IF(AND(Q172&gt;0,T172&lt;-0.15),"ADVERSE","")</f>
        <v/>
      </c>
    </row>
    <row r="173" customFormat="false" ht="15" hidden="false" customHeight="false" outlineLevel="0" collapsed="false">
      <c r="A173" s="47" t="s">
        <v>139</v>
      </c>
      <c r="B173" s="47" t="s">
        <v>138</v>
      </c>
      <c r="C173" s="48" t="n">
        <v>45717</v>
      </c>
      <c r="D173" s="47" t="s">
        <v>33</v>
      </c>
      <c r="E173" s="47" t="s">
        <v>44</v>
      </c>
      <c r="F173" s="49" t="n">
        <v>693491</v>
      </c>
      <c r="G173" s="49" t="n">
        <v>635685</v>
      </c>
      <c r="H173" s="49" t="n">
        <v>398411</v>
      </c>
      <c r="I173" s="49" t="n">
        <v>362171</v>
      </c>
      <c r="J173" s="49" t="n">
        <v>113386</v>
      </c>
      <c r="K173" s="49" t="n">
        <v>102949</v>
      </c>
      <c r="L173" s="50" t="n">
        <v>31.4</v>
      </c>
      <c r="M173" s="51" t="n">
        <f aca="false">G173-F173</f>
        <v>-57806</v>
      </c>
      <c r="N173" s="52" t="n">
        <f aca="false">IF(F173=0,0,M173/F173)</f>
        <v>-0.0833550831950234</v>
      </c>
      <c r="O173" s="51" t="n">
        <f aca="false">G173-I173</f>
        <v>273514</v>
      </c>
      <c r="P173" s="51" t="n">
        <f aca="false">F173-H173</f>
        <v>295080</v>
      </c>
      <c r="Q173" s="51" t="n">
        <f aca="false">F173-H173-J173</f>
        <v>181694</v>
      </c>
      <c r="R173" s="51" t="n">
        <f aca="false">G173-I173-K173</f>
        <v>170565</v>
      </c>
      <c r="S173" s="51" t="n">
        <f aca="false">R173-Q173</f>
        <v>-11129</v>
      </c>
      <c r="T173" s="52" t="n">
        <f aca="false">IF(Q173=0,0,S173/Q173)</f>
        <v>-0.0612513346615739</v>
      </c>
      <c r="U173" s="51" t="str">
        <f aca="false">IF(AND(Q173&gt;0,T173&lt;-0.15),"ADVERSE","")</f>
        <v/>
      </c>
    </row>
    <row r="174" customFormat="false" ht="15" hidden="false" customHeight="false" outlineLevel="0" collapsed="false">
      <c r="A174" s="47" t="s">
        <v>3</v>
      </c>
      <c r="B174" s="47" t="s">
        <v>135</v>
      </c>
      <c r="C174" s="48" t="n">
        <v>45748</v>
      </c>
      <c r="D174" s="47" t="s">
        <v>33</v>
      </c>
      <c r="E174" s="47" t="s">
        <v>44</v>
      </c>
      <c r="F174" s="49" t="n">
        <v>668359</v>
      </c>
      <c r="G174" s="49" t="n">
        <v>656265</v>
      </c>
      <c r="H174" s="49" t="n">
        <v>383972</v>
      </c>
      <c r="I174" s="49" t="n">
        <v>383893</v>
      </c>
      <c r="J174" s="49" t="n">
        <v>109277</v>
      </c>
      <c r="K174" s="49" t="n">
        <v>113686</v>
      </c>
      <c r="L174" s="50" t="n">
        <v>31.8</v>
      </c>
      <c r="M174" s="51" t="n">
        <f aca="false">G174-F174</f>
        <v>-12094</v>
      </c>
      <c r="N174" s="52" t="n">
        <f aca="false">IF(F174=0,0,M174/F174)</f>
        <v>-0.018095065675782</v>
      </c>
      <c r="O174" s="51" t="n">
        <f aca="false">G174-I174</f>
        <v>272372</v>
      </c>
      <c r="P174" s="51" t="n">
        <f aca="false">F174-H174</f>
        <v>284387</v>
      </c>
      <c r="Q174" s="51" t="n">
        <f aca="false">F174-H174-J174</f>
        <v>175110</v>
      </c>
      <c r="R174" s="51" t="n">
        <f aca="false">G174-I174-K174</f>
        <v>158686</v>
      </c>
      <c r="S174" s="51" t="n">
        <f aca="false">R174-Q174</f>
        <v>-16424</v>
      </c>
      <c r="T174" s="52" t="n">
        <f aca="false">IF(Q174=0,0,S174/Q174)</f>
        <v>-0.0937924733024956</v>
      </c>
      <c r="U174" s="51" t="str">
        <f aca="false">IF(AND(Q174&gt;0,T174&lt;-0.15),"ADVERSE","")</f>
        <v/>
      </c>
    </row>
    <row r="175" customFormat="false" ht="15" hidden="false" customHeight="false" outlineLevel="0" collapsed="false">
      <c r="A175" s="47" t="s">
        <v>3</v>
      </c>
      <c r="B175" s="47" t="s">
        <v>135</v>
      </c>
      <c r="C175" s="48" t="n">
        <v>45778</v>
      </c>
      <c r="D175" s="47" t="s">
        <v>33</v>
      </c>
      <c r="E175" s="47" t="s">
        <v>44</v>
      </c>
      <c r="F175" s="49" t="n">
        <v>677945</v>
      </c>
      <c r="G175" s="49" t="n">
        <v>687613</v>
      </c>
      <c r="H175" s="49" t="n">
        <v>389480</v>
      </c>
      <c r="I175" s="49" t="n">
        <v>397415</v>
      </c>
      <c r="J175" s="49" t="n">
        <v>110844</v>
      </c>
      <c r="K175" s="49" t="n">
        <v>107687</v>
      </c>
      <c r="L175" s="50" t="n">
        <v>32.1</v>
      </c>
      <c r="M175" s="51" t="n">
        <f aca="false">G175-F175</f>
        <v>9668</v>
      </c>
      <c r="N175" s="52" t="n">
        <f aca="false">IF(F175=0,0,M175/F175)</f>
        <v>0.0142607438656528</v>
      </c>
      <c r="O175" s="51" t="n">
        <f aca="false">G175-I175</f>
        <v>290198</v>
      </c>
      <c r="P175" s="51" t="n">
        <f aca="false">F175-H175</f>
        <v>288465</v>
      </c>
      <c r="Q175" s="51" t="n">
        <f aca="false">F175-H175-J175</f>
        <v>177621</v>
      </c>
      <c r="R175" s="51" t="n">
        <f aca="false">G175-I175-K175</f>
        <v>182511</v>
      </c>
      <c r="S175" s="51" t="n">
        <f aca="false">R175-Q175</f>
        <v>4890</v>
      </c>
      <c r="T175" s="52" t="n">
        <f aca="false">IF(Q175=0,0,S175/Q175)</f>
        <v>0.0275305284848075</v>
      </c>
      <c r="U175" s="51" t="str">
        <f aca="false">IF(AND(Q175&gt;0,T175&lt;-0.15),"ADVERSE","")</f>
        <v/>
      </c>
    </row>
    <row r="176" customFormat="false" ht="15" hidden="false" customHeight="false" outlineLevel="0" collapsed="false">
      <c r="A176" s="47" t="s">
        <v>3</v>
      </c>
      <c r="B176" s="47" t="s">
        <v>135</v>
      </c>
      <c r="C176" s="48" t="n">
        <v>45809</v>
      </c>
      <c r="D176" s="47" t="s">
        <v>33</v>
      </c>
      <c r="E176" s="47" t="s">
        <v>44</v>
      </c>
      <c r="F176" s="49" t="n">
        <v>698589</v>
      </c>
      <c r="G176" s="49" t="n">
        <v>653402</v>
      </c>
      <c r="H176" s="49" t="n">
        <v>401339</v>
      </c>
      <c r="I176" s="49" t="n">
        <v>384723</v>
      </c>
      <c r="J176" s="49" t="n">
        <v>114219</v>
      </c>
      <c r="K176" s="49" t="n">
        <v>105780</v>
      </c>
      <c r="L176" s="50" t="n">
        <v>31.3</v>
      </c>
      <c r="M176" s="51" t="n">
        <f aca="false">G176-F176</f>
        <v>-45187</v>
      </c>
      <c r="N176" s="52" t="n">
        <f aca="false">IF(F176=0,0,M176/F176)</f>
        <v>-0.0646832400739204</v>
      </c>
      <c r="O176" s="51" t="n">
        <f aca="false">G176-I176</f>
        <v>268679</v>
      </c>
      <c r="P176" s="51" t="n">
        <f aca="false">F176-H176</f>
        <v>297250</v>
      </c>
      <c r="Q176" s="51" t="n">
        <f aca="false">F176-H176-J176</f>
        <v>183031</v>
      </c>
      <c r="R176" s="51" t="n">
        <f aca="false">G176-I176-K176</f>
        <v>162899</v>
      </c>
      <c r="S176" s="51" t="n">
        <f aca="false">R176-Q176</f>
        <v>-20132</v>
      </c>
      <c r="T176" s="52" t="n">
        <f aca="false">IF(Q176=0,0,S176/Q176)</f>
        <v>-0.109992296386951</v>
      </c>
      <c r="U176" s="51" t="str">
        <f aca="false">IF(AND(Q176&gt;0,T176&lt;-0.15),"ADVERSE","")</f>
        <v/>
      </c>
    </row>
    <row r="177" customFormat="false" ht="15" hidden="false" customHeight="false" outlineLevel="0" collapsed="false">
      <c r="A177" s="47" t="s">
        <v>3</v>
      </c>
      <c r="B177" s="47" t="s">
        <v>136</v>
      </c>
      <c r="C177" s="48" t="n">
        <v>45839</v>
      </c>
      <c r="D177" s="47" t="s">
        <v>33</v>
      </c>
      <c r="E177" s="47" t="s">
        <v>44</v>
      </c>
      <c r="F177" s="49" t="n">
        <v>698205</v>
      </c>
      <c r="G177" s="49" t="n">
        <v>672008</v>
      </c>
      <c r="H177" s="49" t="n">
        <v>401119</v>
      </c>
      <c r="I177" s="49" t="n">
        <v>393293</v>
      </c>
      <c r="J177" s="49" t="n">
        <v>114157</v>
      </c>
      <c r="K177" s="49" t="n">
        <v>105900</v>
      </c>
      <c r="L177" s="50" t="n">
        <v>32.4</v>
      </c>
      <c r="M177" s="51" t="n">
        <f aca="false">G177-F177</f>
        <v>-26197</v>
      </c>
      <c r="N177" s="52" t="n">
        <f aca="false">IF(F177=0,0,M177/F177)</f>
        <v>-0.0375204989938485</v>
      </c>
      <c r="O177" s="51" t="n">
        <f aca="false">G177-I177</f>
        <v>278715</v>
      </c>
      <c r="P177" s="51" t="n">
        <f aca="false">F177-H177</f>
        <v>297086</v>
      </c>
      <c r="Q177" s="51" t="n">
        <f aca="false">F177-H177-J177</f>
        <v>182929</v>
      </c>
      <c r="R177" s="51" t="n">
        <f aca="false">G177-I177-K177</f>
        <v>172815</v>
      </c>
      <c r="S177" s="51" t="n">
        <f aca="false">R177-Q177</f>
        <v>-10114</v>
      </c>
      <c r="T177" s="52" t="n">
        <f aca="false">IF(Q177=0,0,S177/Q177)</f>
        <v>-0.0552892105680346</v>
      </c>
      <c r="U177" s="51" t="str">
        <f aca="false">IF(AND(Q177&gt;0,T177&lt;-0.15),"ADVERSE","")</f>
        <v/>
      </c>
    </row>
    <row r="178" customFormat="false" ht="15" hidden="false" customHeight="false" outlineLevel="0" collapsed="false">
      <c r="A178" s="47" t="s">
        <v>3</v>
      </c>
      <c r="B178" s="47" t="s">
        <v>136</v>
      </c>
      <c r="C178" s="48" t="n">
        <v>45870</v>
      </c>
      <c r="D178" s="47" t="s">
        <v>33</v>
      </c>
      <c r="E178" s="47" t="s">
        <v>44</v>
      </c>
      <c r="F178" s="49" t="n">
        <v>685343</v>
      </c>
      <c r="G178" s="49" t="n">
        <v>618099</v>
      </c>
      <c r="H178" s="49" t="n">
        <v>393730</v>
      </c>
      <c r="I178" s="49" t="n">
        <v>355101</v>
      </c>
      <c r="J178" s="49" t="n">
        <v>112054</v>
      </c>
      <c r="K178" s="49" t="n">
        <v>102727</v>
      </c>
      <c r="L178" s="50" t="n">
        <v>32.1</v>
      </c>
      <c r="M178" s="51" t="n">
        <f aca="false">G178-F178</f>
        <v>-67244</v>
      </c>
      <c r="N178" s="52" t="n">
        <f aca="false">IF(F178=0,0,M178/F178)</f>
        <v>-0.0981172930926558</v>
      </c>
      <c r="O178" s="51" t="n">
        <f aca="false">G178-I178</f>
        <v>262998</v>
      </c>
      <c r="P178" s="51" t="n">
        <f aca="false">F178-H178</f>
        <v>291613</v>
      </c>
      <c r="Q178" s="51" t="n">
        <f aca="false">F178-H178-J178</f>
        <v>179559</v>
      </c>
      <c r="R178" s="51" t="n">
        <f aca="false">G178-I178-K178</f>
        <v>160271</v>
      </c>
      <c r="S178" s="51" t="n">
        <f aca="false">R178-Q178</f>
        <v>-19288</v>
      </c>
      <c r="T178" s="52" t="n">
        <f aca="false">IF(Q178=0,0,S178/Q178)</f>
        <v>-0.107418731447602</v>
      </c>
      <c r="U178" s="51" t="str">
        <f aca="false">IF(AND(Q178&gt;0,T178&lt;-0.15),"ADVERSE","")</f>
        <v/>
      </c>
    </row>
    <row r="179" customFormat="false" ht="15" hidden="false" customHeight="false" outlineLevel="0" collapsed="false">
      <c r="A179" s="47" t="s">
        <v>3</v>
      </c>
      <c r="B179" s="47" t="s">
        <v>136</v>
      </c>
      <c r="C179" s="48" t="n">
        <v>45901</v>
      </c>
      <c r="D179" s="47" t="s">
        <v>33</v>
      </c>
      <c r="E179" s="47" t="s">
        <v>44</v>
      </c>
      <c r="F179" s="49" t="n">
        <v>699567</v>
      </c>
      <c r="G179" s="49" t="n">
        <v>707300</v>
      </c>
      <c r="H179" s="49" t="n">
        <v>401901</v>
      </c>
      <c r="I179" s="49" t="n">
        <v>416249</v>
      </c>
      <c r="J179" s="49" t="n">
        <v>114379</v>
      </c>
      <c r="K179" s="49" t="n">
        <v>109166</v>
      </c>
      <c r="L179" s="50" t="n">
        <v>31.9</v>
      </c>
      <c r="M179" s="51" t="n">
        <f aca="false">G179-F179</f>
        <v>7733</v>
      </c>
      <c r="N179" s="52" t="n">
        <f aca="false">IF(F179=0,0,M179/F179)</f>
        <v>0.011053980533673</v>
      </c>
      <c r="O179" s="51" t="n">
        <f aca="false">G179-I179</f>
        <v>291051</v>
      </c>
      <c r="P179" s="51" t="n">
        <f aca="false">F179-H179</f>
        <v>297666</v>
      </c>
      <c r="Q179" s="51" t="n">
        <f aca="false">F179-H179-J179</f>
        <v>183287</v>
      </c>
      <c r="R179" s="51" t="n">
        <f aca="false">G179-I179-K179</f>
        <v>181885</v>
      </c>
      <c r="S179" s="51" t="n">
        <f aca="false">R179-Q179</f>
        <v>-1402</v>
      </c>
      <c r="T179" s="52" t="n">
        <f aca="false">IF(Q179=0,0,S179/Q179)</f>
        <v>-0.00764920589021589</v>
      </c>
      <c r="U179" s="51" t="str">
        <f aca="false">IF(AND(Q179&gt;0,T179&lt;-0.15),"ADVERSE","")</f>
        <v/>
      </c>
    </row>
    <row r="180" customFormat="false" ht="15" hidden="false" customHeight="false" outlineLevel="0" collapsed="false">
      <c r="A180" s="47" t="s">
        <v>3</v>
      </c>
      <c r="B180" s="47" t="s">
        <v>137</v>
      </c>
      <c r="C180" s="48" t="n">
        <v>45931</v>
      </c>
      <c r="D180" s="47" t="s">
        <v>33</v>
      </c>
      <c r="E180" s="47" t="s">
        <v>44</v>
      </c>
      <c r="F180" s="49" t="n">
        <v>729357</v>
      </c>
      <c r="G180" s="49" t="n">
        <v>677028</v>
      </c>
      <c r="H180" s="49" t="n">
        <v>419015</v>
      </c>
      <c r="I180" s="49" t="n">
        <v>380151</v>
      </c>
      <c r="J180" s="49" t="n">
        <v>119250</v>
      </c>
      <c r="K180" s="49" t="n">
        <v>121585</v>
      </c>
      <c r="L180" s="50" t="n">
        <v>32.6</v>
      </c>
      <c r="M180" s="51" t="n">
        <f aca="false">G180-F180</f>
        <v>-52329</v>
      </c>
      <c r="N180" s="52" t="n">
        <f aca="false">IF(F180=0,0,M180/F180)</f>
        <v>-0.0717467577606028</v>
      </c>
      <c r="O180" s="51" t="n">
        <f aca="false">G180-I180</f>
        <v>296877</v>
      </c>
      <c r="P180" s="51" t="n">
        <f aca="false">F180-H180</f>
        <v>310342</v>
      </c>
      <c r="Q180" s="51" t="n">
        <f aca="false">F180-H180-J180</f>
        <v>191092</v>
      </c>
      <c r="R180" s="51" t="n">
        <f aca="false">G180-I180-K180</f>
        <v>175292</v>
      </c>
      <c r="S180" s="51" t="n">
        <f aca="false">R180-Q180</f>
        <v>-15800</v>
      </c>
      <c r="T180" s="52" t="n">
        <f aca="false">IF(Q180=0,0,S180/Q180)</f>
        <v>-0.0826826868733385</v>
      </c>
      <c r="U180" s="51" t="str">
        <f aca="false">IF(AND(Q180&gt;0,T180&lt;-0.15),"ADVERSE","")</f>
        <v/>
      </c>
    </row>
    <row r="181" customFormat="false" ht="15" hidden="false" customHeight="false" outlineLevel="0" collapsed="false">
      <c r="A181" s="47" t="s">
        <v>3</v>
      </c>
      <c r="B181" s="47" t="s">
        <v>137</v>
      </c>
      <c r="C181" s="48" t="n">
        <v>45962</v>
      </c>
      <c r="D181" s="47" t="s">
        <v>33</v>
      </c>
      <c r="E181" s="47" t="s">
        <v>44</v>
      </c>
      <c r="F181" s="49" t="n">
        <v>716402</v>
      </c>
      <c r="G181" s="49" t="n">
        <v>738981</v>
      </c>
      <c r="H181" s="49" t="n">
        <v>411573</v>
      </c>
      <c r="I181" s="49" t="n">
        <v>426075</v>
      </c>
      <c r="J181" s="49" t="n">
        <v>117132</v>
      </c>
      <c r="K181" s="49" t="n">
        <v>124700</v>
      </c>
      <c r="L181" s="50" t="n">
        <v>32.4</v>
      </c>
      <c r="M181" s="51" t="n">
        <f aca="false">G181-F181</f>
        <v>22579</v>
      </c>
      <c r="N181" s="52" t="n">
        <f aca="false">IF(F181=0,0,M181/F181)</f>
        <v>0.0315172207782781</v>
      </c>
      <c r="O181" s="51" t="n">
        <f aca="false">G181-I181</f>
        <v>312906</v>
      </c>
      <c r="P181" s="51" t="n">
        <f aca="false">F181-H181</f>
        <v>304829</v>
      </c>
      <c r="Q181" s="51" t="n">
        <f aca="false">F181-H181-J181</f>
        <v>187697</v>
      </c>
      <c r="R181" s="51" t="n">
        <f aca="false">G181-I181-K181</f>
        <v>188206</v>
      </c>
      <c r="S181" s="51" t="n">
        <f aca="false">R181-Q181</f>
        <v>509</v>
      </c>
      <c r="T181" s="52" t="n">
        <f aca="false">IF(Q181=0,0,S181/Q181)</f>
        <v>0.00271181745046538</v>
      </c>
      <c r="U181" s="51" t="str">
        <f aca="false">IF(AND(Q181&gt;0,T181&lt;-0.15),"ADVERSE","")</f>
        <v/>
      </c>
    </row>
    <row r="182" customFormat="false" ht="15" hidden="false" customHeight="false" outlineLevel="0" collapsed="false">
      <c r="A182" s="47" t="s">
        <v>3</v>
      </c>
      <c r="B182" s="47" t="s">
        <v>137</v>
      </c>
      <c r="C182" s="48" t="n">
        <v>45992</v>
      </c>
      <c r="D182" s="47" t="s">
        <v>33</v>
      </c>
      <c r="E182" s="47" t="s">
        <v>44</v>
      </c>
      <c r="F182" s="49" t="n">
        <v>726544</v>
      </c>
      <c r="G182" s="49" t="n">
        <v>694207</v>
      </c>
      <c r="H182" s="49" t="n">
        <v>417399</v>
      </c>
      <c r="I182" s="49" t="n">
        <v>406202</v>
      </c>
      <c r="J182" s="49" t="n">
        <v>118790</v>
      </c>
      <c r="K182" s="49" t="n">
        <v>116956</v>
      </c>
      <c r="L182" s="50" t="n">
        <v>33.9</v>
      </c>
      <c r="M182" s="51" t="n">
        <f aca="false">G182-F182</f>
        <v>-32337</v>
      </c>
      <c r="N182" s="52" t="n">
        <f aca="false">IF(F182=0,0,M182/F182)</f>
        <v>-0.0445079719879319</v>
      </c>
      <c r="O182" s="51" t="n">
        <f aca="false">G182-I182</f>
        <v>288005</v>
      </c>
      <c r="P182" s="51" t="n">
        <f aca="false">F182-H182</f>
        <v>309145</v>
      </c>
      <c r="Q182" s="51" t="n">
        <f aca="false">F182-H182-J182</f>
        <v>190355</v>
      </c>
      <c r="R182" s="51" t="n">
        <f aca="false">G182-I182-K182</f>
        <v>171049</v>
      </c>
      <c r="S182" s="51" t="n">
        <f aca="false">R182-Q182</f>
        <v>-19306</v>
      </c>
      <c r="T182" s="52" t="n">
        <f aca="false">IF(Q182=0,0,S182/Q182)</f>
        <v>-0.101421029129784</v>
      </c>
      <c r="U182" s="51" t="str">
        <f aca="false">IF(AND(Q182&gt;0,T182&lt;-0.15),"ADVERSE","")</f>
        <v/>
      </c>
    </row>
    <row r="183" customFormat="false" ht="15" hidden="false" customHeight="false" outlineLevel="0" collapsed="false">
      <c r="A183" s="47" t="s">
        <v>3</v>
      </c>
      <c r="B183" s="47" t="s">
        <v>138</v>
      </c>
      <c r="C183" s="48" t="n">
        <v>46023</v>
      </c>
      <c r="D183" s="47" t="s">
        <v>33</v>
      </c>
      <c r="E183" s="47" t="s">
        <v>44</v>
      </c>
      <c r="F183" s="49" t="n">
        <v>702040</v>
      </c>
      <c r="G183" s="49" t="n">
        <v>637123</v>
      </c>
      <c r="H183" s="49" t="n">
        <v>403322</v>
      </c>
      <c r="I183" s="49" t="n">
        <v>364402</v>
      </c>
      <c r="J183" s="49" t="n">
        <v>114784</v>
      </c>
      <c r="K183" s="49" t="n">
        <v>110568</v>
      </c>
      <c r="L183" s="50" t="n">
        <v>33.7</v>
      </c>
      <c r="M183" s="51" t="n">
        <f aca="false">G183-F183</f>
        <v>-64917</v>
      </c>
      <c r="N183" s="52" t="n">
        <f aca="false">IF(F183=0,0,M183/F183)</f>
        <v>-0.0924690900803373</v>
      </c>
      <c r="O183" s="51" t="n">
        <f aca="false">G183-I183</f>
        <v>272721</v>
      </c>
      <c r="P183" s="51" t="n">
        <f aca="false">F183-H183</f>
        <v>298718</v>
      </c>
      <c r="Q183" s="51" t="n">
        <f aca="false">F183-H183-J183</f>
        <v>183934</v>
      </c>
      <c r="R183" s="51" t="n">
        <f aca="false">G183-I183-K183</f>
        <v>162153</v>
      </c>
      <c r="S183" s="51" t="n">
        <f aca="false">R183-Q183</f>
        <v>-21781</v>
      </c>
      <c r="T183" s="52" t="n">
        <f aca="false">IF(Q183=0,0,S183/Q183)</f>
        <v>-0.118417475833723</v>
      </c>
      <c r="U183" s="51" t="str">
        <f aca="false">IF(AND(Q183&gt;0,T183&lt;-0.15),"ADVERSE","")</f>
        <v/>
      </c>
    </row>
    <row r="184" customFormat="false" ht="15" hidden="false" customHeight="false" outlineLevel="0" collapsed="false">
      <c r="A184" s="47" t="s">
        <v>3</v>
      </c>
      <c r="B184" s="47" t="s">
        <v>138</v>
      </c>
      <c r="C184" s="48" t="n">
        <v>46054</v>
      </c>
      <c r="D184" s="47" t="s">
        <v>33</v>
      </c>
      <c r="E184" s="47" t="s">
        <v>44</v>
      </c>
      <c r="F184" s="49" t="n">
        <v>709137</v>
      </c>
      <c r="G184" s="49" t="n">
        <v>724186</v>
      </c>
      <c r="H184" s="49" t="n">
        <v>407399</v>
      </c>
      <c r="I184" s="49" t="n">
        <v>419660</v>
      </c>
      <c r="J184" s="49" t="n">
        <v>115944</v>
      </c>
      <c r="K184" s="49" t="n">
        <v>124185</v>
      </c>
      <c r="L184" s="50" t="n">
        <v>34</v>
      </c>
      <c r="M184" s="51" t="n">
        <f aca="false">G184-F184</f>
        <v>15049</v>
      </c>
      <c r="N184" s="52" t="n">
        <f aca="false">IF(F184=0,0,M184/F184)</f>
        <v>0.0212215693159432</v>
      </c>
      <c r="O184" s="51" t="n">
        <f aca="false">G184-I184</f>
        <v>304526</v>
      </c>
      <c r="P184" s="51" t="n">
        <f aca="false">F184-H184</f>
        <v>301738</v>
      </c>
      <c r="Q184" s="51" t="n">
        <f aca="false">F184-H184-J184</f>
        <v>185794</v>
      </c>
      <c r="R184" s="51" t="n">
        <f aca="false">G184-I184-K184</f>
        <v>180341</v>
      </c>
      <c r="S184" s="51" t="n">
        <f aca="false">R184-Q184</f>
        <v>-5453</v>
      </c>
      <c r="T184" s="52" t="n">
        <f aca="false">IF(Q184=0,0,S184/Q184)</f>
        <v>-0.0293497098937533</v>
      </c>
      <c r="U184" s="51" t="str">
        <f aca="false">IF(AND(Q184&gt;0,T184&lt;-0.15),"ADVERSE","")</f>
        <v/>
      </c>
    </row>
    <row r="185" customFormat="false" ht="15" hidden="false" customHeight="false" outlineLevel="0" collapsed="false">
      <c r="A185" s="47" t="s">
        <v>3</v>
      </c>
      <c r="B185" s="47" t="s">
        <v>138</v>
      </c>
      <c r="C185" s="48" t="n">
        <v>46082</v>
      </c>
      <c r="D185" s="47" t="s">
        <v>33</v>
      </c>
      <c r="E185" s="47" t="s">
        <v>44</v>
      </c>
      <c r="F185" s="49" t="n">
        <v>773053</v>
      </c>
      <c r="G185" s="49" t="n">
        <v>733352</v>
      </c>
      <c r="H185" s="49" t="n">
        <v>444119</v>
      </c>
      <c r="I185" s="49" t="n">
        <v>423116</v>
      </c>
      <c r="J185" s="49" t="n">
        <v>126394</v>
      </c>
      <c r="K185" s="49" t="n">
        <v>127141</v>
      </c>
      <c r="L185" s="50" t="n">
        <v>33.8</v>
      </c>
      <c r="M185" s="51" t="n">
        <f aca="false">G185-F185</f>
        <v>-39701</v>
      </c>
      <c r="N185" s="52" t="n">
        <f aca="false">IF(F185=0,0,M185/F185)</f>
        <v>-0.0513561165922647</v>
      </c>
      <c r="O185" s="51" t="n">
        <f aca="false">G185-I185</f>
        <v>310236</v>
      </c>
      <c r="P185" s="51" t="n">
        <f aca="false">F185-H185</f>
        <v>328934</v>
      </c>
      <c r="Q185" s="51" t="n">
        <f aca="false">F185-H185-J185</f>
        <v>202540</v>
      </c>
      <c r="R185" s="51" t="n">
        <f aca="false">G185-I185-K185</f>
        <v>183095</v>
      </c>
      <c r="S185" s="51" t="n">
        <f aca="false">R185-Q185</f>
        <v>-19445</v>
      </c>
      <c r="T185" s="52" t="n">
        <f aca="false">IF(Q185=0,0,S185/Q185)</f>
        <v>-0.0960057272637504</v>
      </c>
      <c r="U185" s="51" t="str">
        <f aca="false">IF(AND(Q185&gt;0,T185&lt;-0.15),"ADVERSE","")</f>
        <v/>
      </c>
    </row>
    <row r="186" customFormat="false" ht="15" hidden="false" customHeight="false" outlineLevel="0" collapsed="false">
      <c r="A186" s="47" t="s">
        <v>134</v>
      </c>
      <c r="B186" s="47" t="s">
        <v>135</v>
      </c>
      <c r="C186" s="48" t="n">
        <v>45017</v>
      </c>
      <c r="D186" s="47" t="s">
        <v>33</v>
      </c>
      <c r="E186" s="47" t="s">
        <v>45</v>
      </c>
      <c r="F186" s="49" t="n">
        <v>262890</v>
      </c>
      <c r="G186" s="49" t="n">
        <v>291444</v>
      </c>
      <c r="H186" s="49" t="n">
        <v>151030</v>
      </c>
      <c r="I186" s="49" t="n">
        <v>166947</v>
      </c>
      <c r="J186" s="49" t="n">
        <v>42983</v>
      </c>
      <c r="K186" s="49" t="n">
        <v>48961</v>
      </c>
      <c r="L186" s="50" t="n">
        <v>13.8</v>
      </c>
      <c r="M186" s="51" t="n">
        <f aca="false">G186-F186</f>
        <v>28554</v>
      </c>
      <c r="N186" s="52" t="n">
        <f aca="false">IF(F186=0,0,M186/F186)</f>
        <v>0.10861577085473</v>
      </c>
      <c r="O186" s="51" t="n">
        <f aca="false">G186-I186</f>
        <v>124497</v>
      </c>
      <c r="P186" s="51" t="n">
        <f aca="false">F186-H186</f>
        <v>111860</v>
      </c>
      <c r="Q186" s="51" t="n">
        <f aca="false">F186-H186-J186</f>
        <v>68877</v>
      </c>
      <c r="R186" s="51" t="n">
        <f aca="false">G186-I186-K186</f>
        <v>75536</v>
      </c>
      <c r="S186" s="51" t="n">
        <f aca="false">R186-Q186</f>
        <v>6659</v>
      </c>
      <c r="T186" s="52" t="n">
        <f aca="false">IF(Q186=0,0,S186/Q186)</f>
        <v>0.0966795882515208</v>
      </c>
      <c r="U186" s="51" t="str">
        <f aca="false">IF(AND(Q186&gt;0,T186&lt;-0.15),"ADVERSE","")</f>
        <v/>
      </c>
    </row>
    <row r="187" customFormat="false" ht="15" hidden="false" customHeight="false" outlineLevel="0" collapsed="false">
      <c r="A187" s="47" t="s">
        <v>134</v>
      </c>
      <c r="B187" s="47" t="s">
        <v>135</v>
      </c>
      <c r="C187" s="48" t="n">
        <v>45047</v>
      </c>
      <c r="D187" s="47" t="s">
        <v>33</v>
      </c>
      <c r="E187" s="47" t="s">
        <v>45</v>
      </c>
      <c r="F187" s="49" t="n">
        <v>270710</v>
      </c>
      <c r="G187" s="49" t="n">
        <v>258905</v>
      </c>
      <c r="H187" s="49" t="n">
        <v>155523</v>
      </c>
      <c r="I187" s="49" t="n">
        <v>149586</v>
      </c>
      <c r="J187" s="49" t="n">
        <v>44261</v>
      </c>
      <c r="K187" s="49" t="n">
        <v>41995</v>
      </c>
      <c r="L187" s="50" t="n">
        <v>14</v>
      </c>
      <c r="M187" s="51" t="n">
        <f aca="false">G187-F187</f>
        <v>-11805</v>
      </c>
      <c r="N187" s="52" t="n">
        <f aca="false">IF(F187=0,0,M187/F187)</f>
        <v>-0.0436075505153116</v>
      </c>
      <c r="O187" s="51" t="n">
        <f aca="false">G187-I187</f>
        <v>109319</v>
      </c>
      <c r="P187" s="51" t="n">
        <f aca="false">F187-H187</f>
        <v>115187</v>
      </c>
      <c r="Q187" s="51" t="n">
        <f aca="false">F187-H187-J187</f>
        <v>70926</v>
      </c>
      <c r="R187" s="51" t="n">
        <f aca="false">G187-I187-K187</f>
        <v>67324</v>
      </c>
      <c r="S187" s="51" t="n">
        <f aca="false">R187-Q187</f>
        <v>-3602</v>
      </c>
      <c r="T187" s="52" t="n">
        <f aca="false">IF(Q187=0,0,S187/Q187)</f>
        <v>-0.0507853255505738</v>
      </c>
      <c r="U187" s="51" t="str">
        <f aca="false">IF(AND(Q187&gt;0,T187&lt;-0.15),"ADVERSE","")</f>
        <v/>
      </c>
    </row>
    <row r="188" customFormat="false" ht="15" hidden="false" customHeight="false" outlineLevel="0" collapsed="false">
      <c r="A188" s="47" t="s">
        <v>134</v>
      </c>
      <c r="B188" s="47" t="s">
        <v>135</v>
      </c>
      <c r="C188" s="48" t="n">
        <v>45078</v>
      </c>
      <c r="D188" s="47" t="s">
        <v>33</v>
      </c>
      <c r="E188" s="47" t="s">
        <v>45</v>
      </c>
      <c r="F188" s="49" t="n">
        <v>274149</v>
      </c>
      <c r="G188" s="49" t="n">
        <v>267655</v>
      </c>
      <c r="H188" s="49" t="n">
        <v>157499</v>
      </c>
      <c r="I188" s="49" t="n">
        <v>155795</v>
      </c>
      <c r="J188" s="49" t="n">
        <v>44823</v>
      </c>
      <c r="K188" s="49" t="n">
        <v>44767</v>
      </c>
      <c r="L188" s="50" t="n">
        <v>13.8</v>
      </c>
      <c r="M188" s="51" t="n">
        <f aca="false">G188-F188</f>
        <v>-6494</v>
      </c>
      <c r="N188" s="52" t="n">
        <f aca="false">IF(F188=0,0,M188/F188)</f>
        <v>-0.0236878485786926</v>
      </c>
      <c r="O188" s="51" t="n">
        <f aca="false">G188-I188</f>
        <v>111860</v>
      </c>
      <c r="P188" s="51" t="n">
        <f aca="false">F188-H188</f>
        <v>116650</v>
      </c>
      <c r="Q188" s="51" t="n">
        <f aca="false">F188-H188-J188</f>
        <v>71827</v>
      </c>
      <c r="R188" s="51" t="n">
        <f aca="false">G188-I188-K188</f>
        <v>67093</v>
      </c>
      <c r="S188" s="51" t="n">
        <f aca="false">R188-Q188</f>
        <v>-4734</v>
      </c>
      <c r="T188" s="52" t="n">
        <f aca="false">IF(Q188=0,0,S188/Q188)</f>
        <v>-0.0659083631503474</v>
      </c>
      <c r="U188" s="51" t="str">
        <f aca="false">IF(AND(Q188&gt;0,T188&lt;-0.15),"ADVERSE","")</f>
        <v/>
      </c>
    </row>
    <row r="189" customFormat="false" ht="15" hidden="false" customHeight="false" outlineLevel="0" collapsed="false">
      <c r="A189" s="47" t="s">
        <v>134</v>
      </c>
      <c r="B189" s="47" t="s">
        <v>136</v>
      </c>
      <c r="C189" s="48" t="n">
        <v>45108</v>
      </c>
      <c r="D189" s="47" t="s">
        <v>33</v>
      </c>
      <c r="E189" s="47" t="s">
        <v>45</v>
      </c>
      <c r="F189" s="49" t="n">
        <v>280061</v>
      </c>
      <c r="G189" s="49" t="n">
        <v>288233</v>
      </c>
      <c r="H189" s="49" t="n">
        <v>160895</v>
      </c>
      <c r="I189" s="49" t="n">
        <v>167734</v>
      </c>
      <c r="J189" s="49" t="n">
        <v>45790</v>
      </c>
      <c r="K189" s="49" t="n">
        <v>47032</v>
      </c>
      <c r="L189" s="50" t="n">
        <v>14.1</v>
      </c>
      <c r="M189" s="51" t="n">
        <f aca="false">G189-F189</f>
        <v>8172</v>
      </c>
      <c r="N189" s="52" t="n">
        <f aca="false">IF(F189=0,0,M189/F189)</f>
        <v>0.0291793573542907</v>
      </c>
      <c r="O189" s="51" t="n">
        <f aca="false">G189-I189</f>
        <v>120499</v>
      </c>
      <c r="P189" s="51" t="n">
        <f aca="false">F189-H189</f>
        <v>119166</v>
      </c>
      <c r="Q189" s="51" t="n">
        <f aca="false">F189-H189-J189</f>
        <v>73376</v>
      </c>
      <c r="R189" s="51" t="n">
        <f aca="false">G189-I189-K189</f>
        <v>73467</v>
      </c>
      <c r="S189" s="51" t="n">
        <f aca="false">R189-Q189</f>
        <v>91</v>
      </c>
      <c r="T189" s="52" t="n">
        <f aca="false">IF(Q189=0,0,S189/Q189)</f>
        <v>0.00124018752725687</v>
      </c>
      <c r="U189" s="51" t="str">
        <f aca="false">IF(AND(Q189&gt;0,T189&lt;-0.15),"ADVERSE","")</f>
        <v/>
      </c>
    </row>
    <row r="190" customFormat="false" ht="15" hidden="false" customHeight="false" outlineLevel="0" collapsed="false">
      <c r="A190" s="47" t="s">
        <v>134</v>
      </c>
      <c r="B190" s="47" t="s">
        <v>136</v>
      </c>
      <c r="C190" s="48" t="n">
        <v>45139</v>
      </c>
      <c r="D190" s="47" t="s">
        <v>33</v>
      </c>
      <c r="E190" s="47" t="s">
        <v>45</v>
      </c>
      <c r="F190" s="49" t="n">
        <v>275409</v>
      </c>
      <c r="G190" s="49" t="n">
        <v>259950</v>
      </c>
      <c r="H190" s="49" t="n">
        <v>158223</v>
      </c>
      <c r="I190" s="49" t="n">
        <v>154549</v>
      </c>
      <c r="J190" s="49" t="n">
        <v>45029</v>
      </c>
      <c r="K190" s="49" t="n">
        <v>43671</v>
      </c>
      <c r="L190" s="50" t="n">
        <v>14</v>
      </c>
      <c r="M190" s="51" t="n">
        <f aca="false">G190-F190</f>
        <v>-15459</v>
      </c>
      <c r="N190" s="52" t="n">
        <f aca="false">IF(F190=0,0,M190/F190)</f>
        <v>-0.0561310632550135</v>
      </c>
      <c r="O190" s="51" t="n">
        <f aca="false">G190-I190</f>
        <v>105401</v>
      </c>
      <c r="P190" s="51" t="n">
        <f aca="false">F190-H190</f>
        <v>117186</v>
      </c>
      <c r="Q190" s="51" t="n">
        <f aca="false">F190-H190-J190</f>
        <v>72157</v>
      </c>
      <c r="R190" s="51" t="n">
        <f aca="false">G190-I190-K190</f>
        <v>61730</v>
      </c>
      <c r="S190" s="51" t="n">
        <f aca="false">R190-Q190</f>
        <v>-10427</v>
      </c>
      <c r="T190" s="52" t="n">
        <f aca="false">IF(Q190=0,0,S190/Q190)</f>
        <v>-0.144504344692823</v>
      </c>
      <c r="U190" s="51" t="str">
        <f aca="false">IF(AND(Q190&gt;0,T190&lt;-0.15),"ADVERSE","")</f>
        <v/>
      </c>
    </row>
    <row r="191" customFormat="false" ht="15" hidden="false" customHeight="false" outlineLevel="0" collapsed="false">
      <c r="A191" s="47" t="s">
        <v>134</v>
      </c>
      <c r="B191" s="47" t="s">
        <v>136</v>
      </c>
      <c r="C191" s="48" t="n">
        <v>45170</v>
      </c>
      <c r="D191" s="47" t="s">
        <v>33</v>
      </c>
      <c r="E191" s="47" t="s">
        <v>45</v>
      </c>
      <c r="F191" s="49" t="n">
        <v>282001</v>
      </c>
      <c r="G191" s="49" t="n">
        <v>282823</v>
      </c>
      <c r="H191" s="49" t="n">
        <v>162010</v>
      </c>
      <c r="I191" s="49" t="n">
        <v>161152</v>
      </c>
      <c r="J191" s="49" t="n">
        <v>46107</v>
      </c>
      <c r="K191" s="49" t="n">
        <v>45276</v>
      </c>
      <c r="L191" s="50" t="n">
        <v>13.7</v>
      </c>
      <c r="M191" s="51" t="n">
        <f aca="false">G191-F191</f>
        <v>822</v>
      </c>
      <c r="N191" s="52" t="n">
        <f aca="false">IF(F191=0,0,M191/F191)</f>
        <v>0.00291488328055574</v>
      </c>
      <c r="O191" s="51" t="n">
        <f aca="false">G191-I191</f>
        <v>121671</v>
      </c>
      <c r="P191" s="51" t="n">
        <f aca="false">F191-H191</f>
        <v>119991</v>
      </c>
      <c r="Q191" s="51" t="n">
        <f aca="false">F191-H191-J191</f>
        <v>73884</v>
      </c>
      <c r="R191" s="51" t="n">
        <f aca="false">G191-I191-K191</f>
        <v>76395</v>
      </c>
      <c r="S191" s="51" t="n">
        <f aca="false">R191-Q191</f>
        <v>2511</v>
      </c>
      <c r="T191" s="52" t="n">
        <f aca="false">IF(Q191=0,0,S191/Q191)</f>
        <v>0.0339857073249959</v>
      </c>
      <c r="U191" s="51" t="str">
        <f aca="false">IF(AND(Q191&gt;0,T191&lt;-0.15),"ADVERSE","")</f>
        <v/>
      </c>
    </row>
    <row r="192" customFormat="false" ht="15" hidden="false" customHeight="false" outlineLevel="0" collapsed="false">
      <c r="A192" s="47" t="s">
        <v>134</v>
      </c>
      <c r="B192" s="47" t="s">
        <v>137</v>
      </c>
      <c r="C192" s="48" t="n">
        <v>45200</v>
      </c>
      <c r="D192" s="47" t="s">
        <v>33</v>
      </c>
      <c r="E192" s="47" t="s">
        <v>45</v>
      </c>
      <c r="F192" s="49" t="n">
        <v>290116</v>
      </c>
      <c r="G192" s="49" t="n">
        <v>301546</v>
      </c>
      <c r="H192" s="49" t="n">
        <v>166672</v>
      </c>
      <c r="I192" s="49" t="n">
        <v>172820</v>
      </c>
      <c r="J192" s="49" t="n">
        <v>47434</v>
      </c>
      <c r="K192" s="49" t="n">
        <v>49751</v>
      </c>
      <c r="L192" s="50" t="n">
        <v>14</v>
      </c>
      <c r="M192" s="51" t="n">
        <f aca="false">G192-F192</f>
        <v>11430</v>
      </c>
      <c r="N192" s="52" t="n">
        <f aca="false">IF(F192=0,0,M192/F192)</f>
        <v>0.0393980338898923</v>
      </c>
      <c r="O192" s="51" t="n">
        <f aca="false">G192-I192</f>
        <v>128726</v>
      </c>
      <c r="P192" s="51" t="n">
        <f aca="false">F192-H192</f>
        <v>123444</v>
      </c>
      <c r="Q192" s="51" t="n">
        <f aca="false">F192-H192-J192</f>
        <v>76010</v>
      </c>
      <c r="R192" s="51" t="n">
        <f aca="false">G192-I192-K192</f>
        <v>78975</v>
      </c>
      <c r="S192" s="51" t="n">
        <f aca="false">R192-Q192</f>
        <v>2965</v>
      </c>
      <c r="T192" s="52" t="n">
        <f aca="false">IF(Q192=0,0,S192/Q192)</f>
        <v>0.0390080252598342</v>
      </c>
      <c r="U192" s="51" t="str">
        <f aca="false">IF(AND(Q192&gt;0,T192&lt;-0.15),"ADVERSE","")</f>
        <v/>
      </c>
    </row>
    <row r="193" customFormat="false" ht="15" hidden="false" customHeight="false" outlineLevel="0" collapsed="false">
      <c r="A193" s="47" t="s">
        <v>134</v>
      </c>
      <c r="B193" s="47" t="s">
        <v>137</v>
      </c>
      <c r="C193" s="48" t="n">
        <v>45231</v>
      </c>
      <c r="D193" s="47" t="s">
        <v>33</v>
      </c>
      <c r="E193" s="47" t="s">
        <v>45</v>
      </c>
      <c r="F193" s="49" t="n">
        <v>287515</v>
      </c>
      <c r="G193" s="49" t="n">
        <v>300194</v>
      </c>
      <c r="H193" s="49" t="n">
        <v>165177</v>
      </c>
      <c r="I193" s="49" t="n">
        <v>172334</v>
      </c>
      <c r="J193" s="49" t="n">
        <v>47009</v>
      </c>
      <c r="K193" s="49" t="n">
        <v>49025</v>
      </c>
      <c r="L193" s="50" t="n">
        <v>13.9</v>
      </c>
      <c r="M193" s="51" t="n">
        <f aca="false">G193-F193</f>
        <v>12679</v>
      </c>
      <c r="N193" s="52" t="n">
        <f aca="false">IF(F193=0,0,M193/F193)</f>
        <v>0.044098568770325</v>
      </c>
      <c r="O193" s="51" t="n">
        <f aca="false">G193-I193</f>
        <v>127860</v>
      </c>
      <c r="P193" s="51" t="n">
        <f aca="false">F193-H193</f>
        <v>122338</v>
      </c>
      <c r="Q193" s="51" t="n">
        <f aca="false">F193-H193-J193</f>
        <v>75329</v>
      </c>
      <c r="R193" s="51" t="n">
        <f aca="false">G193-I193-K193</f>
        <v>78835</v>
      </c>
      <c r="S193" s="51" t="n">
        <f aca="false">R193-Q193</f>
        <v>3506</v>
      </c>
      <c r="T193" s="52" t="n">
        <f aca="false">IF(Q193=0,0,S193/Q193)</f>
        <v>0.0465425002323142</v>
      </c>
      <c r="U193" s="51" t="str">
        <f aca="false">IF(AND(Q193&gt;0,T193&lt;-0.15),"ADVERSE","")</f>
        <v/>
      </c>
    </row>
    <row r="194" customFormat="false" ht="15" hidden="false" customHeight="false" outlineLevel="0" collapsed="false">
      <c r="A194" s="47" t="s">
        <v>134</v>
      </c>
      <c r="B194" s="47" t="s">
        <v>137</v>
      </c>
      <c r="C194" s="48" t="n">
        <v>45261</v>
      </c>
      <c r="D194" s="47" t="s">
        <v>33</v>
      </c>
      <c r="E194" s="47" t="s">
        <v>45</v>
      </c>
      <c r="F194" s="49" t="n">
        <v>285741</v>
      </c>
      <c r="G194" s="49" t="n">
        <v>282005</v>
      </c>
      <c r="H194" s="49" t="n">
        <v>164158</v>
      </c>
      <c r="I194" s="49" t="n">
        <v>160884</v>
      </c>
      <c r="J194" s="49" t="n">
        <v>46719</v>
      </c>
      <c r="K194" s="49" t="n">
        <v>46969</v>
      </c>
      <c r="L194" s="50" t="n">
        <v>14.3</v>
      </c>
      <c r="M194" s="51" t="n">
        <f aca="false">G194-F194</f>
        <v>-3736</v>
      </c>
      <c r="N194" s="52" t="n">
        <f aca="false">IF(F194=0,0,M194/F194)</f>
        <v>-0.013074777508303</v>
      </c>
      <c r="O194" s="51" t="n">
        <f aca="false">G194-I194</f>
        <v>121121</v>
      </c>
      <c r="P194" s="51" t="n">
        <f aca="false">F194-H194</f>
        <v>121583</v>
      </c>
      <c r="Q194" s="51" t="n">
        <f aca="false">F194-H194-J194</f>
        <v>74864</v>
      </c>
      <c r="R194" s="51" t="n">
        <f aca="false">G194-I194-K194</f>
        <v>74152</v>
      </c>
      <c r="S194" s="51" t="n">
        <f aca="false">R194-Q194</f>
        <v>-712</v>
      </c>
      <c r="T194" s="52" t="n">
        <f aca="false">IF(Q194=0,0,S194/Q194)</f>
        <v>-0.00951057918358624</v>
      </c>
      <c r="U194" s="51" t="str">
        <f aca="false">IF(AND(Q194&gt;0,T194&lt;-0.15),"ADVERSE","")</f>
        <v/>
      </c>
    </row>
    <row r="195" customFormat="false" ht="15" hidden="false" customHeight="false" outlineLevel="0" collapsed="false">
      <c r="A195" s="47" t="s">
        <v>134</v>
      </c>
      <c r="B195" s="47" t="s">
        <v>138</v>
      </c>
      <c r="C195" s="48" t="n">
        <v>45292</v>
      </c>
      <c r="D195" s="47" t="s">
        <v>33</v>
      </c>
      <c r="E195" s="47" t="s">
        <v>45</v>
      </c>
      <c r="F195" s="49" t="n">
        <v>280106</v>
      </c>
      <c r="G195" s="49" t="n">
        <v>287206</v>
      </c>
      <c r="H195" s="49" t="n">
        <v>160921</v>
      </c>
      <c r="I195" s="49" t="n">
        <v>159192</v>
      </c>
      <c r="J195" s="49" t="n">
        <v>45797</v>
      </c>
      <c r="K195" s="49" t="n">
        <v>47176</v>
      </c>
      <c r="L195" s="50" t="n">
        <v>14.3</v>
      </c>
      <c r="M195" s="51" t="n">
        <f aca="false">G195-F195</f>
        <v>7100</v>
      </c>
      <c r="N195" s="52" t="n">
        <f aca="false">IF(F195=0,0,M195/F195)</f>
        <v>0.0253475470000643</v>
      </c>
      <c r="O195" s="51" t="n">
        <f aca="false">G195-I195</f>
        <v>128014</v>
      </c>
      <c r="P195" s="51" t="n">
        <f aca="false">F195-H195</f>
        <v>119185</v>
      </c>
      <c r="Q195" s="51" t="n">
        <f aca="false">F195-H195-J195</f>
        <v>73388</v>
      </c>
      <c r="R195" s="51" t="n">
        <f aca="false">G195-I195-K195</f>
        <v>80838</v>
      </c>
      <c r="S195" s="51" t="n">
        <f aca="false">R195-Q195</f>
        <v>7450</v>
      </c>
      <c r="T195" s="52" t="n">
        <f aca="false">IF(Q195=0,0,S195/Q195)</f>
        <v>0.101515234098218</v>
      </c>
      <c r="U195" s="51" t="str">
        <f aca="false">IF(AND(Q195&gt;0,T195&lt;-0.15),"ADVERSE","")</f>
        <v/>
      </c>
    </row>
    <row r="196" customFormat="false" ht="15" hidden="false" customHeight="false" outlineLevel="0" collapsed="false">
      <c r="A196" s="47" t="s">
        <v>134</v>
      </c>
      <c r="B196" s="47" t="s">
        <v>138</v>
      </c>
      <c r="C196" s="48" t="n">
        <v>45323</v>
      </c>
      <c r="D196" s="47" t="s">
        <v>33</v>
      </c>
      <c r="E196" s="47" t="s">
        <v>45</v>
      </c>
      <c r="F196" s="49" t="n">
        <v>284442</v>
      </c>
      <c r="G196" s="49" t="n">
        <v>291145</v>
      </c>
      <c r="H196" s="49" t="n">
        <v>163412</v>
      </c>
      <c r="I196" s="49" t="n">
        <v>168935</v>
      </c>
      <c r="J196" s="49" t="n">
        <v>46506</v>
      </c>
      <c r="K196" s="49" t="n">
        <v>47959</v>
      </c>
      <c r="L196" s="50" t="n">
        <v>14.7</v>
      </c>
      <c r="M196" s="51" t="n">
        <f aca="false">G196-F196</f>
        <v>6703</v>
      </c>
      <c r="N196" s="52" t="n">
        <f aca="false">IF(F196=0,0,M196/F196)</f>
        <v>0.0235654368904733</v>
      </c>
      <c r="O196" s="51" t="n">
        <f aca="false">G196-I196</f>
        <v>122210</v>
      </c>
      <c r="P196" s="51" t="n">
        <f aca="false">F196-H196</f>
        <v>121030</v>
      </c>
      <c r="Q196" s="51" t="n">
        <f aca="false">F196-H196-J196</f>
        <v>74524</v>
      </c>
      <c r="R196" s="51" t="n">
        <f aca="false">G196-I196-K196</f>
        <v>74251</v>
      </c>
      <c r="S196" s="51" t="n">
        <f aca="false">R196-Q196</f>
        <v>-273</v>
      </c>
      <c r="T196" s="52" t="n">
        <f aca="false">IF(Q196=0,0,S196/Q196)</f>
        <v>-0.00366324942300467</v>
      </c>
      <c r="U196" s="51" t="str">
        <f aca="false">IF(AND(Q196&gt;0,T196&lt;-0.15),"ADVERSE","")</f>
        <v/>
      </c>
    </row>
    <row r="197" customFormat="false" ht="15" hidden="false" customHeight="false" outlineLevel="0" collapsed="false">
      <c r="A197" s="47" t="s">
        <v>134</v>
      </c>
      <c r="B197" s="47" t="s">
        <v>138</v>
      </c>
      <c r="C197" s="48" t="n">
        <v>45352</v>
      </c>
      <c r="D197" s="47" t="s">
        <v>33</v>
      </c>
      <c r="E197" s="47" t="s">
        <v>45</v>
      </c>
      <c r="F197" s="49" t="n">
        <v>310972</v>
      </c>
      <c r="G197" s="49" t="n">
        <v>327689</v>
      </c>
      <c r="H197" s="49" t="n">
        <v>178654</v>
      </c>
      <c r="I197" s="49" t="n">
        <v>190559</v>
      </c>
      <c r="J197" s="49" t="n">
        <v>50844</v>
      </c>
      <c r="K197" s="49" t="n">
        <v>54518</v>
      </c>
      <c r="L197" s="50" t="n">
        <v>14.4</v>
      </c>
      <c r="M197" s="51" t="n">
        <f aca="false">G197-F197</f>
        <v>16717</v>
      </c>
      <c r="N197" s="52" t="n">
        <f aca="false">IF(F197=0,0,M197/F197)</f>
        <v>0.0537572514567228</v>
      </c>
      <c r="O197" s="51" t="n">
        <f aca="false">G197-I197</f>
        <v>137130</v>
      </c>
      <c r="P197" s="51" t="n">
        <f aca="false">F197-H197</f>
        <v>132318</v>
      </c>
      <c r="Q197" s="51" t="n">
        <f aca="false">F197-H197-J197</f>
        <v>81474</v>
      </c>
      <c r="R197" s="51" t="n">
        <f aca="false">G197-I197-K197</f>
        <v>82612</v>
      </c>
      <c r="S197" s="51" t="n">
        <f aca="false">R197-Q197</f>
        <v>1138</v>
      </c>
      <c r="T197" s="52" t="n">
        <f aca="false">IF(Q197=0,0,S197/Q197)</f>
        <v>0.0139676461202347</v>
      </c>
      <c r="U197" s="51" t="str">
        <f aca="false">IF(AND(Q197&gt;0,T197&lt;-0.15),"ADVERSE","")</f>
        <v/>
      </c>
    </row>
    <row r="198" customFormat="false" ht="15" hidden="false" customHeight="false" outlineLevel="0" collapsed="false">
      <c r="A198" s="47" t="s">
        <v>139</v>
      </c>
      <c r="B198" s="47" t="s">
        <v>135</v>
      </c>
      <c r="C198" s="48" t="n">
        <v>45383</v>
      </c>
      <c r="D198" s="47" t="s">
        <v>33</v>
      </c>
      <c r="E198" s="47" t="s">
        <v>45</v>
      </c>
      <c r="F198" s="49" t="n">
        <v>300878</v>
      </c>
      <c r="G198" s="49" t="n">
        <v>301850</v>
      </c>
      <c r="H198" s="49" t="n">
        <v>172854</v>
      </c>
      <c r="I198" s="49" t="n">
        <v>176630</v>
      </c>
      <c r="J198" s="49" t="n">
        <v>49194</v>
      </c>
      <c r="K198" s="49" t="n">
        <v>49174</v>
      </c>
      <c r="L198" s="50" t="n">
        <v>15</v>
      </c>
      <c r="M198" s="51" t="n">
        <f aca="false">G198-F198</f>
        <v>972</v>
      </c>
      <c r="N198" s="52" t="n">
        <f aca="false">IF(F198=0,0,M198/F198)</f>
        <v>0.00323054527084067</v>
      </c>
      <c r="O198" s="51" t="n">
        <f aca="false">G198-I198</f>
        <v>125220</v>
      </c>
      <c r="P198" s="51" t="n">
        <f aca="false">F198-H198</f>
        <v>128024</v>
      </c>
      <c r="Q198" s="51" t="n">
        <f aca="false">F198-H198-J198</f>
        <v>78830</v>
      </c>
      <c r="R198" s="51" t="n">
        <f aca="false">G198-I198-K198</f>
        <v>76046</v>
      </c>
      <c r="S198" s="51" t="n">
        <f aca="false">R198-Q198</f>
        <v>-2784</v>
      </c>
      <c r="T198" s="52" t="n">
        <f aca="false">IF(Q198=0,0,S198/Q198)</f>
        <v>-0.0353165038690854</v>
      </c>
      <c r="U198" s="51" t="str">
        <f aca="false">IF(AND(Q198&gt;0,T198&lt;-0.15),"ADVERSE","")</f>
        <v/>
      </c>
    </row>
    <row r="199" customFormat="false" ht="15" hidden="false" customHeight="false" outlineLevel="0" collapsed="false">
      <c r="A199" s="47" t="s">
        <v>139</v>
      </c>
      <c r="B199" s="47" t="s">
        <v>135</v>
      </c>
      <c r="C199" s="48" t="n">
        <v>45413</v>
      </c>
      <c r="D199" s="47" t="s">
        <v>33</v>
      </c>
      <c r="E199" s="47" t="s">
        <v>45</v>
      </c>
      <c r="F199" s="49" t="n">
        <v>293842</v>
      </c>
      <c r="G199" s="49" t="n">
        <v>310355</v>
      </c>
      <c r="H199" s="49" t="n">
        <v>168812</v>
      </c>
      <c r="I199" s="49" t="n">
        <v>175883</v>
      </c>
      <c r="J199" s="49" t="n">
        <v>48043</v>
      </c>
      <c r="K199" s="49" t="n">
        <v>52301</v>
      </c>
      <c r="L199" s="50" t="n">
        <v>14.4</v>
      </c>
      <c r="M199" s="51" t="n">
        <f aca="false">G199-F199</f>
        <v>16513</v>
      </c>
      <c r="N199" s="52" t="n">
        <f aca="false">IF(F199=0,0,M199/F199)</f>
        <v>0.0561968677044126</v>
      </c>
      <c r="O199" s="51" t="n">
        <f aca="false">G199-I199</f>
        <v>134472</v>
      </c>
      <c r="P199" s="51" t="n">
        <f aca="false">F199-H199</f>
        <v>125030</v>
      </c>
      <c r="Q199" s="51" t="n">
        <f aca="false">F199-H199-J199</f>
        <v>76987</v>
      </c>
      <c r="R199" s="51" t="n">
        <f aca="false">G199-I199-K199</f>
        <v>82171</v>
      </c>
      <c r="S199" s="51" t="n">
        <f aca="false">R199-Q199</f>
        <v>5184</v>
      </c>
      <c r="T199" s="52" t="n">
        <f aca="false">IF(Q199=0,0,S199/Q199)</f>
        <v>0.0673360437476457</v>
      </c>
      <c r="U199" s="51" t="str">
        <f aca="false">IF(AND(Q199&gt;0,T199&lt;-0.15),"ADVERSE","")</f>
        <v/>
      </c>
    </row>
    <row r="200" customFormat="false" ht="15" hidden="false" customHeight="false" outlineLevel="0" collapsed="false">
      <c r="A200" s="47" t="s">
        <v>139</v>
      </c>
      <c r="B200" s="47" t="s">
        <v>135</v>
      </c>
      <c r="C200" s="48" t="n">
        <v>45444</v>
      </c>
      <c r="D200" s="47" t="s">
        <v>33</v>
      </c>
      <c r="E200" s="47" t="s">
        <v>45</v>
      </c>
      <c r="F200" s="49" t="n">
        <v>313199</v>
      </c>
      <c r="G200" s="49" t="n">
        <v>315715</v>
      </c>
      <c r="H200" s="49" t="n">
        <v>179933</v>
      </c>
      <c r="I200" s="49" t="n">
        <v>180859</v>
      </c>
      <c r="J200" s="49" t="n">
        <v>51208</v>
      </c>
      <c r="K200" s="49" t="n">
        <v>54759</v>
      </c>
      <c r="L200" s="50" t="n">
        <v>15.1</v>
      </c>
      <c r="M200" s="51" t="n">
        <f aca="false">G200-F200</f>
        <v>2516</v>
      </c>
      <c r="N200" s="52" t="n">
        <f aca="false">IF(F200=0,0,M200/F200)</f>
        <v>0.00803323126829907</v>
      </c>
      <c r="O200" s="51" t="n">
        <f aca="false">G200-I200</f>
        <v>134856</v>
      </c>
      <c r="P200" s="51" t="n">
        <f aca="false">F200-H200</f>
        <v>133266</v>
      </c>
      <c r="Q200" s="51" t="n">
        <f aca="false">F200-H200-J200</f>
        <v>82058</v>
      </c>
      <c r="R200" s="51" t="n">
        <f aca="false">G200-I200-K200</f>
        <v>80097</v>
      </c>
      <c r="S200" s="51" t="n">
        <f aca="false">R200-Q200</f>
        <v>-1961</v>
      </c>
      <c r="T200" s="52" t="n">
        <f aca="false">IF(Q200=0,0,S200/Q200)</f>
        <v>-0.0238977308732848</v>
      </c>
      <c r="U200" s="51" t="str">
        <f aca="false">IF(AND(Q200&gt;0,T200&lt;-0.15),"ADVERSE","")</f>
        <v/>
      </c>
    </row>
    <row r="201" customFormat="false" ht="15" hidden="false" customHeight="false" outlineLevel="0" collapsed="false">
      <c r="A201" s="47" t="s">
        <v>139</v>
      </c>
      <c r="B201" s="47" t="s">
        <v>136</v>
      </c>
      <c r="C201" s="48" t="n">
        <v>45474</v>
      </c>
      <c r="D201" s="47" t="s">
        <v>33</v>
      </c>
      <c r="E201" s="47" t="s">
        <v>45</v>
      </c>
      <c r="F201" s="49" t="n">
        <v>314607</v>
      </c>
      <c r="G201" s="49" t="n">
        <v>315251</v>
      </c>
      <c r="H201" s="49" t="n">
        <v>180742</v>
      </c>
      <c r="I201" s="49" t="n">
        <v>181727</v>
      </c>
      <c r="J201" s="49" t="n">
        <v>51438</v>
      </c>
      <c r="K201" s="49" t="n">
        <v>52858</v>
      </c>
      <c r="L201" s="50" t="n">
        <v>14.6</v>
      </c>
      <c r="M201" s="51" t="n">
        <f aca="false">G201-F201</f>
        <v>644</v>
      </c>
      <c r="N201" s="52" t="n">
        <f aca="false">IF(F201=0,0,M201/F201)</f>
        <v>0.0020469983185371</v>
      </c>
      <c r="O201" s="51" t="n">
        <f aca="false">G201-I201</f>
        <v>133524</v>
      </c>
      <c r="P201" s="51" t="n">
        <f aca="false">F201-H201</f>
        <v>133865</v>
      </c>
      <c r="Q201" s="51" t="n">
        <f aca="false">F201-H201-J201</f>
        <v>82427</v>
      </c>
      <c r="R201" s="51" t="n">
        <f aca="false">G201-I201-K201</f>
        <v>80666</v>
      </c>
      <c r="S201" s="51" t="n">
        <f aca="false">R201-Q201</f>
        <v>-1761</v>
      </c>
      <c r="T201" s="52" t="n">
        <f aca="false">IF(Q201=0,0,S201/Q201)</f>
        <v>-0.0213643587659383</v>
      </c>
      <c r="U201" s="51" t="str">
        <f aca="false">IF(AND(Q201&gt;0,T201&lt;-0.15),"ADVERSE","")</f>
        <v/>
      </c>
    </row>
    <row r="202" customFormat="false" ht="15" hidden="false" customHeight="false" outlineLevel="0" collapsed="false">
      <c r="A202" s="47" t="s">
        <v>139</v>
      </c>
      <c r="B202" s="47" t="s">
        <v>136</v>
      </c>
      <c r="C202" s="48" t="n">
        <v>45505</v>
      </c>
      <c r="D202" s="47" t="s">
        <v>33</v>
      </c>
      <c r="E202" s="47" t="s">
        <v>45</v>
      </c>
      <c r="F202" s="49" t="n">
        <v>299908</v>
      </c>
      <c r="G202" s="49" t="n">
        <v>304124</v>
      </c>
      <c r="H202" s="49" t="n">
        <v>172297</v>
      </c>
      <c r="I202" s="49" t="n">
        <v>174031</v>
      </c>
      <c r="J202" s="49" t="n">
        <v>49035</v>
      </c>
      <c r="K202" s="49" t="n">
        <v>49780</v>
      </c>
      <c r="L202" s="50" t="n">
        <v>14.6</v>
      </c>
      <c r="M202" s="51" t="n">
        <f aca="false">G202-F202</f>
        <v>4216</v>
      </c>
      <c r="N202" s="52" t="n">
        <f aca="false">IF(F202=0,0,M202/F202)</f>
        <v>0.0140576443442656</v>
      </c>
      <c r="O202" s="51" t="n">
        <f aca="false">G202-I202</f>
        <v>130093</v>
      </c>
      <c r="P202" s="51" t="n">
        <f aca="false">F202-H202</f>
        <v>127611</v>
      </c>
      <c r="Q202" s="51" t="n">
        <f aca="false">F202-H202-J202</f>
        <v>78576</v>
      </c>
      <c r="R202" s="51" t="n">
        <f aca="false">G202-I202-K202</f>
        <v>80313</v>
      </c>
      <c r="S202" s="51" t="n">
        <f aca="false">R202-Q202</f>
        <v>1737</v>
      </c>
      <c r="T202" s="52" t="n">
        <f aca="false">IF(Q202=0,0,S202/Q202)</f>
        <v>0.0221059865607819</v>
      </c>
      <c r="U202" s="51" t="str">
        <f aca="false">IF(AND(Q202&gt;0,T202&lt;-0.15),"ADVERSE","")</f>
        <v/>
      </c>
    </row>
    <row r="203" customFormat="false" ht="15" hidden="false" customHeight="false" outlineLevel="0" collapsed="false">
      <c r="A203" s="47" t="s">
        <v>139</v>
      </c>
      <c r="B203" s="47" t="s">
        <v>136</v>
      </c>
      <c r="C203" s="48" t="n">
        <v>45536</v>
      </c>
      <c r="D203" s="47" t="s">
        <v>33</v>
      </c>
      <c r="E203" s="47" t="s">
        <v>45</v>
      </c>
      <c r="F203" s="49" t="n">
        <v>312705</v>
      </c>
      <c r="G203" s="49" t="n">
        <v>300267</v>
      </c>
      <c r="H203" s="49" t="n">
        <v>179649</v>
      </c>
      <c r="I203" s="49" t="n">
        <v>177843</v>
      </c>
      <c r="J203" s="49" t="n">
        <v>51127</v>
      </c>
      <c r="K203" s="49" t="n">
        <v>47046</v>
      </c>
      <c r="L203" s="50" t="n">
        <v>15.1</v>
      </c>
      <c r="M203" s="51" t="n">
        <f aca="false">G203-F203</f>
        <v>-12438</v>
      </c>
      <c r="N203" s="52" t="n">
        <f aca="false">IF(F203=0,0,M203/F203)</f>
        <v>-0.0397755072672327</v>
      </c>
      <c r="O203" s="51" t="n">
        <f aca="false">G203-I203</f>
        <v>122424</v>
      </c>
      <c r="P203" s="51" t="n">
        <f aca="false">F203-H203</f>
        <v>133056</v>
      </c>
      <c r="Q203" s="51" t="n">
        <f aca="false">F203-H203-J203</f>
        <v>81929</v>
      </c>
      <c r="R203" s="51" t="n">
        <f aca="false">G203-I203-K203</f>
        <v>75378</v>
      </c>
      <c r="S203" s="51" t="n">
        <f aca="false">R203-Q203</f>
        <v>-6551</v>
      </c>
      <c r="T203" s="52" t="n">
        <f aca="false">IF(Q203=0,0,S203/Q203)</f>
        <v>-0.0799594771082279</v>
      </c>
      <c r="U203" s="51" t="str">
        <f aca="false">IF(AND(Q203&gt;0,T203&lt;-0.15),"ADVERSE","")</f>
        <v/>
      </c>
    </row>
    <row r="204" customFormat="false" ht="15" hidden="false" customHeight="false" outlineLevel="0" collapsed="false">
      <c r="A204" s="47" t="s">
        <v>139</v>
      </c>
      <c r="B204" s="47" t="s">
        <v>137</v>
      </c>
      <c r="C204" s="48" t="n">
        <v>45566</v>
      </c>
      <c r="D204" s="47" t="s">
        <v>33</v>
      </c>
      <c r="E204" s="47" t="s">
        <v>45</v>
      </c>
      <c r="F204" s="49" t="n">
        <v>324974</v>
      </c>
      <c r="G204" s="49" t="n">
        <v>315725</v>
      </c>
      <c r="H204" s="49" t="n">
        <v>186698</v>
      </c>
      <c r="I204" s="49" t="n">
        <v>184030</v>
      </c>
      <c r="J204" s="49" t="n">
        <v>53133</v>
      </c>
      <c r="K204" s="49" t="n">
        <v>52683</v>
      </c>
      <c r="L204" s="50" t="n">
        <v>15.3</v>
      </c>
      <c r="M204" s="51" t="n">
        <f aca="false">G204-F204</f>
        <v>-9249</v>
      </c>
      <c r="N204" s="52" t="n">
        <f aca="false">IF(F204=0,0,M204/F204)</f>
        <v>-0.0284607383975333</v>
      </c>
      <c r="O204" s="51" t="n">
        <f aca="false">G204-I204</f>
        <v>131695</v>
      </c>
      <c r="P204" s="51" t="n">
        <f aca="false">F204-H204</f>
        <v>138276</v>
      </c>
      <c r="Q204" s="51" t="n">
        <f aca="false">F204-H204-J204</f>
        <v>85143</v>
      </c>
      <c r="R204" s="51" t="n">
        <f aca="false">G204-I204-K204</f>
        <v>79012</v>
      </c>
      <c r="S204" s="51" t="n">
        <f aca="false">R204-Q204</f>
        <v>-6131</v>
      </c>
      <c r="T204" s="52" t="n">
        <f aca="false">IF(Q204=0,0,S204/Q204)</f>
        <v>-0.0720082684425026</v>
      </c>
      <c r="U204" s="51" t="str">
        <f aca="false">IF(AND(Q204&gt;0,T204&lt;-0.15),"ADVERSE","")</f>
        <v/>
      </c>
    </row>
    <row r="205" customFormat="false" ht="15" hidden="false" customHeight="false" outlineLevel="0" collapsed="false">
      <c r="A205" s="47" t="s">
        <v>139</v>
      </c>
      <c r="B205" s="47" t="s">
        <v>137</v>
      </c>
      <c r="C205" s="48" t="n">
        <v>45597</v>
      </c>
      <c r="D205" s="47" t="s">
        <v>33</v>
      </c>
      <c r="E205" s="47" t="s">
        <v>45</v>
      </c>
      <c r="F205" s="49" t="n">
        <v>327727</v>
      </c>
      <c r="G205" s="49" t="n">
        <v>330640</v>
      </c>
      <c r="H205" s="49" t="n">
        <v>188279</v>
      </c>
      <c r="I205" s="49" t="n">
        <v>184401</v>
      </c>
      <c r="J205" s="49" t="n">
        <v>53583</v>
      </c>
      <c r="K205" s="49" t="n">
        <v>55322</v>
      </c>
      <c r="L205" s="50" t="n">
        <v>15.3</v>
      </c>
      <c r="M205" s="51" t="n">
        <f aca="false">G205-F205</f>
        <v>2913</v>
      </c>
      <c r="N205" s="52" t="n">
        <f aca="false">IF(F205=0,0,M205/F205)</f>
        <v>0.00888849560762464</v>
      </c>
      <c r="O205" s="51" t="n">
        <f aca="false">G205-I205</f>
        <v>146239</v>
      </c>
      <c r="P205" s="51" t="n">
        <f aca="false">F205-H205</f>
        <v>139448</v>
      </c>
      <c r="Q205" s="51" t="n">
        <f aca="false">F205-H205-J205</f>
        <v>85865</v>
      </c>
      <c r="R205" s="51" t="n">
        <f aca="false">G205-I205-K205</f>
        <v>90917</v>
      </c>
      <c r="S205" s="51" t="n">
        <f aca="false">R205-Q205</f>
        <v>5052</v>
      </c>
      <c r="T205" s="52" t="n">
        <f aca="false">IF(Q205=0,0,S205/Q205)</f>
        <v>0.0588365457404065</v>
      </c>
      <c r="U205" s="51" t="str">
        <f aca="false">IF(AND(Q205&gt;0,T205&lt;-0.15),"ADVERSE","")</f>
        <v/>
      </c>
    </row>
    <row r="206" customFormat="false" ht="15" hidden="false" customHeight="false" outlineLevel="0" collapsed="false">
      <c r="A206" s="47" t="s">
        <v>139</v>
      </c>
      <c r="B206" s="47" t="s">
        <v>137</v>
      </c>
      <c r="C206" s="48" t="n">
        <v>45627</v>
      </c>
      <c r="D206" s="47" t="s">
        <v>33</v>
      </c>
      <c r="E206" s="47" t="s">
        <v>45</v>
      </c>
      <c r="F206" s="49" t="n">
        <v>324949</v>
      </c>
      <c r="G206" s="49" t="n">
        <v>325468</v>
      </c>
      <c r="H206" s="49" t="n">
        <v>186683</v>
      </c>
      <c r="I206" s="49" t="n">
        <v>188226</v>
      </c>
      <c r="J206" s="49" t="n">
        <v>53129</v>
      </c>
      <c r="K206" s="49" t="n">
        <v>55050</v>
      </c>
      <c r="L206" s="50" t="n">
        <v>15.1</v>
      </c>
      <c r="M206" s="51" t="n">
        <f aca="false">G206-F206</f>
        <v>519</v>
      </c>
      <c r="N206" s="52" t="n">
        <f aca="false">IF(F206=0,0,M206/F206)</f>
        <v>0.00159717371033608</v>
      </c>
      <c r="O206" s="51" t="n">
        <f aca="false">G206-I206</f>
        <v>137242</v>
      </c>
      <c r="P206" s="51" t="n">
        <f aca="false">F206-H206</f>
        <v>138266</v>
      </c>
      <c r="Q206" s="51" t="n">
        <f aca="false">F206-H206-J206</f>
        <v>85137</v>
      </c>
      <c r="R206" s="51" t="n">
        <f aca="false">G206-I206-K206</f>
        <v>82192</v>
      </c>
      <c r="S206" s="51" t="n">
        <f aca="false">R206-Q206</f>
        <v>-2945</v>
      </c>
      <c r="T206" s="52" t="n">
        <f aca="false">IF(Q206=0,0,S206/Q206)</f>
        <v>-0.0345913057777465</v>
      </c>
      <c r="U206" s="51" t="str">
        <f aca="false">IF(AND(Q206&gt;0,T206&lt;-0.15),"ADVERSE","")</f>
        <v/>
      </c>
    </row>
    <row r="207" customFormat="false" ht="15" hidden="false" customHeight="false" outlineLevel="0" collapsed="false">
      <c r="A207" s="47" t="s">
        <v>139</v>
      </c>
      <c r="B207" s="47" t="s">
        <v>138</v>
      </c>
      <c r="C207" s="48" t="n">
        <v>45658</v>
      </c>
      <c r="D207" s="47" t="s">
        <v>33</v>
      </c>
      <c r="E207" s="47" t="s">
        <v>45</v>
      </c>
      <c r="F207" s="49" t="n">
        <v>314971</v>
      </c>
      <c r="G207" s="49" t="n">
        <v>318532</v>
      </c>
      <c r="H207" s="49" t="n">
        <v>180951</v>
      </c>
      <c r="I207" s="49" t="n">
        <v>182935</v>
      </c>
      <c r="J207" s="49" t="n">
        <v>51498</v>
      </c>
      <c r="K207" s="49" t="n">
        <v>55043</v>
      </c>
      <c r="L207" s="50" t="n">
        <v>15.3</v>
      </c>
      <c r="M207" s="51" t="n">
        <f aca="false">G207-F207</f>
        <v>3561</v>
      </c>
      <c r="N207" s="52" t="n">
        <f aca="false">IF(F207=0,0,M207/F207)</f>
        <v>0.0113058027564442</v>
      </c>
      <c r="O207" s="51" t="n">
        <f aca="false">G207-I207</f>
        <v>135597</v>
      </c>
      <c r="P207" s="51" t="n">
        <f aca="false">F207-H207</f>
        <v>134020</v>
      </c>
      <c r="Q207" s="51" t="n">
        <f aca="false">F207-H207-J207</f>
        <v>82522</v>
      </c>
      <c r="R207" s="51" t="n">
        <f aca="false">G207-I207-K207</f>
        <v>80554</v>
      </c>
      <c r="S207" s="51" t="n">
        <f aca="false">R207-Q207</f>
        <v>-1968</v>
      </c>
      <c r="T207" s="52" t="n">
        <f aca="false">IF(Q207=0,0,S207/Q207)</f>
        <v>-0.0238481859382952</v>
      </c>
      <c r="U207" s="51" t="str">
        <f aca="false">IF(AND(Q207&gt;0,T207&lt;-0.15),"ADVERSE","")</f>
        <v/>
      </c>
    </row>
    <row r="208" customFormat="false" ht="15" hidden="false" customHeight="false" outlineLevel="0" collapsed="false">
      <c r="A208" s="47" t="s">
        <v>139</v>
      </c>
      <c r="B208" s="47" t="s">
        <v>138</v>
      </c>
      <c r="C208" s="48" t="n">
        <v>45689</v>
      </c>
      <c r="D208" s="47" t="s">
        <v>33</v>
      </c>
      <c r="E208" s="47" t="s">
        <v>45</v>
      </c>
      <c r="F208" s="49" t="n">
        <v>317128</v>
      </c>
      <c r="G208" s="49" t="n">
        <v>311687</v>
      </c>
      <c r="H208" s="49" t="n">
        <v>182190</v>
      </c>
      <c r="I208" s="49" t="n">
        <v>178483</v>
      </c>
      <c r="J208" s="49" t="n">
        <v>51850</v>
      </c>
      <c r="K208" s="49" t="n">
        <v>53431</v>
      </c>
      <c r="L208" s="50" t="n">
        <v>15.2</v>
      </c>
      <c r="M208" s="51" t="n">
        <f aca="false">G208-F208</f>
        <v>-5441</v>
      </c>
      <c r="N208" s="52" t="n">
        <f aca="false">IF(F208=0,0,M208/F208)</f>
        <v>-0.0171571100628138</v>
      </c>
      <c r="O208" s="51" t="n">
        <f aca="false">G208-I208</f>
        <v>133204</v>
      </c>
      <c r="P208" s="51" t="n">
        <f aca="false">F208-H208</f>
        <v>134938</v>
      </c>
      <c r="Q208" s="51" t="n">
        <f aca="false">F208-H208-J208</f>
        <v>83088</v>
      </c>
      <c r="R208" s="51" t="n">
        <f aca="false">G208-I208-K208</f>
        <v>79773</v>
      </c>
      <c r="S208" s="51" t="n">
        <f aca="false">R208-Q208</f>
        <v>-3315</v>
      </c>
      <c r="T208" s="52" t="n">
        <f aca="false">IF(Q208=0,0,S208/Q208)</f>
        <v>-0.0398974581166956</v>
      </c>
      <c r="U208" s="51" t="str">
        <f aca="false">IF(AND(Q208&gt;0,T208&lt;-0.15),"ADVERSE","")</f>
        <v/>
      </c>
    </row>
    <row r="209" customFormat="false" ht="15" hidden="false" customHeight="false" outlineLevel="0" collapsed="false">
      <c r="A209" s="47" t="s">
        <v>139</v>
      </c>
      <c r="B209" s="47" t="s">
        <v>138</v>
      </c>
      <c r="C209" s="48" t="n">
        <v>45717</v>
      </c>
      <c r="D209" s="47" t="s">
        <v>33</v>
      </c>
      <c r="E209" s="47" t="s">
        <v>45</v>
      </c>
      <c r="F209" s="49" t="n">
        <v>341738</v>
      </c>
      <c r="G209" s="49" t="n">
        <v>350730</v>
      </c>
      <c r="H209" s="49" t="n">
        <v>196328</v>
      </c>
      <c r="I209" s="49" t="n">
        <v>199733</v>
      </c>
      <c r="J209" s="49" t="n">
        <v>55874</v>
      </c>
      <c r="K209" s="49" t="n">
        <v>58791</v>
      </c>
      <c r="L209" s="50" t="n">
        <v>15.5</v>
      </c>
      <c r="M209" s="51" t="n">
        <f aca="false">G209-F209</f>
        <v>8992</v>
      </c>
      <c r="N209" s="52" t="n">
        <f aca="false">IF(F209=0,0,M209/F209)</f>
        <v>0.026312555232371</v>
      </c>
      <c r="O209" s="51" t="n">
        <f aca="false">G209-I209</f>
        <v>150997</v>
      </c>
      <c r="P209" s="51" t="n">
        <f aca="false">F209-H209</f>
        <v>145410</v>
      </c>
      <c r="Q209" s="51" t="n">
        <f aca="false">F209-H209-J209</f>
        <v>89536</v>
      </c>
      <c r="R209" s="51" t="n">
        <f aca="false">G209-I209-K209</f>
        <v>92206</v>
      </c>
      <c r="S209" s="51" t="n">
        <f aca="false">R209-Q209</f>
        <v>2670</v>
      </c>
      <c r="T209" s="52" t="n">
        <f aca="false">IF(Q209=0,0,S209/Q209)</f>
        <v>0.0298204074338813</v>
      </c>
      <c r="U209" s="51" t="str">
        <f aca="false">IF(AND(Q209&gt;0,T209&lt;-0.15),"ADVERSE","")</f>
        <v/>
      </c>
    </row>
    <row r="210" customFormat="false" ht="15" hidden="false" customHeight="false" outlineLevel="0" collapsed="false">
      <c r="A210" s="47" t="s">
        <v>3</v>
      </c>
      <c r="B210" s="47" t="s">
        <v>135</v>
      </c>
      <c r="C210" s="48" t="n">
        <v>45748</v>
      </c>
      <c r="D210" s="47" t="s">
        <v>33</v>
      </c>
      <c r="E210" s="47" t="s">
        <v>45</v>
      </c>
      <c r="F210" s="49" t="n">
        <v>332432</v>
      </c>
      <c r="G210" s="49" t="n">
        <v>316459</v>
      </c>
      <c r="H210" s="49" t="n">
        <v>190982</v>
      </c>
      <c r="I210" s="49" t="n">
        <v>184468</v>
      </c>
      <c r="J210" s="49" t="n">
        <v>54353</v>
      </c>
      <c r="K210" s="49" t="n">
        <v>55048</v>
      </c>
      <c r="L210" s="50" t="n">
        <v>16.1</v>
      </c>
      <c r="M210" s="51" t="n">
        <f aca="false">G210-F210</f>
        <v>-15973</v>
      </c>
      <c r="N210" s="52" t="n">
        <f aca="false">IF(F210=0,0,M210/F210)</f>
        <v>-0.0480489242912836</v>
      </c>
      <c r="O210" s="51" t="n">
        <f aca="false">G210-I210</f>
        <v>131991</v>
      </c>
      <c r="P210" s="51" t="n">
        <f aca="false">F210-H210</f>
        <v>141450</v>
      </c>
      <c r="Q210" s="51" t="n">
        <f aca="false">F210-H210-J210</f>
        <v>87097</v>
      </c>
      <c r="R210" s="51" t="n">
        <f aca="false">G210-I210-K210</f>
        <v>76943</v>
      </c>
      <c r="S210" s="51" t="n">
        <f aca="false">R210-Q210</f>
        <v>-10154</v>
      </c>
      <c r="T210" s="52" t="n">
        <f aca="false">IF(Q210=0,0,S210/Q210)</f>
        <v>-0.11658266071162</v>
      </c>
      <c r="U210" s="51" t="str">
        <f aca="false">IF(AND(Q210&gt;0,T210&lt;-0.15),"ADVERSE","")</f>
        <v/>
      </c>
    </row>
    <row r="211" customFormat="false" ht="15" hidden="false" customHeight="false" outlineLevel="0" collapsed="false">
      <c r="A211" s="47" t="s">
        <v>3</v>
      </c>
      <c r="B211" s="47" t="s">
        <v>135</v>
      </c>
      <c r="C211" s="48" t="n">
        <v>45778</v>
      </c>
      <c r="D211" s="47" t="s">
        <v>33</v>
      </c>
      <c r="E211" s="47" t="s">
        <v>45</v>
      </c>
      <c r="F211" s="49" t="n">
        <v>334411</v>
      </c>
      <c r="G211" s="49" t="n">
        <v>337277</v>
      </c>
      <c r="H211" s="49" t="n">
        <v>192119</v>
      </c>
      <c r="I211" s="49" t="n">
        <v>196594</v>
      </c>
      <c r="J211" s="49" t="n">
        <v>54676</v>
      </c>
      <c r="K211" s="49" t="n">
        <v>53311</v>
      </c>
      <c r="L211" s="50" t="n">
        <v>15.6</v>
      </c>
      <c r="M211" s="51" t="n">
        <f aca="false">G211-F211</f>
        <v>2866</v>
      </c>
      <c r="N211" s="52" t="n">
        <f aca="false">IF(F211=0,0,M211/F211)</f>
        <v>0.00857029224517136</v>
      </c>
      <c r="O211" s="51" t="n">
        <f aca="false">G211-I211</f>
        <v>140683</v>
      </c>
      <c r="P211" s="51" t="n">
        <f aca="false">F211-H211</f>
        <v>142292</v>
      </c>
      <c r="Q211" s="51" t="n">
        <f aca="false">F211-H211-J211</f>
        <v>87616</v>
      </c>
      <c r="R211" s="51" t="n">
        <f aca="false">G211-I211-K211</f>
        <v>87372</v>
      </c>
      <c r="S211" s="51" t="n">
        <f aca="false">R211-Q211</f>
        <v>-244</v>
      </c>
      <c r="T211" s="52" t="n">
        <f aca="false">IF(Q211=0,0,S211/Q211)</f>
        <v>-0.00278487947406866</v>
      </c>
      <c r="U211" s="51" t="str">
        <f aca="false">IF(AND(Q211&gt;0,T211&lt;-0.15),"ADVERSE","")</f>
        <v/>
      </c>
    </row>
    <row r="212" customFormat="false" ht="15" hidden="false" customHeight="false" outlineLevel="0" collapsed="false">
      <c r="A212" s="47" t="s">
        <v>3</v>
      </c>
      <c r="B212" s="47" t="s">
        <v>135</v>
      </c>
      <c r="C212" s="48" t="n">
        <v>45809</v>
      </c>
      <c r="D212" s="47" t="s">
        <v>33</v>
      </c>
      <c r="E212" s="47" t="s">
        <v>45</v>
      </c>
      <c r="F212" s="49" t="n">
        <v>345846</v>
      </c>
      <c r="G212" s="49" t="n">
        <v>353789</v>
      </c>
      <c r="H212" s="49" t="n">
        <v>198689</v>
      </c>
      <c r="I212" s="49" t="n">
        <v>205905</v>
      </c>
      <c r="J212" s="49" t="n">
        <v>56546</v>
      </c>
      <c r="K212" s="49" t="n">
        <v>58846</v>
      </c>
      <c r="L212" s="50" t="n">
        <v>15.7</v>
      </c>
      <c r="M212" s="51" t="n">
        <f aca="false">G212-F212</f>
        <v>7943</v>
      </c>
      <c r="N212" s="52" t="n">
        <f aca="false">IF(F212=0,0,M212/F212)</f>
        <v>0.022966869647184</v>
      </c>
      <c r="O212" s="51" t="n">
        <f aca="false">G212-I212</f>
        <v>147884</v>
      </c>
      <c r="P212" s="51" t="n">
        <f aca="false">F212-H212</f>
        <v>147157</v>
      </c>
      <c r="Q212" s="51" t="n">
        <f aca="false">F212-H212-J212</f>
        <v>90611</v>
      </c>
      <c r="R212" s="51" t="n">
        <f aca="false">G212-I212-K212</f>
        <v>89038</v>
      </c>
      <c r="S212" s="51" t="n">
        <f aca="false">R212-Q212</f>
        <v>-1573</v>
      </c>
      <c r="T212" s="52" t="n">
        <f aca="false">IF(Q212=0,0,S212/Q212)</f>
        <v>-0.0173599231881339</v>
      </c>
      <c r="U212" s="51" t="str">
        <f aca="false">IF(AND(Q212&gt;0,T212&lt;-0.15),"ADVERSE","")</f>
        <v/>
      </c>
    </row>
    <row r="213" customFormat="false" ht="15" hidden="false" customHeight="false" outlineLevel="0" collapsed="false">
      <c r="A213" s="47" t="s">
        <v>3</v>
      </c>
      <c r="B213" s="47" t="s">
        <v>136</v>
      </c>
      <c r="C213" s="48" t="n">
        <v>45839</v>
      </c>
      <c r="D213" s="47" t="s">
        <v>33</v>
      </c>
      <c r="E213" s="47" t="s">
        <v>45</v>
      </c>
      <c r="F213" s="49" t="n">
        <v>352607</v>
      </c>
      <c r="G213" s="49" t="n">
        <v>331287</v>
      </c>
      <c r="H213" s="49" t="n">
        <v>202573</v>
      </c>
      <c r="I213" s="49" t="n">
        <v>193360</v>
      </c>
      <c r="J213" s="49" t="n">
        <v>57651</v>
      </c>
      <c r="K213" s="49" t="n">
        <v>52435</v>
      </c>
      <c r="L213" s="50" t="n">
        <v>15.8</v>
      </c>
      <c r="M213" s="51" t="n">
        <f aca="false">G213-F213</f>
        <v>-21320</v>
      </c>
      <c r="N213" s="52" t="n">
        <f aca="false">IF(F213=0,0,M213/F213)</f>
        <v>-0.0604639159177214</v>
      </c>
      <c r="O213" s="51" t="n">
        <f aca="false">G213-I213</f>
        <v>137927</v>
      </c>
      <c r="P213" s="51" t="n">
        <f aca="false">F213-H213</f>
        <v>150034</v>
      </c>
      <c r="Q213" s="51" t="n">
        <f aca="false">F213-H213-J213</f>
        <v>92383</v>
      </c>
      <c r="R213" s="51" t="n">
        <f aca="false">G213-I213-K213</f>
        <v>85492</v>
      </c>
      <c r="S213" s="51" t="n">
        <f aca="false">R213-Q213</f>
        <v>-6891</v>
      </c>
      <c r="T213" s="52" t="n">
        <f aca="false">IF(Q213=0,0,S213/Q213)</f>
        <v>-0.0745916456490913</v>
      </c>
      <c r="U213" s="51" t="str">
        <f aca="false">IF(AND(Q213&gt;0,T213&lt;-0.15),"ADVERSE","")</f>
        <v/>
      </c>
    </row>
    <row r="214" customFormat="false" ht="15" hidden="false" customHeight="false" outlineLevel="0" collapsed="false">
      <c r="A214" s="47" t="s">
        <v>3</v>
      </c>
      <c r="B214" s="47" t="s">
        <v>136</v>
      </c>
      <c r="C214" s="48" t="n">
        <v>45870</v>
      </c>
      <c r="D214" s="47" t="s">
        <v>33</v>
      </c>
      <c r="E214" s="47" t="s">
        <v>45</v>
      </c>
      <c r="F214" s="49" t="n">
        <v>341524</v>
      </c>
      <c r="G214" s="49" t="n">
        <v>331985</v>
      </c>
      <c r="H214" s="49" t="n">
        <v>196205</v>
      </c>
      <c r="I214" s="49" t="n">
        <v>189987</v>
      </c>
      <c r="J214" s="49" t="n">
        <v>55839</v>
      </c>
      <c r="K214" s="49" t="n">
        <v>53080</v>
      </c>
      <c r="L214" s="50" t="n">
        <v>16.3</v>
      </c>
      <c r="M214" s="51" t="n">
        <f aca="false">G214-F214</f>
        <v>-9539</v>
      </c>
      <c r="N214" s="52" t="n">
        <f aca="false">IF(F214=0,0,M214/F214)</f>
        <v>-0.0279306871552219</v>
      </c>
      <c r="O214" s="51" t="n">
        <f aca="false">G214-I214</f>
        <v>141998</v>
      </c>
      <c r="P214" s="51" t="n">
        <f aca="false">F214-H214</f>
        <v>145319</v>
      </c>
      <c r="Q214" s="51" t="n">
        <f aca="false">F214-H214-J214</f>
        <v>89480</v>
      </c>
      <c r="R214" s="51" t="n">
        <f aca="false">G214-I214-K214</f>
        <v>88918</v>
      </c>
      <c r="S214" s="51" t="n">
        <f aca="false">R214-Q214</f>
        <v>-562</v>
      </c>
      <c r="T214" s="52" t="n">
        <f aca="false">IF(Q214=0,0,S214/Q214)</f>
        <v>-0.00628073312472061</v>
      </c>
      <c r="U214" s="51" t="str">
        <f aca="false">IF(AND(Q214&gt;0,T214&lt;-0.15),"ADVERSE","")</f>
        <v/>
      </c>
    </row>
    <row r="215" customFormat="false" ht="15" hidden="false" customHeight="false" outlineLevel="0" collapsed="false">
      <c r="A215" s="47" t="s">
        <v>3</v>
      </c>
      <c r="B215" s="47" t="s">
        <v>136</v>
      </c>
      <c r="C215" s="48" t="n">
        <v>45901</v>
      </c>
      <c r="D215" s="47" t="s">
        <v>33</v>
      </c>
      <c r="E215" s="47" t="s">
        <v>45</v>
      </c>
      <c r="F215" s="49" t="n">
        <v>346070</v>
      </c>
      <c r="G215" s="49" t="n">
        <v>349593</v>
      </c>
      <c r="H215" s="49" t="n">
        <v>198817</v>
      </c>
      <c r="I215" s="49" t="n">
        <v>199172</v>
      </c>
      <c r="J215" s="49" t="n">
        <v>56582</v>
      </c>
      <c r="K215" s="49" t="n">
        <v>60011</v>
      </c>
      <c r="L215" s="50" t="n">
        <v>15.9</v>
      </c>
      <c r="M215" s="51" t="n">
        <f aca="false">G215-F215</f>
        <v>3523</v>
      </c>
      <c r="N215" s="52" t="n">
        <f aca="false">IF(F215=0,0,M215/F215)</f>
        <v>0.0101800213829572</v>
      </c>
      <c r="O215" s="51" t="n">
        <f aca="false">G215-I215</f>
        <v>150421</v>
      </c>
      <c r="P215" s="51" t="n">
        <f aca="false">F215-H215</f>
        <v>147253</v>
      </c>
      <c r="Q215" s="51" t="n">
        <f aca="false">F215-H215-J215</f>
        <v>90671</v>
      </c>
      <c r="R215" s="51" t="n">
        <f aca="false">G215-I215-K215</f>
        <v>90410</v>
      </c>
      <c r="S215" s="51" t="n">
        <f aca="false">R215-Q215</f>
        <v>-261</v>
      </c>
      <c r="T215" s="52" t="n">
        <f aca="false">IF(Q215=0,0,S215/Q215)</f>
        <v>-0.00287853889336171</v>
      </c>
      <c r="U215" s="51" t="str">
        <f aca="false">IF(AND(Q215&gt;0,T215&lt;-0.15),"ADVERSE","")</f>
        <v/>
      </c>
    </row>
    <row r="216" customFormat="false" ht="15" hidden="false" customHeight="false" outlineLevel="0" collapsed="false">
      <c r="A216" s="47" t="s">
        <v>3</v>
      </c>
      <c r="B216" s="47" t="s">
        <v>137</v>
      </c>
      <c r="C216" s="48" t="n">
        <v>45931</v>
      </c>
      <c r="D216" s="47" t="s">
        <v>33</v>
      </c>
      <c r="E216" s="47" t="s">
        <v>45</v>
      </c>
      <c r="F216" s="49" t="n">
        <v>363706</v>
      </c>
      <c r="G216" s="49" t="n">
        <v>351609</v>
      </c>
      <c r="H216" s="49" t="n">
        <v>208949</v>
      </c>
      <c r="I216" s="49" t="n">
        <v>202637</v>
      </c>
      <c r="J216" s="49" t="n">
        <v>59466</v>
      </c>
      <c r="K216" s="49" t="n">
        <v>59976</v>
      </c>
      <c r="L216" s="50" t="n">
        <v>15.9</v>
      </c>
      <c r="M216" s="51" t="n">
        <f aca="false">G216-F216</f>
        <v>-12097</v>
      </c>
      <c r="N216" s="52" t="n">
        <f aca="false">IF(F216=0,0,M216/F216)</f>
        <v>-0.033260380637108</v>
      </c>
      <c r="O216" s="51" t="n">
        <f aca="false">G216-I216</f>
        <v>148972</v>
      </c>
      <c r="P216" s="51" t="n">
        <f aca="false">F216-H216</f>
        <v>154757</v>
      </c>
      <c r="Q216" s="51" t="n">
        <f aca="false">F216-H216-J216</f>
        <v>95291</v>
      </c>
      <c r="R216" s="51" t="n">
        <f aca="false">G216-I216-K216</f>
        <v>88996</v>
      </c>
      <c r="S216" s="51" t="n">
        <f aca="false">R216-Q216</f>
        <v>-6295</v>
      </c>
      <c r="T216" s="52" t="n">
        <f aca="false">IF(Q216=0,0,S216/Q216)</f>
        <v>-0.0660608032238092</v>
      </c>
      <c r="U216" s="51" t="str">
        <f aca="false">IF(AND(Q216&gt;0,T216&lt;-0.15),"ADVERSE","")</f>
        <v/>
      </c>
    </row>
    <row r="217" customFormat="false" ht="15" hidden="false" customHeight="false" outlineLevel="0" collapsed="false">
      <c r="A217" s="47" t="s">
        <v>3</v>
      </c>
      <c r="B217" s="47" t="s">
        <v>137</v>
      </c>
      <c r="C217" s="48" t="n">
        <v>45962</v>
      </c>
      <c r="D217" s="47" t="s">
        <v>33</v>
      </c>
      <c r="E217" s="47" t="s">
        <v>45</v>
      </c>
      <c r="F217" s="49" t="n">
        <v>362785</v>
      </c>
      <c r="G217" s="49" t="n">
        <v>354555</v>
      </c>
      <c r="H217" s="49" t="n">
        <v>208420</v>
      </c>
      <c r="I217" s="49" t="n">
        <v>204815</v>
      </c>
      <c r="J217" s="49" t="n">
        <v>59315</v>
      </c>
      <c r="K217" s="49" t="n">
        <v>59729</v>
      </c>
      <c r="L217" s="50" t="n">
        <v>16.1</v>
      </c>
      <c r="M217" s="51" t="n">
        <f aca="false">G217-F217</f>
        <v>-8230</v>
      </c>
      <c r="N217" s="52" t="n">
        <f aca="false">IF(F217=0,0,M217/F217)</f>
        <v>-0.0226856126907121</v>
      </c>
      <c r="O217" s="51" t="n">
        <f aca="false">G217-I217</f>
        <v>149740</v>
      </c>
      <c r="P217" s="51" t="n">
        <f aca="false">F217-H217</f>
        <v>154365</v>
      </c>
      <c r="Q217" s="51" t="n">
        <f aca="false">F217-H217-J217</f>
        <v>95050</v>
      </c>
      <c r="R217" s="51" t="n">
        <f aca="false">G217-I217-K217</f>
        <v>90011</v>
      </c>
      <c r="S217" s="51" t="n">
        <f aca="false">R217-Q217</f>
        <v>-5039</v>
      </c>
      <c r="T217" s="52" t="n">
        <f aca="false">IF(Q217=0,0,S217/Q217)</f>
        <v>-0.0530142030510258</v>
      </c>
      <c r="U217" s="51" t="str">
        <f aca="false">IF(AND(Q217&gt;0,T217&lt;-0.15),"ADVERSE","")</f>
        <v/>
      </c>
    </row>
    <row r="218" customFormat="false" ht="15" hidden="false" customHeight="false" outlineLevel="0" collapsed="false">
      <c r="A218" s="47" t="s">
        <v>3</v>
      </c>
      <c r="B218" s="47" t="s">
        <v>137</v>
      </c>
      <c r="C218" s="48" t="n">
        <v>45992</v>
      </c>
      <c r="D218" s="47" t="s">
        <v>33</v>
      </c>
      <c r="E218" s="47" t="s">
        <v>45</v>
      </c>
      <c r="F218" s="49" t="n">
        <v>359325</v>
      </c>
      <c r="G218" s="49" t="n">
        <v>367590</v>
      </c>
      <c r="H218" s="49" t="n">
        <v>206432</v>
      </c>
      <c r="I218" s="49" t="n">
        <v>213013</v>
      </c>
      <c r="J218" s="49" t="n">
        <v>58750</v>
      </c>
      <c r="K218" s="49" t="n">
        <v>59380</v>
      </c>
      <c r="L218" s="50" t="n">
        <v>16.5</v>
      </c>
      <c r="M218" s="51" t="n">
        <f aca="false">G218-F218</f>
        <v>8265</v>
      </c>
      <c r="N218" s="52" t="n">
        <f aca="false">IF(F218=0,0,M218/F218)</f>
        <v>0.0230014610728449</v>
      </c>
      <c r="O218" s="51" t="n">
        <f aca="false">G218-I218</f>
        <v>154577</v>
      </c>
      <c r="P218" s="51" t="n">
        <f aca="false">F218-H218</f>
        <v>152893</v>
      </c>
      <c r="Q218" s="51" t="n">
        <f aca="false">F218-H218-J218</f>
        <v>94143</v>
      </c>
      <c r="R218" s="51" t="n">
        <f aca="false">G218-I218-K218</f>
        <v>95197</v>
      </c>
      <c r="S218" s="51" t="n">
        <f aca="false">R218-Q218</f>
        <v>1054</v>
      </c>
      <c r="T218" s="52" t="n">
        <f aca="false">IF(Q218=0,0,S218/Q218)</f>
        <v>0.0111957341491136</v>
      </c>
      <c r="U218" s="51" t="str">
        <f aca="false">IF(AND(Q218&gt;0,T218&lt;-0.15),"ADVERSE","")</f>
        <v/>
      </c>
    </row>
    <row r="219" customFormat="false" ht="15" hidden="false" customHeight="false" outlineLevel="0" collapsed="false">
      <c r="A219" s="47" t="s">
        <v>3</v>
      </c>
      <c r="B219" s="47" t="s">
        <v>138</v>
      </c>
      <c r="C219" s="48" t="n">
        <v>46023</v>
      </c>
      <c r="D219" s="47" t="s">
        <v>33</v>
      </c>
      <c r="E219" s="47" t="s">
        <v>45</v>
      </c>
      <c r="F219" s="49" t="n">
        <v>349948</v>
      </c>
      <c r="G219" s="49" t="n">
        <v>357760</v>
      </c>
      <c r="H219" s="49" t="n">
        <v>201045</v>
      </c>
      <c r="I219" s="49" t="n">
        <v>206271</v>
      </c>
      <c r="J219" s="49" t="n">
        <v>57216</v>
      </c>
      <c r="K219" s="49" t="n">
        <v>59710</v>
      </c>
      <c r="L219" s="50" t="n">
        <v>16.2</v>
      </c>
      <c r="M219" s="51" t="n">
        <f aca="false">G219-F219</f>
        <v>7812</v>
      </c>
      <c r="N219" s="52" t="n">
        <f aca="false">IF(F219=0,0,M219/F219)</f>
        <v>0.0223233166070388</v>
      </c>
      <c r="O219" s="51" t="n">
        <f aca="false">G219-I219</f>
        <v>151489</v>
      </c>
      <c r="P219" s="51" t="n">
        <f aca="false">F219-H219</f>
        <v>148903</v>
      </c>
      <c r="Q219" s="51" t="n">
        <f aca="false">F219-H219-J219</f>
        <v>91687</v>
      </c>
      <c r="R219" s="51" t="n">
        <f aca="false">G219-I219-K219</f>
        <v>91779</v>
      </c>
      <c r="S219" s="51" t="n">
        <f aca="false">R219-Q219</f>
        <v>92</v>
      </c>
      <c r="T219" s="52" t="n">
        <f aca="false">IF(Q219=0,0,S219/Q219)</f>
        <v>0.00100341378821425</v>
      </c>
      <c r="U219" s="51" t="str">
        <f aca="false">IF(AND(Q219&gt;0,T219&lt;-0.15),"ADVERSE","")</f>
        <v/>
      </c>
    </row>
    <row r="220" customFormat="false" ht="15" hidden="false" customHeight="false" outlineLevel="0" collapsed="false">
      <c r="A220" s="47" t="s">
        <v>3</v>
      </c>
      <c r="B220" s="47" t="s">
        <v>138</v>
      </c>
      <c r="C220" s="48" t="n">
        <v>46054</v>
      </c>
      <c r="D220" s="47" t="s">
        <v>33</v>
      </c>
      <c r="E220" s="47" t="s">
        <v>45</v>
      </c>
      <c r="F220" s="49" t="n">
        <v>359170</v>
      </c>
      <c r="G220" s="49" t="n">
        <v>345754</v>
      </c>
      <c r="H220" s="49" t="n">
        <v>206343</v>
      </c>
      <c r="I220" s="49" t="n">
        <v>197457</v>
      </c>
      <c r="J220" s="49" t="n">
        <v>58724</v>
      </c>
      <c r="K220" s="49" t="n">
        <v>56962</v>
      </c>
      <c r="L220" s="50" t="n">
        <v>16.7</v>
      </c>
      <c r="M220" s="51" t="n">
        <f aca="false">G220-F220</f>
        <v>-13416</v>
      </c>
      <c r="N220" s="52" t="n">
        <f aca="false">IF(F220=0,0,M220/F220)</f>
        <v>-0.0373527855889969</v>
      </c>
      <c r="O220" s="51" t="n">
        <f aca="false">G220-I220</f>
        <v>148297</v>
      </c>
      <c r="P220" s="51" t="n">
        <f aca="false">F220-H220</f>
        <v>152827</v>
      </c>
      <c r="Q220" s="51" t="n">
        <f aca="false">F220-H220-J220</f>
        <v>94103</v>
      </c>
      <c r="R220" s="51" t="n">
        <f aca="false">G220-I220-K220</f>
        <v>91335</v>
      </c>
      <c r="S220" s="51" t="n">
        <f aca="false">R220-Q220</f>
        <v>-2768</v>
      </c>
      <c r="T220" s="52" t="n">
        <f aca="false">IF(Q220=0,0,S220/Q220)</f>
        <v>-0.0294145776436458</v>
      </c>
      <c r="U220" s="51" t="str">
        <f aca="false">IF(AND(Q220&gt;0,T220&lt;-0.15),"ADVERSE","")</f>
        <v/>
      </c>
    </row>
    <row r="221" customFormat="false" ht="15" hidden="false" customHeight="false" outlineLevel="0" collapsed="false">
      <c r="A221" s="47" t="s">
        <v>3</v>
      </c>
      <c r="B221" s="47" t="s">
        <v>138</v>
      </c>
      <c r="C221" s="48" t="n">
        <v>46082</v>
      </c>
      <c r="D221" s="47" t="s">
        <v>33</v>
      </c>
      <c r="E221" s="47" t="s">
        <v>45</v>
      </c>
      <c r="F221" s="49" t="n">
        <v>392316</v>
      </c>
      <c r="G221" s="49" t="n">
        <v>358007</v>
      </c>
      <c r="H221" s="49" t="n">
        <v>225386</v>
      </c>
      <c r="I221" s="49" t="n">
        <v>201976</v>
      </c>
      <c r="J221" s="49" t="n">
        <v>64144</v>
      </c>
      <c r="K221" s="49" t="n">
        <v>59979</v>
      </c>
      <c r="L221" s="50" t="n">
        <v>16.7</v>
      </c>
      <c r="M221" s="51" t="n">
        <f aca="false">G221-F221</f>
        <v>-34309</v>
      </c>
      <c r="N221" s="52" t="n">
        <f aca="false">IF(F221=0,0,M221/F221)</f>
        <v>-0.0874524617910052</v>
      </c>
      <c r="O221" s="51" t="n">
        <f aca="false">G221-I221</f>
        <v>156031</v>
      </c>
      <c r="P221" s="51" t="n">
        <f aca="false">F221-H221</f>
        <v>166930</v>
      </c>
      <c r="Q221" s="51" t="n">
        <f aca="false">F221-H221-J221</f>
        <v>102786</v>
      </c>
      <c r="R221" s="51" t="n">
        <f aca="false">G221-I221-K221</f>
        <v>96052</v>
      </c>
      <c r="S221" s="51" t="n">
        <f aca="false">R221-Q221</f>
        <v>-6734</v>
      </c>
      <c r="T221" s="52" t="n">
        <f aca="false">IF(Q221=0,0,S221/Q221)</f>
        <v>-0.0655147588192945</v>
      </c>
      <c r="U221" s="51" t="str">
        <f aca="false">IF(AND(Q221&gt;0,T221&lt;-0.15),"ADVERSE","")</f>
        <v/>
      </c>
    </row>
    <row r="222" customFormat="false" ht="15" hidden="false" customHeight="false" outlineLevel="0" collapsed="false">
      <c r="A222" s="47" t="s">
        <v>134</v>
      </c>
      <c r="B222" s="47" t="s">
        <v>135</v>
      </c>
      <c r="C222" s="48" t="n">
        <v>45017</v>
      </c>
      <c r="D222" s="47" t="s">
        <v>34</v>
      </c>
      <c r="E222" s="47" t="s">
        <v>40</v>
      </c>
      <c r="F222" s="49" t="n">
        <v>647931</v>
      </c>
      <c r="G222" s="49" t="n">
        <v>651345</v>
      </c>
      <c r="H222" s="49" t="n">
        <v>404633</v>
      </c>
      <c r="I222" s="49" t="n">
        <v>411018</v>
      </c>
      <c r="J222" s="49" t="n">
        <v>96218</v>
      </c>
      <c r="K222" s="49" t="n">
        <v>100881</v>
      </c>
      <c r="L222" s="50" t="n">
        <v>43.1</v>
      </c>
      <c r="M222" s="51" t="n">
        <f aca="false">G222-F222</f>
        <v>3414</v>
      </c>
      <c r="N222" s="52" t="n">
        <f aca="false">IF(F222=0,0,M222/F222)</f>
        <v>0.00526907957791802</v>
      </c>
      <c r="O222" s="51" t="n">
        <f aca="false">G222-I222</f>
        <v>240327</v>
      </c>
      <c r="P222" s="51" t="n">
        <f aca="false">F222-H222</f>
        <v>243298</v>
      </c>
      <c r="Q222" s="51" t="n">
        <f aca="false">F222-H222-J222</f>
        <v>147080</v>
      </c>
      <c r="R222" s="51" t="n">
        <f aca="false">G222-I222-K222</f>
        <v>139446</v>
      </c>
      <c r="S222" s="51" t="n">
        <f aca="false">R222-Q222</f>
        <v>-7634</v>
      </c>
      <c r="T222" s="52" t="n">
        <f aca="false">IF(Q222=0,0,S222/Q222)</f>
        <v>-0.0519037258634757</v>
      </c>
      <c r="U222" s="51" t="str">
        <f aca="false">IF(AND(Q222&gt;0,T222&lt;-0.15),"ADVERSE","")</f>
        <v/>
      </c>
    </row>
    <row r="223" customFormat="false" ht="15" hidden="false" customHeight="false" outlineLevel="0" collapsed="false">
      <c r="A223" s="47" t="s">
        <v>134</v>
      </c>
      <c r="B223" s="47" t="s">
        <v>135</v>
      </c>
      <c r="C223" s="48" t="n">
        <v>45047</v>
      </c>
      <c r="D223" s="47" t="s">
        <v>34</v>
      </c>
      <c r="E223" s="47" t="s">
        <v>40</v>
      </c>
      <c r="F223" s="49" t="n">
        <v>639108</v>
      </c>
      <c r="G223" s="49" t="n">
        <v>651511</v>
      </c>
      <c r="H223" s="49" t="n">
        <v>399123</v>
      </c>
      <c r="I223" s="49" t="n">
        <v>399577</v>
      </c>
      <c r="J223" s="49" t="n">
        <v>94908</v>
      </c>
      <c r="K223" s="49" t="n">
        <v>101444</v>
      </c>
      <c r="L223" s="50" t="n">
        <v>42.8</v>
      </c>
      <c r="M223" s="51" t="n">
        <f aca="false">G223-F223</f>
        <v>12403</v>
      </c>
      <c r="N223" s="52" t="n">
        <f aca="false">IF(F223=0,0,M223/F223)</f>
        <v>0.0194067356377952</v>
      </c>
      <c r="O223" s="51" t="n">
        <f aca="false">G223-I223</f>
        <v>251934</v>
      </c>
      <c r="P223" s="51" t="n">
        <f aca="false">F223-H223</f>
        <v>239985</v>
      </c>
      <c r="Q223" s="51" t="n">
        <f aca="false">F223-H223-J223</f>
        <v>145077</v>
      </c>
      <c r="R223" s="51" t="n">
        <f aca="false">G223-I223-K223</f>
        <v>150490</v>
      </c>
      <c r="S223" s="51" t="n">
        <f aca="false">R223-Q223</f>
        <v>5413</v>
      </c>
      <c r="T223" s="52" t="n">
        <f aca="false">IF(Q223=0,0,S223/Q223)</f>
        <v>0.0373112209378468</v>
      </c>
      <c r="U223" s="51" t="str">
        <f aca="false">IF(AND(Q223&gt;0,T223&lt;-0.15),"ADVERSE","")</f>
        <v/>
      </c>
    </row>
    <row r="224" customFormat="false" ht="15" hidden="false" customHeight="false" outlineLevel="0" collapsed="false">
      <c r="A224" s="47" t="s">
        <v>134</v>
      </c>
      <c r="B224" s="47" t="s">
        <v>135</v>
      </c>
      <c r="C224" s="48" t="n">
        <v>45078</v>
      </c>
      <c r="D224" s="47" t="s">
        <v>34</v>
      </c>
      <c r="E224" s="47" t="s">
        <v>40</v>
      </c>
      <c r="F224" s="49" t="n">
        <v>663899</v>
      </c>
      <c r="G224" s="49" t="n">
        <v>653970</v>
      </c>
      <c r="H224" s="49" t="n">
        <v>414605</v>
      </c>
      <c r="I224" s="49" t="n">
        <v>401680</v>
      </c>
      <c r="J224" s="49" t="n">
        <v>98589</v>
      </c>
      <c r="K224" s="49" t="n">
        <v>99979</v>
      </c>
      <c r="L224" s="50" t="n">
        <v>43.1</v>
      </c>
      <c r="M224" s="51" t="n">
        <f aca="false">G224-F224</f>
        <v>-9929</v>
      </c>
      <c r="N224" s="52" t="n">
        <f aca="false">IF(F224=0,0,M224/F224)</f>
        <v>-0.0149555881240972</v>
      </c>
      <c r="O224" s="51" t="n">
        <f aca="false">G224-I224</f>
        <v>252290</v>
      </c>
      <c r="P224" s="51" t="n">
        <f aca="false">F224-H224</f>
        <v>249294</v>
      </c>
      <c r="Q224" s="51" t="n">
        <f aca="false">F224-H224-J224</f>
        <v>150705</v>
      </c>
      <c r="R224" s="51" t="n">
        <f aca="false">G224-I224-K224</f>
        <v>152311</v>
      </c>
      <c r="S224" s="51" t="n">
        <f aca="false">R224-Q224</f>
        <v>1606</v>
      </c>
      <c r="T224" s="52" t="n">
        <f aca="false">IF(Q224=0,0,S224/Q224)</f>
        <v>0.0106565807372018</v>
      </c>
      <c r="U224" s="51" t="str">
        <f aca="false">IF(AND(Q224&gt;0,T224&lt;-0.15),"ADVERSE","")</f>
        <v/>
      </c>
    </row>
    <row r="225" customFormat="false" ht="15" hidden="false" customHeight="false" outlineLevel="0" collapsed="false">
      <c r="A225" s="47" t="s">
        <v>134</v>
      </c>
      <c r="B225" s="47" t="s">
        <v>136</v>
      </c>
      <c r="C225" s="48" t="n">
        <v>45108</v>
      </c>
      <c r="D225" s="47" t="s">
        <v>34</v>
      </c>
      <c r="E225" s="47" t="s">
        <v>40</v>
      </c>
      <c r="F225" s="49" t="n">
        <v>667815</v>
      </c>
      <c r="G225" s="49" t="n">
        <v>653579</v>
      </c>
      <c r="H225" s="49" t="n">
        <v>417050</v>
      </c>
      <c r="I225" s="49" t="n">
        <v>404037</v>
      </c>
      <c r="J225" s="49" t="n">
        <v>99170</v>
      </c>
      <c r="K225" s="49" t="n">
        <v>98963</v>
      </c>
      <c r="L225" s="50" t="n">
        <v>44.7</v>
      </c>
      <c r="M225" s="51" t="n">
        <f aca="false">G225-F225</f>
        <v>-14236</v>
      </c>
      <c r="N225" s="52" t="n">
        <f aca="false">IF(F225=0,0,M225/F225)</f>
        <v>-0.0213172809835059</v>
      </c>
      <c r="O225" s="51" t="n">
        <f aca="false">G225-I225</f>
        <v>249542</v>
      </c>
      <c r="P225" s="51" t="n">
        <f aca="false">F225-H225</f>
        <v>250765</v>
      </c>
      <c r="Q225" s="51" t="n">
        <f aca="false">F225-H225-J225</f>
        <v>151595</v>
      </c>
      <c r="R225" s="51" t="n">
        <f aca="false">G225-I225-K225</f>
        <v>150579</v>
      </c>
      <c r="S225" s="51" t="n">
        <f aca="false">R225-Q225</f>
        <v>-1016</v>
      </c>
      <c r="T225" s="52" t="n">
        <f aca="false">IF(Q225=0,0,S225/Q225)</f>
        <v>-0.00670206801015865</v>
      </c>
      <c r="U225" s="51" t="str">
        <f aca="false">IF(AND(Q225&gt;0,T225&lt;-0.15),"ADVERSE","")</f>
        <v/>
      </c>
    </row>
    <row r="226" customFormat="false" ht="15" hidden="false" customHeight="false" outlineLevel="0" collapsed="false">
      <c r="A226" s="47" t="s">
        <v>134</v>
      </c>
      <c r="B226" s="47" t="s">
        <v>136</v>
      </c>
      <c r="C226" s="48" t="n">
        <v>45139</v>
      </c>
      <c r="D226" s="47" t="s">
        <v>34</v>
      </c>
      <c r="E226" s="47" t="s">
        <v>40</v>
      </c>
      <c r="F226" s="49" t="n">
        <v>652040</v>
      </c>
      <c r="G226" s="49" t="n">
        <v>672115</v>
      </c>
      <c r="H226" s="49" t="n">
        <v>407199</v>
      </c>
      <c r="I226" s="49" t="n">
        <v>416764</v>
      </c>
      <c r="J226" s="49" t="n">
        <v>96828</v>
      </c>
      <c r="K226" s="49" t="n">
        <v>99845</v>
      </c>
      <c r="L226" s="50" t="n">
        <v>44</v>
      </c>
      <c r="M226" s="51" t="n">
        <f aca="false">G226-F226</f>
        <v>20075</v>
      </c>
      <c r="N226" s="52" t="n">
        <f aca="false">IF(F226=0,0,M226/F226)</f>
        <v>0.0307879884669652</v>
      </c>
      <c r="O226" s="51" t="n">
        <f aca="false">G226-I226</f>
        <v>255351</v>
      </c>
      <c r="P226" s="51" t="n">
        <f aca="false">F226-H226</f>
        <v>244841</v>
      </c>
      <c r="Q226" s="51" t="n">
        <f aca="false">F226-H226-J226</f>
        <v>148013</v>
      </c>
      <c r="R226" s="51" t="n">
        <f aca="false">G226-I226-K226</f>
        <v>155506</v>
      </c>
      <c r="S226" s="51" t="n">
        <f aca="false">R226-Q226</f>
        <v>7493</v>
      </c>
      <c r="T226" s="52" t="n">
        <f aca="false">IF(Q226=0,0,S226/Q226)</f>
        <v>0.0506239316816766</v>
      </c>
      <c r="U226" s="51" t="str">
        <f aca="false">IF(AND(Q226&gt;0,T226&lt;-0.15),"ADVERSE","")</f>
        <v/>
      </c>
    </row>
    <row r="227" customFormat="false" ht="15" hidden="false" customHeight="false" outlineLevel="0" collapsed="false">
      <c r="A227" s="47" t="s">
        <v>134</v>
      </c>
      <c r="B227" s="47" t="s">
        <v>136</v>
      </c>
      <c r="C227" s="48" t="n">
        <v>45170</v>
      </c>
      <c r="D227" s="47" t="s">
        <v>34</v>
      </c>
      <c r="E227" s="47" t="s">
        <v>40</v>
      </c>
      <c r="F227" s="49" t="n">
        <v>666842</v>
      </c>
      <c r="G227" s="49" t="n">
        <v>670968</v>
      </c>
      <c r="H227" s="49" t="n">
        <v>416443</v>
      </c>
      <c r="I227" s="49" t="n">
        <v>412797</v>
      </c>
      <c r="J227" s="49" t="n">
        <v>99026</v>
      </c>
      <c r="K227" s="49" t="n">
        <v>107648</v>
      </c>
      <c r="L227" s="50" t="n">
        <v>43.2</v>
      </c>
      <c r="M227" s="51" t="n">
        <f aca="false">G227-F227</f>
        <v>4126</v>
      </c>
      <c r="N227" s="52" t="n">
        <f aca="false">IF(F227=0,0,M227/F227)</f>
        <v>0.00618737272097438</v>
      </c>
      <c r="O227" s="51" t="n">
        <f aca="false">G227-I227</f>
        <v>258171</v>
      </c>
      <c r="P227" s="51" t="n">
        <f aca="false">F227-H227</f>
        <v>250399</v>
      </c>
      <c r="Q227" s="51" t="n">
        <f aca="false">F227-H227-J227</f>
        <v>151373</v>
      </c>
      <c r="R227" s="51" t="n">
        <f aca="false">G227-I227-K227</f>
        <v>150523</v>
      </c>
      <c r="S227" s="51" t="n">
        <f aca="false">R227-Q227</f>
        <v>-850</v>
      </c>
      <c r="T227" s="52" t="n">
        <f aca="false">IF(Q227=0,0,S227/Q227)</f>
        <v>-0.00561526824466715</v>
      </c>
      <c r="U227" s="51" t="str">
        <f aca="false">IF(AND(Q227&gt;0,T227&lt;-0.15),"ADVERSE","")</f>
        <v/>
      </c>
    </row>
    <row r="228" customFormat="false" ht="15" hidden="false" customHeight="false" outlineLevel="0" collapsed="false">
      <c r="A228" s="47" t="s">
        <v>134</v>
      </c>
      <c r="B228" s="47" t="s">
        <v>137</v>
      </c>
      <c r="C228" s="48" t="n">
        <v>45200</v>
      </c>
      <c r="D228" s="47" t="s">
        <v>34</v>
      </c>
      <c r="E228" s="47" t="s">
        <v>40</v>
      </c>
      <c r="F228" s="49" t="n">
        <v>695297</v>
      </c>
      <c r="G228" s="49" t="n">
        <v>691256</v>
      </c>
      <c r="H228" s="49" t="n">
        <v>434213</v>
      </c>
      <c r="I228" s="49" t="n">
        <v>427678</v>
      </c>
      <c r="J228" s="49" t="n">
        <v>103252</v>
      </c>
      <c r="K228" s="49" t="n">
        <v>107865</v>
      </c>
      <c r="L228" s="50" t="n">
        <v>43.3</v>
      </c>
      <c r="M228" s="51" t="n">
        <f aca="false">G228-F228</f>
        <v>-4041</v>
      </c>
      <c r="N228" s="52" t="n">
        <f aca="false">IF(F228=0,0,M228/F228)</f>
        <v>-0.00581190484066521</v>
      </c>
      <c r="O228" s="51" t="n">
        <f aca="false">G228-I228</f>
        <v>263578</v>
      </c>
      <c r="P228" s="51" t="n">
        <f aca="false">F228-H228</f>
        <v>261084</v>
      </c>
      <c r="Q228" s="51" t="n">
        <f aca="false">F228-H228-J228</f>
        <v>157832</v>
      </c>
      <c r="R228" s="51" t="n">
        <f aca="false">G228-I228-K228</f>
        <v>155713</v>
      </c>
      <c r="S228" s="51" t="n">
        <f aca="false">R228-Q228</f>
        <v>-2119</v>
      </c>
      <c r="T228" s="52" t="n">
        <f aca="false">IF(Q228=0,0,S228/Q228)</f>
        <v>-0.013425667798672</v>
      </c>
      <c r="U228" s="51" t="str">
        <f aca="false">IF(AND(Q228&gt;0,T228&lt;-0.15),"ADVERSE","")</f>
        <v/>
      </c>
    </row>
    <row r="229" customFormat="false" ht="15" hidden="false" customHeight="false" outlineLevel="0" collapsed="false">
      <c r="A229" s="47" t="s">
        <v>134</v>
      </c>
      <c r="B229" s="47" t="s">
        <v>137</v>
      </c>
      <c r="C229" s="48" t="n">
        <v>45231</v>
      </c>
      <c r="D229" s="47" t="s">
        <v>34</v>
      </c>
      <c r="E229" s="47" t="s">
        <v>40</v>
      </c>
      <c r="F229" s="49" t="n">
        <v>670560</v>
      </c>
      <c r="G229" s="49" t="n">
        <v>672703</v>
      </c>
      <c r="H229" s="49" t="n">
        <v>418765</v>
      </c>
      <c r="I229" s="49" t="n">
        <v>425741</v>
      </c>
      <c r="J229" s="49" t="n">
        <v>99578</v>
      </c>
      <c r="K229" s="49" t="n">
        <v>95885</v>
      </c>
      <c r="L229" s="50" t="n">
        <v>43.9</v>
      </c>
      <c r="M229" s="51" t="n">
        <f aca="false">G229-F229</f>
        <v>2143</v>
      </c>
      <c r="N229" s="52" t="n">
        <f aca="false">IF(F229=0,0,M229/F229)</f>
        <v>0.00319583631591506</v>
      </c>
      <c r="O229" s="51" t="n">
        <f aca="false">G229-I229</f>
        <v>246962</v>
      </c>
      <c r="P229" s="51" t="n">
        <f aca="false">F229-H229</f>
        <v>251795</v>
      </c>
      <c r="Q229" s="51" t="n">
        <f aca="false">F229-H229-J229</f>
        <v>152217</v>
      </c>
      <c r="R229" s="51" t="n">
        <f aca="false">G229-I229-K229</f>
        <v>151077</v>
      </c>
      <c r="S229" s="51" t="n">
        <f aca="false">R229-Q229</f>
        <v>-1140</v>
      </c>
      <c r="T229" s="52" t="n">
        <f aca="false">IF(Q229=0,0,S229/Q229)</f>
        <v>-0.00748930802735568</v>
      </c>
      <c r="U229" s="51" t="str">
        <f aca="false">IF(AND(Q229&gt;0,T229&lt;-0.15),"ADVERSE","")</f>
        <v/>
      </c>
    </row>
    <row r="230" customFormat="false" ht="15" hidden="false" customHeight="false" outlineLevel="0" collapsed="false">
      <c r="A230" s="47" t="s">
        <v>134</v>
      </c>
      <c r="B230" s="47" t="s">
        <v>137</v>
      </c>
      <c r="C230" s="48" t="n">
        <v>45261</v>
      </c>
      <c r="D230" s="47" t="s">
        <v>34</v>
      </c>
      <c r="E230" s="47" t="s">
        <v>40</v>
      </c>
      <c r="F230" s="49" t="n">
        <v>679326</v>
      </c>
      <c r="G230" s="49" t="n">
        <v>697983</v>
      </c>
      <c r="H230" s="49" t="n">
        <v>424239</v>
      </c>
      <c r="I230" s="49" t="n">
        <v>441862</v>
      </c>
      <c r="J230" s="49" t="n">
        <v>100880</v>
      </c>
      <c r="K230" s="49" t="n">
        <v>107164</v>
      </c>
      <c r="L230" s="50" t="n">
        <v>45.1</v>
      </c>
      <c r="M230" s="51" t="n">
        <f aca="false">G230-F230</f>
        <v>18657</v>
      </c>
      <c r="N230" s="52" t="n">
        <f aca="false">IF(F230=0,0,M230/F230)</f>
        <v>0.0274639863629539</v>
      </c>
      <c r="O230" s="51" t="n">
        <f aca="false">G230-I230</f>
        <v>256121</v>
      </c>
      <c r="P230" s="51" t="n">
        <f aca="false">F230-H230</f>
        <v>255087</v>
      </c>
      <c r="Q230" s="51" t="n">
        <f aca="false">F230-H230-J230</f>
        <v>154207</v>
      </c>
      <c r="R230" s="51" t="n">
        <f aca="false">G230-I230-K230</f>
        <v>148957</v>
      </c>
      <c r="S230" s="51" t="n">
        <f aca="false">R230-Q230</f>
        <v>-5250</v>
      </c>
      <c r="T230" s="52" t="n">
        <f aca="false">IF(Q230=0,0,S230/Q230)</f>
        <v>-0.0340451471074595</v>
      </c>
      <c r="U230" s="51" t="str">
        <f aca="false">IF(AND(Q230&gt;0,T230&lt;-0.15),"ADVERSE","")</f>
        <v/>
      </c>
    </row>
    <row r="231" customFormat="false" ht="15" hidden="false" customHeight="false" outlineLevel="0" collapsed="false">
      <c r="A231" s="47" t="s">
        <v>134</v>
      </c>
      <c r="B231" s="47" t="s">
        <v>138</v>
      </c>
      <c r="C231" s="48" t="n">
        <v>45292</v>
      </c>
      <c r="D231" s="47" t="s">
        <v>34</v>
      </c>
      <c r="E231" s="47" t="s">
        <v>40</v>
      </c>
      <c r="F231" s="49" t="n">
        <v>659800</v>
      </c>
      <c r="G231" s="49" t="n">
        <v>650722</v>
      </c>
      <c r="H231" s="49" t="n">
        <v>412045</v>
      </c>
      <c r="I231" s="49" t="n">
        <v>410228</v>
      </c>
      <c r="J231" s="49" t="n">
        <v>97980</v>
      </c>
      <c r="K231" s="49" t="n">
        <v>100305</v>
      </c>
      <c r="L231" s="50" t="n">
        <v>45.2</v>
      </c>
      <c r="M231" s="51" t="n">
        <f aca="false">G231-F231</f>
        <v>-9078</v>
      </c>
      <c r="N231" s="52" t="n">
        <f aca="false">IF(F231=0,0,M231/F231)</f>
        <v>-0.0137587147620491</v>
      </c>
      <c r="O231" s="51" t="n">
        <f aca="false">G231-I231</f>
        <v>240494</v>
      </c>
      <c r="P231" s="51" t="n">
        <f aca="false">F231-H231</f>
        <v>247755</v>
      </c>
      <c r="Q231" s="51" t="n">
        <f aca="false">F231-H231-J231</f>
        <v>149775</v>
      </c>
      <c r="R231" s="51" t="n">
        <f aca="false">G231-I231-K231</f>
        <v>140189</v>
      </c>
      <c r="S231" s="51" t="n">
        <f aca="false">R231-Q231</f>
        <v>-9586</v>
      </c>
      <c r="T231" s="52" t="n">
        <f aca="false">IF(Q231=0,0,S231/Q231)</f>
        <v>-0.0640026706726757</v>
      </c>
      <c r="U231" s="51" t="str">
        <f aca="false">IF(AND(Q231&gt;0,T231&lt;-0.15),"ADVERSE","")</f>
        <v/>
      </c>
    </row>
    <row r="232" customFormat="false" ht="15" hidden="false" customHeight="false" outlineLevel="0" collapsed="false">
      <c r="A232" s="47" t="s">
        <v>134</v>
      </c>
      <c r="B232" s="47" t="s">
        <v>138</v>
      </c>
      <c r="C232" s="48" t="n">
        <v>45323</v>
      </c>
      <c r="D232" s="47" t="s">
        <v>34</v>
      </c>
      <c r="E232" s="47" t="s">
        <v>40</v>
      </c>
      <c r="F232" s="49" t="n">
        <v>663576</v>
      </c>
      <c r="G232" s="49" t="n">
        <v>653341</v>
      </c>
      <c r="H232" s="49" t="n">
        <v>414403</v>
      </c>
      <c r="I232" s="49" t="n">
        <v>401453</v>
      </c>
      <c r="J232" s="49" t="n">
        <v>98541</v>
      </c>
      <c r="K232" s="49" t="n">
        <v>95900</v>
      </c>
      <c r="L232" s="50" t="n">
        <v>44.7</v>
      </c>
      <c r="M232" s="51" t="n">
        <f aca="false">G232-F232</f>
        <v>-10235</v>
      </c>
      <c r="N232" s="52" t="n">
        <f aca="false">IF(F232=0,0,M232/F232)</f>
        <v>-0.0154240056903806</v>
      </c>
      <c r="O232" s="51" t="n">
        <f aca="false">G232-I232</f>
        <v>251888</v>
      </c>
      <c r="P232" s="51" t="n">
        <f aca="false">F232-H232</f>
        <v>249173</v>
      </c>
      <c r="Q232" s="51" t="n">
        <f aca="false">F232-H232-J232</f>
        <v>150632</v>
      </c>
      <c r="R232" s="51" t="n">
        <f aca="false">G232-I232-K232</f>
        <v>155988</v>
      </c>
      <c r="S232" s="51" t="n">
        <f aca="false">R232-Q232</f>
        <v>5356</v>
      </c>
      <c r="T232" s="52" t="n">
        <f aca="false">IF(Q232=0,0,S232/Q232)</f>
        <v>0.0355568537893675</v>
      </c>
      <c r="U232" s="51" t="str">
        <f aca="false">IF(AND(Q232&gt;0,T232&lt;-0.15),"ADVERSE","")</f>
        <v/>
      </c>
    </row>
    <row r="233" customFormat="false" ht="15" hidden="false" customHeight="false" outlineLevel="0" collapsed="false">
      <c r="A233" s="47" t="s">
        <v>134</v>
      </c>
      <c r="B233" s="47" t="s">
        <v>138</v>
      </c>
      <c r="C233" s="48" t="n">
        <v>45352</v>
      </c>
      <c r="D233" s="47" t="s">
        <v>34</v>
      </c>
      <c r="E233" s="47" t="s">
        <v>40</v>
      </c>
      <c r="F233" s="49" t="n">
        <v>728460</v>
      </c>
      <c r="G233" s="49" t="n">
        <v>698605</v>
      </c>
      <c r="H233" s="49" t="n">
        <v>454924</v>
      </c>
      <c r="I233" s="49" t="n">
        <v>439804</v>
      </c>
      <c r="J233" s="49" t="n">
        <v>108176</v>
      </c>
      <c r="K233" s="49" t="n">
        <v>108671</v>
      </c>
      <c r="L233" s="50" t="n">
        <v>44.5</v>
      </c>
      <c r="M233" s="51" t="n">
        <f aca="false">G233-F233</f>
        <v>-29855</v>
      </c>
      <c r="N233" s="52" t="n">
        <f aca="false">IF(F233=0,0,M233/F233)</f>
        <v>-0.0409837190786042</v>
      </c>
      <c r="O233" s="51" t="n">
        <f aca="false">G233-I233</f>
        <v>258801</v>
      </c>
      <c r="P233" s="51" t="n">
        <f aca="false">F233-H233</f>
        <v>273536</v>
      </c>
      <c r="Q233" s="51" t="n">
        <f aca="false">F233-H233-J233</f>
        <v>165360</v>
      </c>
      <c r="R233" s="51" t="n">
        <f aca="false">G233-I233-K233</f>
        <v>150130</v>
      </c>
      <c r="S233" s="51" t="n">
        <f aca="false">R233-Q233</f>
        <v>-15230</v>
      </c>
      <c r="T233" s="52" t="n">
        <f aca="false">IF(Q233=0,0,S233/Q233)</f>
        <v>-0.0921020803096275</v>
      </c>
      <c r="U233" s="51" t="str">
        <f aca="false">IF(AND(Q233&gt;0,T233&lt;-0.15),"ADVERSE","")</f>
        <v/>
      </c>
    </row>
    <row r="234" customFormat="false" ht="15" hidden="false" customHeight="false" outlineLevel="0" collapsed="false">
      <c r="A234" s="47" t="s">
        <v>139</v>
      </c>
      <c r="B234" s="47" t="s">
        <v>135</v>
      </c>
      <c r="C234" s="48" t="n">
        <v>45383</v>
      </c>
      <c r="D234" s="47" t="s">
        <v>34</v>
      </c>
      <c r="E234" s="47" t="s">
        <v>40</v>
      </c>
      <c r="F234" s="49" t="n">
        <v>690244</v>
      </c>
      <c r="G234" s="49" t="n">
        <v>704401</v>
      </c>
      <c r="H234" s="49" t="n">
        <v>431057</v>
      </c>
      <c r="I234" s="49" t="n">
        <v>436174</v>
      </c>
      <c r="J234" s="49" t="n">
        <v>102501</v>
      </c>
      <c r="K234" s="49" t="n">
        <v>105843</v>
      </c>
      <c r="L234" s="50" t="n">
        <v>44.6</v>
      </c>
      <c r="M234" s="51" t="n">
        <f aca="false">G234-F234</f>
        <v>14157</v>
      </c>
      <c r="N234" s="52" t="n">
        <f aca="false">IF(F234=0,0,M234/F234)</f>
        <v>0.0205101384437967</v>
      </c>
      <c r="O234" s="51" t="n">
        <f aca="false">G234-I234</f>
        <v>268227</v>
      </c>
      <c r="P234" s="51" t="n">
        <f aca="false">F234-H234</f>
        <v>259187</v>
      </c>
      <c r="Q234" s="51" t="n">
        <f aca="false">F234-H234-J234</f>
        <v>156686</v>
      </c>
      <c r="R234" s="51" t="n">
        <f aca="false">G234-I234-K234</f>
        <v>162384</v>
      </c>
      <c r="S234" s="51" t="n">
        <f aca="false">R234-Q234</f>
        <v>5698</v>
      </c>
      <c r="T234" s="52" t="n">
        <f aca="false">IF(Q234=0,0,S234/Q234)</f>
        <v>0.0363657250807347</v>
      </c>
      <c r="U234" s="51" t="str">
        <f aca="false">IF(AND(Q234&gt;0,T234&lt;-0.15),"ADVERSE","")</f>
        <v/>
      </c>
    </row>
    <row r="235" customFormat="false" ht="15" hidden="false" customHeight="false" outlineLevel="0" collapsed="false">
      <c r="A235" s="47" t="s">
        <v>139</v>
      </c>
      <c r="B235" s="47" t="s">
        <v>135</v>
      </c>
      <c r="C235" s="48" t="n">
        <v>45413</v>
      </c>
      <c r="D235" s="47" t="s">
        <v>34</v>
      </c>
      <c r="E235" s="47" t="s">
        <v>40</v>
      </c>
      <c r="F235" s="49" t="n">
        <v>697962</v>
      </c>
      <c r="G235" s="49" t="n">
        <v>667767</v>
      </c>
      <c r="H235" s="49" t="n">
        <v>435877</v>
      </c>
      <c r="I235" s="49" t="n">
        <v>411720</v>
      </c>
      <c r="J235" s="49" t="n">
        <v>103647</v>
      </c>
      <c r="K235" s="49" t="n">
        <v>100354</v>
      </c>
      <c r="L235" s="50" t="n">
        <v>45.1</v>
      </c>
      <c r="M235" s="51" t="n">
        <f aca="false">G235-F235</f>
        <v>-30195</v>
      </c>
      <c r="N235" s="52" t="n">
        <f aca="false">IF(F235=0,0,M235/F235)</f>
        <v>-0.0432616675406397</v>
      </c>
      <c r="O235" s="51" t="n">
        <f aca="false">G235-I235</f>
        <v>256047</v>
      </c>
      <c r="P235" s="51" t="n">
        <f aca="false">F235-H235</f>
        <v>262085</v>
      </c>
      <c r="Q235" s="51" t="n">
        <f aca="false">F235-H235-J235</f>
        <v>158438</v>
      </c>
      <c r="R235" s="51" t="n">
        <f aca="false">G235-I235-K235</f>
        <v>155693</v>
      </c>
      <c r="S235" s="51" t="n">
        <f aca="false">R235-Q235</f>
        <v>-2745</v>
      </c>
      <c r="T235" s="52" t="n">
        <f aca="false">IF(Q235=0,0,S235/Q235)</f>
        <v>-0.0173253891111981</v>
      </c>
      <c r="U235" s="51" t="str">
        <f aca="false">IF(AND(Q235&gt;0,T235&lt;-0.15),"ADVERSE","")</f>
        <v/>
      </c>
    </row>
    <row r="236" customFormat="false" ht="15" hidden="false" customHeight="false" outlineLevel="0" collapsed="false">
      <c r="A236" s="47" t="s">
        <v>139</v>
      </c>
      <c r="B236" s="47" t="s">
        <v>135</v>
      </c>
      <c r="C236" s="48" t="n">
        <v>45444</v>
      </c>
      <c r="D236" s="47" t="s">
        <v>34</v>
      </c>
      <c r="E236" s="47" t="s">
        <v>40</v>
      </c>
      <c r="F236" s="49" t="n">
        <v>719559</v>
      </c>
      <c r="G236" s="49" t="n">
        <v>715771</v>
      </c>
      <c r="H236" s="49" t="n">
        <v>449364</v>
      </c>
      <c r="I236" s="49" t="n">
        <v>447750</v>
      </c>
      <c r="J236" s="49" t="n">
        <v>106854</v>
      </c>
      <c r="K236" s="49" t="n">
        <v>104953</v>
      </c>
      <c r="L236" s="50" t="n">
        <v>46</v>
      </c>
      <c r="M236" s="51" t="n">
        <f aca="false">G236-F236</f>
        <v>-3788</v>
      </c>
      <c r="N236" s="52" t="n">
        <f aca="false">IF(F236=0,0,M236/F236)</f>
        <v>-0.00526433551661504</v>
      </c>
      <c r="O236" s="51" t="n">
        <f aca="false">G236-I236</f>
        <v>268021</v>
      </c>
      <c r="P236" s="51" t="n">
        <f aca="false">F236-H236</f>
        <v>270195</v>
      </c>
      <c r="Q236" s="51" t="n">
        <f aca="false">F236-H236-J236</f>
        <v>163341</v>
      </c>
      <c r="R236" s="51" t="n">
        <f aca="false">G236-I236-K236</f>
        <v>163068</v>
      </c>
      <c r="S236" s="51" t="n">
        <f aca="false">R236-Q236</f>
        <v>-273</v>
      </c>
      <c r="T236" s="52" t="n">
        <f aca="false">IF(Q236=0,0,S236/Q236)</f>
        <v>-0.00167135012030048</v>
      </c>
      <c r="U236" s="51" t="str">
        <f aca="false">IF(AND(Q236&gt;0,T236&lt;-0.15),"ADVERSE","")</f>
        <v/>
      </c>
    </row>
    <row r="237" customFormat="false" ht="15" hidden="false" customHeight="false" outlineLevel="0" collapsed="false">
      <c r="A237" s="47" t="s">
        <v>139</v>
      </c>
      <c r="B237" s="47" t="s">
        <v>136</v>
      </c>
      <c r="C237" s="48" t="n">
        <v>45474</v>
      </c>
      <c r="D237" s="47" t="s">
        <v>34</v>
      </c>
      <c r="E237" s="47" t="s">
        <v>40</v>
      </c>
      <c r="F237" s="49" t="n">
        <v>718916</v>
      </c>
      <c r="G237" s="49" t="n">
        <v>717966</v>
      </c>
      <c r="H237" s="49" t="n">
        <v>448963</v>
      </c>
      <c r="I237" s="49" t="n">
        <v>449340</v>
      </c>
      <c r="J237" s="49" t="n">
        <v>106759</v>
      </c>
      <c r="K237" s="49" t="n">
        <v>104771</v>
      </c>
      <c r="L237" s="50" t="n">
        <v>43.8</v>
      </c>
      <c r="M237" s="51" t="n">
        <f aca="false">G237-F237</f>
        <v>-950</v>
      </c>
      <c r="N237" s="52" t="n">
        <f aca="false">IF(F237=0,0,M237/F237)</f>
        <v>-0.00132143393664907</v>
      </c>
      <c r="O237" s="51" t="n">
        <f aca="false">G237-I237</f>
        <v>268626</v>
      </c>
      <c r="P237" s="51" t="n">
        <f aca="false">F237-H237</f>
        <v>269953</v>
      </c>
      <c r="Q237" s="51" t="n">
        <f aca="false">F237-H237-J237</f>
        <v>163194</v>
      </c>
      <c r="R237" s="51" t="n">
        <f aca="false">G237-I237-K237</f>
        <v>163855</v>
      </c>
      <c r="S237" s="51" t="n">
        <f aca="false">R237-Q237</f>
        <v>661</v>
      </c>
      <c r="T237" s="52" t="n">
        <f aca="false">IF(Q237=0,0,S237/Q237)</f>
        <v>0.00405039400958369</v>
      </c>
      <c r="U237" s="51" t="str">
        <f aca="false">IF(AND(Q237&gt;0,T237&lt;-0.15),"ADVERSE","")</f>
        <v/>
      </c>
    </row>
    <row r="238" customFormat="false" ht="15" hidden="false" customHeight="false" outlineLevel="0" collapsed="false">
      <c r="A238" s="47" t="s">
        <v>139</v>
      </c>
      <c r="B238" s="47" t="s">
        <v>136</v>
      </c>
      <c r="C238" s="48" t="n">
        <v>45505</v>
      </c>
      <c r="D238" s="47" t="s">
        <v>34</v>
      </c>
      <c r="E238" s="47" t="s">
        <v>40</v>
      </c>
      <c r="F238" s="49" t="n">
        <v>698138</v>
      </c>
      <c r="G238" s="49" t="n">
        <v>664711</v>
      </c>
      <c r="H238" s="49" t="n">
        <v>435987</v>
      </c>
      <c r="I238" s="49" t="n">
        <v>412655</v>
      </c>
      <c r="J238" s="49" t="n">
        <v>103674</v>
      </c>
      <c r="K238" s="49" t="n">
        <v>93306</v>
      </c>
      <c r="L238" s="50" t="n">
        <v>45.4</v>
      </c>
      <c r="M238" s="51" t="n">
        <f aca="false">G238-F238</f>
        <v>-33427</v>
      </c>
      <c r="N238" s="52" t="n">
        <f aca="false">IF(F238=0,0,M238/F238)</f>
        <v>-0.0478802185241313</v>
      </c>
      <c r="O238" s="51" t="n">
        <f aca="false">G238-I238</f>
        <v>252056</v>
      </c>
      <c r="P238" s="51" t="n">
        <f aca="false">F238-H238</f>
        <v>262151</v>
      </c>
      <c r="Q238" s="51" t="n">
        <f aca="false">F238-H238-J238</f>
        <v>158477</v>
      </c>
      <c r="R238" s="51" t="n">
        <f aca="false">G238-I238-K238</f>
        <v>158750</v>
      </c>
      <c r="S238" s="51" t="n">
        <f aca="false">R238-Q238</f>
        <v>273</v>
      </c>
      <c r="T238" s="52" t="n">
        <f aca="false">IF(Q238=0,0,S238/Q238)</f>
        <v>0.00172264745041867</v>
      </c>
      <c r="U238" s="51" t="str">
        <f aca="false">IF(AND(Q238&gt;0,T238&lt;-0.15),"ADVERSE","")</f>
        <v/>
      </c>
    </row>
    <row r="239" customFormat="false" ht="15" hidden="false" customHeight="false" outlineLevel="0" collapsed="false">
      <c r="A239" s="47" t="s">
        <v>139</v>
      </c>
      <c r="B239" s="47" t="s">
        <v>136</v>
      </c>
      <c r="C239" s="48" t="n">
        <v>45536</v>
      </c>
      <c r="D239" s="47" t="s">
        <v>34</v>
      </c>
      <c r="E239" s="47" t="s">
        <v>40</v>
      </c>
      <c r="F239" s="49" t="n">
        <v>710936</v>
      </c>
      <c r="G239" s="49" t="n">
        <v>715291</v>
      </c>
      <c r="H239" s="49" t="n">
        <v>443979</v>
      </c>
      <c r="I239" s="49" t="n">
        <v>448142</v>
      </c>
      <c r="J239" s="49" t="n">
        <v>105574</v>
      </c>
      <c r="K239" s="49" t="n">
        <v>98308</v>
      </c>
      <c r="L239" s="50" t="n">
        <v>46.1</v>
      </c>
      <c r="M239" s="51" t="n">
        <f aca="false">G239-F239</f>
        <v>4355</v>
      </c>
      <c r="N239" s="52" t="n">
        <f aca="false">IF(F239=0,0,M239/F239)</f>
        <v>0.00612572721032554</v>
      </c>
      <c r="O239" s="51" t="n">
        <f aca="false">G239-I239</f>
        <v>267149</v>
      </c>
      <c r="P239" s="51" t="n">
        <f aca="false">F239-H239</f>
        <v>266957</v>
      </c>
      <c r="Q239" s="51" t="n">
        <f aca="false">F239-H239-J239</f>
        <v>161383</v>
      </c>
      <c r="R239" s="51" t="n">
        <f aca="false">G239-I239-K239</f>
        <v>168841</v>
      </c>
      <c r="S239" s="51" t="n">
        <f aca="false">R239-Q239</f>
        <v>7458</v>
      </c>
      <c r="T239" s="52" t="n">
        <f aca="false">IF(Q239=0,0,S239/Q239)</f>
        <v>0.0462130459837777</v>
      </c>
      <c r="U239" s="51" t="str">
        <f aca="false">IF(AND(Q239&gt;0,T239&lt;-0.15),"ADVERSE","")</f>
        <v/>
      </c>
    </row>
    <row r="240" customFormat="false" ht="15" hidden="false" customHeight="false" outlineLevel="0" collapsed="false">
      <c r="A240" s="47" t="s">
        <v>139</v>
      </c>
      <c r="B240" s="47" t="s">
        <v>137</v>
      </c>
      <c r="C240" s="48" t="n">
        <v>45566</v>
      </c>
      <c r="D240" s="47" t="s">
        <v>34</v>
      </c>
      <c r="E240" s="47" t="s">
        <v>40</v>
      </c>
      <c r="F240" s="49" t="n">
        <v>734908</v>
      </c>
      <c r="G240" s="49" t="n">
        <v>714348</v>
      </c>
      <c r="H240" s="49" t="n">
        <v>458950</v>
      </c>
      <c r="I240" s="49" t="n">
        <v>452414</v>
      </c>
      <c r="J240" s="49" t="n">
        <v>109134</v>
      </c>
      <c r="K240" s="49" t="n">
        <v>108852</v>
      </c>
      <c r="L240" s="50" t="n">
        <v>46.6</v>
      </c>
      <c r="M240" s="51" t="n">
        <f aca="false">G240-F240</f>
        <v>-20560</v>
      </c>
      <c r="N240" s="52" t="n">
        <f aca="false">IF(F240=0,0,M240/F240)</f>
        <v>-0.0279762909098826</v>
      </c>
      <c r="O240" s="51" t="n">
        <f aca="false">G240-I240</f>
        <v>261934</v>
      </c>
      <c r="P240" s="51" t="n">
        <f aca="false">F240-H240</f>
        <v>275958</v>
      </c>
      <c r="Q240" s="51" t="n">
        <f aca="false">F240-H240-J240</f>
        <v>166824</v>
      </c>
      <c r="R240" s="51" t="n">
        <f aca="false">G240-I240-K240</f>
        <v>153082</v>
      </c>
      <c r="S240" s="51" t="n">
        <f aca="false">R240-Q240</f>
        <v>-13742</v>
      </c>
      <c r="T240" s="52" t="n">
        <f aca="false">IF(Q240=0,0,S240/Q240)</f>
        <v>-0.0823742387186496</v>
      </c>
      <c r="U240" s="51" t="str">
        <f aca="false">IF(AND(Q240&gt;0,T240&lt;-0.15),"ADVERSE","")</f>
        <v/>
      </c>
    </row>
    <row r="241" customFormat="false" ht="15" hidden="false" customHeight="false" outlineLevel="0" collapsed="false">
      <c r="A241" s="47" t="s">
        <v>139</v>
      </c>
      <c r="B241" s="47" t="s">
        <v>137</v>
      </c>
      <c r="C241" s="48" t="n">
        <v>45597</v>
      </c>
      <c r="D241" s="47" t="s">
        <v>34</v>
      </c>
      <c r="E241" s="47" t="s">
        <v>40</v>
      </c>
      <c r="F241" s="49" t="n">
        <v>744396</v>
      </c>
      <c r="G241" s="49" t="n">
        <v>732527</v>
      </c>
      <c r="H241" s="49" t="n">
        <v>464875</v>
      </c>
      <c r="I241" s="49" t="n">
        <v>455174</v>
      </c>
      <c r="J241" s="49" t="n">
        <v>110543</v>
      </c>
      <c r="K241" s="49" t="n">
        <v>111426</v>
      </c>
      <c r="L241" s="50" t="n">
        <v>46</v>
      </c>
      <c r="M241" s="51" t="n">
        <f aca="false">G241-F241</f>
        <v>-11869</v>
      </c>
      <c r="N241" s="52" t="n">
        <f aca="false">IF(F241=0,0,M241/F241)</f>
        <v>-0.0159444704162838</v>
      </c>
      <c r="O241" s="51" t="n">
        <f aca="false">G241-I241</f>
        <v>277353</v>
      </c>
      <c r="P241" s="51" t="n">
        <f aca="false">F241-H241</f>
        <v>279521</v>
      </c>
      <c r="Q241" s="51" t="n">
        <f aca="false">F241-H241-J241</f>
        <v>168978</v>
      </c>
      <c r="R241" s="51" t="n">
        <f aca="false">G241-I241-K241</f>
        <v>165927</v>
      </c>
      <c r="S241" s="51" t="n">
        <f aca="false">R241-Q241</f>
        <v>-3051</v>
      </c>
      <c r="T241" s="52" t="n">
        <f aca="false">IF(Q241=0,0,S241/Q241)</f>
        <v>-0.0180556048716401</v>
      </c>
      <c r="U241" s="51" t="str">
        <f aca="false">IF(AND(Q241&gt;0,T241&lt;-0.15),"ADVERSE","")</f>
        <v/>
      </c>
    </row>
    <row r="242" customFormat="false" ht="15" hidden="false" customHeight="false" outlineLevel="0" collapsed="false">
      <c r="A242" s="47" t="s">
        <v>139</v>
      </c>
      <c r="B242" s="47" t="s">
        <v>137</v>
      </c>
      <c r="C242" s="48" t="n">
        <v>45627</v>
      </c>
      <c r="D242" s="47" t="s">
        <v>34</v>
      </c>
      <c r="E242" s="47" t="s">
        <v>40</v>
      </c>
      <c r="F242" s="49" t="n">
        <v>729997</v>
      </c>
      <c r="G242" s="49" t="n">
        <v>697327</v>
      </c>
      <c r="H242" s="49" t="n">
        <v>455883</v>
      </c>
      <c r="I242" s="49" t="n">
        <v>428331</v>
      </c>
      <c r="J242" s="49" t="n">
        <v>108405</v>
      </c>
      <c r="K242" s="49" t="n">
        <v>104192</v>
      </c>
      <c r="L242" s="50" t="n">
        <v>46.5</v>
      </c>
      <c r="M242" s="51" t="n">
        <f aca="false">G242-F242</f>
        <v>-32670</v>
      </c>
      <c r="N242" s="52" t="n">
        <f aca="false">IF(F242=0,0,M242/F242)</f>
        <v>-0.0447536085764736</v>
      </c>
      <c r="O242" s="51" t="n">
        <f aca="false">G242-I242</f>
        <v>268996</v>
      </c>
      <c r="P242" s="51" t="n">
        <f aca="false">F242-H242</f>
        <v>274114</v>
      </c>
      <c r="Q242" s="51" t="n">
        <f aca="false">F242-H242-J242</f>
        <v>165709</v>
      </c>
      <c r="R242" s="51" t="n">
        <f aca="false">G242-I242-K242</f>
        <v>164804</v>
      </c>
      <c r="S242" s="51" t="n">
        <f aca="false">R242-Q242</f>
        <v>-905</v>
      </c>
      <c r="T242" s="52" t="n">
        <f aca="false">IF(Q242=0,0,S242/Q242)</f>
        <v>-0.00546138109577633</v>
      </c>
      <c r="U242" s="51" t="str">
        <f aca="false">IF(AND(Q242&gt;0,T242&lt;-0.15),"ADVERSE","")</f>
        <v/>
      </c>
    </row>
    <row r="243" customFormat="false" ht="15" hidden="false" customHeight="false" outlineLevel="0" collapsed="false">
      <c r="A243" s="47" t="s">
        <v>139</v>
      </c>
      <c r="B243" s="47" t="s">
        <v>138</v>
      </c>
      <c r="C243" s="48" t="n">
        <v>45658</v>
      </c>
      <c r="D243" s="47" t="s">
        <v>34</v>
      </c>
      <c r="E243" s="47" t="s">
        <v>40</v>
      </c>
      <c r="F243" s="49" t="n">
        <v>717479</v>
      </c>
      <c r="G243" s="49" t="n">
        <v>697712</v>
      </c>
      <c r="H243" s="49" t="n">
        <v>448066</v>
      </c>
      <c r="I243" s="49" t="n">
        <v>433939</v>
      </c>
      <c r="J243" s="49" t="n">
        <v>106546</v>
      </c>
      <c r="K243" s="49" t="n">
        <v>104492</v>
      </c>
      <c r="L243" s="50" t="n">
        <v>46.4</v>
      </c>
      <c r="M243" s="51" t="n">
        <f aca="false">G243-F243</f>
        <v>-19767</v>
      </c>
      <c r="N243" s="52" t="n">
        <f aca="false">IF(F243=0,0,M243/F243)</f>
        <v>-0.0275506321439373</v>
      </c>
      <c r="O243" s="51" t="n">
        <f aca="false">G243-I243</f>
        <v>263773</v>
      </c>
      <c r="P243" s="51" t="n">
        <f aca="false">F243-H243</f>
        <v>269413</v>
      </c>
      <c r="Q243" s="51" t="n">
        <f aca="false">F243-H243-J243</f>
        <v>162867</v>
      </c>
      <c r="R243" s="51" t="n">
        <f aca="false">G243-I243-K243</f>
        <v>159281</v>
      </c>
      <c r="S243" s="51" t="n">
        <f aca="false">R243-Q243</f>
        <v>-3586</v>
      </c>
      <c r="T243" s="52" t="n">
        <f aca="false">IF(Q243=0,0,S243/Q243)</f>
        <v>-0.0220179655792763</v>
      </c>
      <c r="U243" s="51" t="str">
        <f aca="false">IF(AND(Q243&gt;0,T243&lt;-0.15),"ADVERSE","")</f>
        <v/>
      </c>
    </row>
    <row r="244" customFormat="false" ht="15" hidden="false" customHeight="false" outlineLevel="0" collapsed="false">
      <c r="A244" s="47" t="s">
        <v>139</v>
      </c>
      <c r="B244" s="47" t="s">
        <v>138</v>
      </c>
      <c r="C244" s="48" t="n">
        <v>45689</v>
      </c>
      <c r="D244" s="47" t="s">
        <v>34</v>
      </c>
      <c r="E244" s="47" t="s">
        <v>40</v>
      </c>
      <c r="F244" s="49" t="n">
        <v>715471</v>
      </c>
      <c r="G244" s="49" t="n">
        <v>752202</v>
      </c>
      <c r="H244" s="49" t="n">
        <v>446811</v>
      </c>
      <c r="I244" s="49" t="n">
        <v>481784</v>
      </c>
      <c r="J244" s="49" t="n">
        <v>106247</v>
      </c>
      <c r="K244" s="49" t="n">
        <v>109233</v>
      </c>
      <c r="L244" s="50" t="n">
        <v>46.3</v>
      </c>
      <c r="M244" s="51" t="n">
        <f aca="false">G244-F244</f>
        <v>36731</v>
      </c>
      <c r="N244" s="52" t="n">
        <f aca="false">IF(F244=0,0,M244/F244)</f>
        <v>0.0513382093753625</v>
      </c>
      <c r="O244" s="51" t="n">
        <f aca="false">G244-I244</f>
        <v>270418</v>
      </c>
      <c r="P244" s="51" t="n">
        <f aca="false">F244-H244</f>
        <v>268660</v>
      </c>
      <c r="Q244" s="51" t="n">
        <f aca="false">F244-H244-J244</f>
        <v>162413</v>
      </c>
      <c r="R244" s="51" t="n">
        <f aca="false">G244-I244-K244</f>
        <v>161185</v>
      </c>
      <c r="S244" s="51" t="n">
        <f aca="false">R244-Q244</f>
        <v>-1228</v>
      </c>
      <c r="T244" s="52" t="n">
        <f aca="false">IF(Q244=0,0,S244/Q244)</f>
        <v>-0.00756097110452981</v>
      </c>
      <c r="U244" s="51" t="str">
        <f aca="false">IF(AND(Q244&gt;0,T244&lt;-0.15),"ADVERSE","")</f>
        <v/>
      </c>
    </row>
    <row r="245" customFormat="false" ht="15" hidden="false" customHeight="false" outlineLevel="0" collapsed="false">
      <c r="A245" s="47" t="s">
        <v>139</v>
      </c>
      <c r="B245" s="47" t="s">
        <v>138</v>
      </c>
      <c r="C245" s="48" t="n">
        <v>45717</v>
      </c>
      <c r="D245" s="47" t="s">
        <v>34</v>
      </c>
      <c r="E245" s="47" t="s">
        <v>40</v>
      </c>
      <c r="F245" s="49" t="n">
        <v>793029</v>
      </c>
      <c r="G245" s="49" t="n">
        <v>772769</v>
      </c>
      <c r="H245" s="49" t="n">
        <v>495247</v>
      </c>
      <c r="I245" s="49" t="n">
        <v>482377</v>
      </c>
      <c r="J245" s="49" t="n">
        <v>117765</v>
      </c>
      <c r="K245" s="49" t="n">
        <v>116611</v>
      </c>
      <c r="L245" s="50" t="n">
        <v>47.7</v>
      </c>
      <c r="M245" s="51" t="n">
        <f aca="false">G245-F245</f>
        <v>-20260</v>
      </c>
      <c r="N245" s="52" t="n">
        <f aca="false">IF(F245=0,0,M245/F245)</f>
        <v>-0.025547615534867</v>
      </c>
      <c r="O245" s="51" t="n">
        <f aca="false">G245-I245</f>
        <v>290392</v>
      </c>
      <c r="P245" s="51" t="n">
        <f aca="false">F245-H245</f>
        <v>297782</v>
      </c>
      <c r="Q245" s="51" t="n">
        <f aca="false">F245-H245-J245</f>
        <v>180017</v>
      </c>
      <c r="R245" s="51" t="n">
        <f aca="false">G245-I245-K245</f>
        <v>173781</v>
      </c>
      <c r="S245" s="51" t="n">
        <f aca="false">R245-Q245</f>
        <v>-6236</v>
      </c>
      <c r="T245" s="52" t="n">
        <f aca="false">IF(Q245=0,0,S245/Q245)</f>
        <v>-0.0346411727781265</v>
      </c>
      <c r="U245" s="51" t="str">
        <f aca="false">IF(AND(Q245&gt;0,T245&lt;-0.15),"ADVERSE","")</f>
        <v/>
      </c>
    </row>
    <row r="246" customFormat="false" ht="15" hidden="false" customHeight="false" outlineLevel="0" collapsed="false">
      <c r="A246" s="47" t="s">
        <v>3</v>
      </c>
      <c r="B246" s="47" t="s">
        <v>135</v>
      </c>
      <c r="C246" s="48" t="n">
        <v>45748</v>
      </c>
      <c r="D246" s="47" t="s">
        <v>34</v>
      </c>
      <c r="E246" s="47" t="s">
        <v>40</v>
      </c>
      <c r="F246" s="49" t="n">
        <v>765708</v>
      </c>
      <c r="G246" s="49" t="n">
        <v>790695</v>
      </c>
      <c r="H246" s="49" t="n">
        <v>478185</v>
      </c>
      <c r="I246" s="49" t="n">
        <v>498128</v>
      </c>
      <c r="J246" s="49" t="n">
        <v>113708</v>
      </c>
      <c r="K246" s="49" t="n">
        <v>124143</v>
      </c>
      <c r="L246" s="50" t="n">
        <v>48</v>
      </c>
      <c r="M246" s="51" t="n">
        <f aca="false">G246-F246</f>
        <v>24987</v>
      </c>
      <c r="N246" s="52" t="n">
        <f aca="false">IF(F246=0,0,M246/F246)</f>
        <v>0.0326325439984955</v>
      </c>
      <c r="O246" s="51" t="n">
        <f aca="false">G246-I246</f>
        <v>292567</v>
      </c>
      <c r="P246" s="51" t="n">
        <f aca="false">F246-H246</f>
        <v>287523</v>
      </c>
      <c r="Q246" s="51" t="n">
        <f aca="false">F246-H246-J246</f>
        <v>173815</v>
      </c>
      <c r="R246" s="51" t="n">
        <f aca="false">G246-I246-K246</f>
        <v>168424</v>
      </c>
      <c r="S246" s="51" t="n">
        <f aca="false">R246-Q246</f>
        <v>-5391</v>
      </c>
      <c r="T246" s="52" t="n">
        <f aca="false">IF(Q246=0,0,S246/Q246)</f>
        <v>-0.0310157351206743</v>
      </c>
      <c r="U246" s="51" t="str">
        <f aca="false">IF(AND(Q246&gt;0,T246&lt;-0.15),"ADVERSE","")</f>
        <v/>
      </c>
    </row>
    <row r="247" customFormat="false" ht="15" hidden="false" customHeight="false" outlineLevel="0" collapsed="false">
      <c r="A247" s="47" t="s">
        <v>3</v>
      </c>
      <c r="B247" s="47" t="s">
        <v>135</v>
      </c>
      <c r="C247" s="48" t="n">
        <v>45778</v>
      </c>
      <c r="D247" s="47" t="s">
        <v>34</v>
      </c>
      <c r="E247" s="47" t="s">
        <v>40</v>
      </c>
      <c r="F247" s="49" t="n">
        <v>763094</v>
      </c>
      <c r="G247" s="49" t="n">
        <v>717918</v>
      </c>
      <c r="H247" s="49" t="n">
        <v>476552</v>
      </c>
      <c r="I247" s="49" t="n">
        <v>442371</v>
      </c>
      <c r="J247" s="49" t="n">
        <v>113319</v>
      </c>
      <c r="K247" s="49" t="n">
        <v>101793</v>
      </c>
      <c r="L247" s="50" t="n">
        <v>48.6</v>
      </c>
      <c r="M247" s="51" t="n">
        <f aca="false">G247-F247</f>
        <v>-45176</v>
      </c>
      <c r="N247" s="52" t="n">
        <f aca="false">IF(F247=0,0,M247/F247)</f>
        <v>-0.0592010944916354</v>
      </c>
      <c r="O247" s="51" t="n">
        <f aca="false">G247-I247</f>
        <v>275547</v>
      </c>
      <c r="P247" s="51" t="n">
        <f aca="false">F247-H247</f>
        <v>286542</v>
      </c>
      <c r="Q247" s="51" t="n">
        <f aca="false">F247-H247-J247</f>
        <v>173223</v>
      </c>
      <c r="R247" s="51" t="n">
        <f aca="false">G247-I247-K247</f>
        <v>173754</v>
      </c>
      <c r="S247" s="51" t="n">
        <f aca="false">R247-Q247</f>
        <v>531</v>
      </c>
      <c r="T247" s="52" t="n">
        <f aca="false">IF(Q247=0,0,S247/Q247)</f>
        <v>0.00306541279160389</v>
      </c>
      <c r="U247" s="51" t="str">
        <f aca="false">IF(AND(Q247&gt;0,T247&lt;-0.15),"ADVERSE","")</f>
        <v/>
      </c>
    </row>
    <row r="248" customFormat="false" ht="15" hidden="false" customHeight="false" outlineLevel="0" collapsed="false">
      <c r="A248" s="47" t="s">
        <v>3</v>
      </c>
      <c r="B248" s="47" t="s">
        <v>135</v>
      </c>
      <c r="C248" s="48" t="n">
        <v>45809</v>
      </c>
      <c r="D248" s="47" t="s">
        <v>34</v>
      </c>
      <c r="E248" s="47" t="s">
        <v>40</v>
      </c>
      <c r="F248" s="49" t="n">
        <v>786077</v>
      </c>
      <c r="G248" s="49" t="n">
        <v>765761</v>
      </c>
      <c r="H248" s="49" t="n">
        <v>490905</v>
      </c>
      <c r="I248" s="49" t="n">
        <v>472559</v>
      </c>
      <c r="J248" s="49" t="n">
        <v>116732</v>
      </c>
      <c r="K248" s="49" t="n">
        <v>113283</v>
      </c>
      <c r="L248" s="50" t="n">
        <v>47</v>
      </c>
      <c r="M248" s="51" t="n">
        <f aca="false">G248-F248</f>
        <v>-20316</v>
      </c>
      <c r="N248" s="52" t="n">
        <f aca="false">IF(F248=0,0,M248/F248)</f>
        <v>-0.0258447963749098</v>
      </c>
      <c r="O248" s="51" t="n">
        <f aca="false">G248-I248</f>
        <v>293202</v>
      </c>
      <c r="P248" s="51" t="n">
        <f aca="false">F248-H248</f>
        <v>295172</v>
      </c>
      <c r="Q248" s="51" t="n">
        <f aca="false">F248-H248-J248</f>
        <v>178440</v>
      </c>
      <c r="R248" s="51" t="n">
        <f aca="false">G248-I248-K248</f>
        <v>179919</v>
      </c>
      <c r="S248" s="51" t="n">
        <f aca="false">R248-Q248</f>
        <v>1479</v>
      </c>
      <c r="T248" s="52" t="n">
        <f aca="false">IF(Q248=0,0,S248/Q248)</f>
        <v>0.00828850033624748</v>
      </c>
      <c r="U248" s="51" t="str">
        <f aca="false">IF(AND(Q248&gt;0,T248&lt;-0.15),"ADVERSE","")</f>
        <v/>
      </c>
    </row>
    <row r="249" customFormat="false" ht="15" hidden="false" customHeight="false" outlineLevel="0" collapsed="false">
      <c r="A249" s="47" t="s">
        <v>3</v>
      </c>
      <c r="B249" s="47" t="s">
        <v>136</v>
      </c>
      <c r="C249" s="48" t="n">
        <v>45839</v>
      </c>
      <c r="D249" s="47" t="s">
        <v>34</v>
      </c>
      <c r="E249" s="47" t="s">
        <v>40</v>
      </c>
      <c r="F249" s="49" t="n">
        <v>796824</v>
      </c>
      <c r="G249" s="49" t="n">
        <v>751825</v>
      </c>
      <c r="H249" s="49" t="n">
        <v>497617</v>
      </c>
      <c r="I249" s="49" t="n">
        <v>469583</v>
      </c>
      <c r="J249" s="49" t="n">
        <v>118328</v>
      </c>
      <c r="K249" s="49" t="n">
        <v>124226</v>
      </c>
      <c r="L249" s="50" t="n">
        <v>47.5</v>
      </c>
      <c r="M249" s="51" t="n">
        <f aca="false">G249-F249</f>
        <v>-44999</v>
      </c>
      <c r="N249" s="52" t="n">
        <f aca="false">IF(F249=0,0,M249/F249)</f>
        <v>-0.0564729476019799</v>
      </c>
      <c r="O249" s="51" t="n">
        <f aca="false">G249-I249</f>
        <v>282242</v>
      </c>
      <c r="P249" s="51" t="n">
        <f aca="false">F249-H249</f>
        <v>299207</v>
      </c>
      <c r="Q249" s="51" t="n">
        <f aca="false">F249-H249-J249</f>
        <v>180879</v>
      </c>
      <c r="R249" s="51" t="n">
        <f aca="false">G249-I249-K249</f>
        <v>158016</v>
      </c>
      <c r="S249" s="51" t="n">
        <f aca="false">R249-Q249</f>
        <v>-22863</v>
      </c>
      <c r="T249" s="52" t="n">
        <f aca="false">IF(Q249=0,0,S249/Q249)</f>
        <v>-0.1263994161843</v>
      </c>
      <c r="U249" s="51" t="str">
        <f aca="false">IF(AND(Q249&gt;0,T249&lt;-0.15),"ADVERSE","")</f>
        <v/>
      </c>
    </row>
    <row r="250" customFormat="false" ht="15" hidden="false" customHeight="false" outlineLevel="0" collapsed="false">
      <c r="A250" s="47" t="s">
        <v>3</v>
      </c>
      <c r="B250" s="47" t="s">
        <v>136</v>
      </c>
      <c r="C250" s="48" t="n">
        <v>45870</v>
      </c>
      <c r="D250" s="47" t="s">
        <v>34</v>
      </c>
      <c r="E250" s="47" t="s">
        <v>40</v>
      </c>
      <c r="F250" s="49" t="n">
        <v>773249</v>
      </c>
      <c r="G250" s="49" t="n">
        <v>730127</v>
      </c>
      <c r="H250" s="49" t="n">
        <v>482894</v>
      </c>
      <c r="I250" s="49" t="n">
        <v>452112</v>
      </c>
      <c r="J250" s="49" t="n">
        <v>114827</v>
      </c>
      <c r="K250" s="49" t="n">
        <v>116760</v>
      </c>
      <c r="L250" s="50" t="n">
        <v>47.1</v>
      </c>
      <c r="M250" s="51" t="n">
        <f aca="false">G250-F250</f>
        <v>-43122</v>
      </c>
      <c r="N250" s="52" t="n">
        <f aca="false">IF(F250=0,0,M250/F250)</f>
        <v>-0.0557672884155039</v>
      </c>
      <c r="O250" s="51" t="n">
        <f aca="false">G250-I250</f>
        <v>278015</v>
      </c>
      <c r="P250" s="51" t="n">
        <f aca="false">F250-H250</f>
        <v>290355</v>
      </c>
      <c r="Q250" s="51" t="n">
        <f aca="false">F250-H250-J250</f>
        <v>175528</v>
      </c>
      <c r="R250" s="51" t="n">
        <f aca="false">G250-I250-K250</f>
        <v>161255</v>
      </c>
      <c r="S250" s="51" t="n">
        <f aca="false">R250-Q250</f>
        <v>-14273</v>
      </c>
      <c r="T250" s="52" t="n">
        <f aca="false">IF(Q250=0,0,S250/Q250)</f>
        <v>-0.0813146620482202</v>
      </c>
      <c r="U250" s="51" t="str">
        <f aca="false">IF(AND(Q250&gt;0,T250&lt;-0.15),"ADVERSE","")</f>
        <v/>
      </c>
    </row>
    <row r="251" customFormat="false" ht="15" hidden="false" customHeight="false" outlineLevel="0" collapsed="false">
      <c r="A251" s="47" t="s">
        <v>3</v>
      </c>
      <c r="B251" s="47" t="s">
        <v>136</v>
      </c>
      <c r="C251" s="48" t="n">
        <v>45901</v>
      </c>
      <c r="D251" s="47" t="s">
        <v>34</v>
      </c>
      <c r="E251" s="47" t="s">
        <v>40</v>
      </c>
      <c r="F251" s="49" t="n">
        <v>796212</v>
      </c>
      <c r="G251" s="49" t="n">
        <v>722791</v>
      </c>
      <c r="H251" s="49" t="n">
        <v>497235</v>
      </c>
      <c r="I251" s="49" t="n">
        <v>457645</v>
      </c>
      <c r="J251" s="49" t="n">
        <v>118238</v>
      </c>
      <c r="K251" s="49" t="n">
        <v>116239</v>
      </c>
      <c r="L251" s="50" t="n">
        <v>48.5</v>
      </c>
      <c r="M251" s="51" t="n">
        <f aca="false">G251-F251</f>
        <v>-73421</v>
      </c>
      <c r="N251" s="52" t="n">
        <f aca="false">IF(F251=0,0,M251/F251)</f>
        <v>-0.0922128779772222</v>
      </c>
      <c r="O251" s="51" t="n">
        <f aca="false">G251-I251</f>
        <v>265146</v>
      </c>
      <c r="P251" s="51" t="n">
        <f aca="false">F251-H251</f>
        <v>298977</v>
      </c>
      <c r="Q251" s="51" t="n">
        <f aca="false">F251-H251-J251</f>
        <v>180739</v>
      </c>
      <c r="R251" s="51" t="n">
        <f aca="false">G251-I251-K251</f>
        <v>148907</v>
      </c>
      <c r="S251" s="51" t="n">
        <f aca="false">R251-Q251</f>
        <v>-31832</v>
      </c>
      <c r="T251" s="52" t="n">
        <f aca="false">IF(Q251=0,0,S251/Q251)</f>
        <v>-0.176121368382032</v>
      </c>
      <c r="U251" s="51" t="str">
        <f aca="false">IF(AND(Q251&gt;0,T251&lt;-0.15),"ADVERSE","")</f>
        <v>ADVERSE</v>
      </c>
    </row>
    <row r="252" customFormat="false" ht="15" hidden="false" customHeight="false" outlineLevel="0" collapsed="false">
      <c r="A252" s="47" t="s">
        <v>3</v>
      </c>
      <c r="B252" s="47" t="s">
        <v>137</v>
      </c>
      <c r="C252" s="48" t="n">
        <v>45931</v>
      </c>
      <c r="D252" s="47" t="s">
        <v>34</v>
      </c>
      <c r="E252" s="47" t="s">
        <v>40</v>
      </c>
      <c r="F252" s="49" t="n">
        <v>823468</v>
      </c>
      <c r="G252" s="49" t="n">
        <v>775456</v>
      </c>
      <c r="H252" s="49" t="n">
        <v>514256</v>
      </c>
      <c r="I252" s="49" t="n">
        <v>479107</v>
      </c>
      <c r="J252" s="49" t="n">
        <v>122285</v>
      </c>
      <c r="K252" s="49" t="n">
        <v>121582</v>
      </c>
      <c r="L252" s="50" t="n">
        <v>48</v>
      </c>
      <c r="M252" s="51" t="n">
        <f aca="false">G252-F252</f>
        <v>-48012</v>
      </c>
      <c r="N252" s="52" t="n">
        <f aca="false">IF(F252=0,0,M252/F252)</f>
        <v>-0.0583046335741037</v>
      </c>
      <c r="O252" s="51" t="n">
        <f aca="false">G252-I252</f>
        <v>296349</v>
      </c>
      <c r="P252" s="51" t="n">
        <f aca="false">F252-H252</f>
        <v>309212</v>
      </c>
      <c r="Q252" s="51" t="n">
        <f aca="false">F252-H252-J252</f>
        <v>186927</v>
      </c>
      <c r="R252" s="51" t="n">
        <f aca="false">G252-I252-K252</f>
        <v>174767</v>
      </c>
      <c r="S252" s="51" t="n">
        <f aca="false">R252-Q252</f>
        <v>-12160</v>
      </c>
      <c r="T252" s="52" t="n">
        <f aca="false">IF(Q252=0,0,S252/Q252)</f>
        <v>-0.0650521326507139</v>
      </c>
      <c r="U252" s="51" t="str">
        <f aca="false">IF(AND(Q252&gt;0,T252&lt;-0.15),"ADVERSE","")</f>
        <v/>
      </c>
    </row>
    <row r="253" customFormat="false" ht="15" hidden="false" customHeight="false" outlineLevel="0" collapsed="false">
      <c r="A253" s="47" t="s">
        <v>3</v>
      </c>
      <c r="B253" s="47" t="s">
        <v>137</v>
      </c>
      <c r="C253" s="48" t="n">
        <v>45962</v>
      </c>
      <c r="D253" s="47" t="s">
        <v>34</v>
      </c>
      <c r="E253" s="47" t="s">
        <v>40</v>
      </c>
      <c r="F253" s="49" t="n">
        <v>803890</v>
      </c>
      <c r="G253" s="49" t="n">
        <v>734644</v>
      </c>
      <c r="H253" s="49" t="n">
        <v>502030</v>
      </c>
      <c r="I253" s="49" t="n">
        <v>451616</v>
      </c>
      <c r="J253" s="49" t="n">
        <v>119378</v>
      </c>
      <c r="K253" s="49" t="n">
        <v>118785</v>
      </c>
      <c r="L253" s="50" t="n">
        <v>47.6</v>
      </c>
      <c r="M253" s="51" t="n">
        <f aca="false">G253-F253</f>
        <v>-69246</v>
      </c>
      <c r="N253" s="52" t="n">
        <f aca="false">IF(F253=0,0,M253/F253)</f>
        <v>-0.0861386508104343</v>
      </c>
      <c r="O253" s="51" t="n">
        <f aca="false">G253-I253</f>
        <v>283028</v>
      </c>
      <c r="P253" s="51" t="n">
        <f aca="false">F253-H253</f>
        <v>301860</v>
      </c>
      <c r="Q253" s="51" t="n">
        <f aca="false">F253-H253-J253</f>
        <v>182482</v>
      </c>
      <c r="R253" s="51" t="n">
        <f aca="false">G253-I253-K253</f>
        <v>164243</v>
      </c>
      <c r="S253" s="51" t="n">
        <f aca="false">R253-Q253</f>
        <v>-18239</v>
      </c>
      <c r="T253" s="52" t="n">
        <f aca="false">IF(Q253=0,0,S253/Q253)</f>
        <v>-0.0999495840685657</v>
      </c>
      <c r="U253" s="51" t="str">
        <f aca="false">IF(AND(Q253&gt;0,T253&lt;-0.15),"ADVERSE","")</f>
        <v/>
      </c>
    </row>
    <row r="254" customFormat="false" ht="15" hidden="false" customHeight="false" outlineLevel="0" collapsed="false">
      <c r="A254" s="47" t="s">
        <v>3</v>
      </c>
      <c r="B254" s="47" t="s">
        <v>137</v>
      </c>
      <c r="C254" s="48" t="n">
        <v>45992</v>
      </c>
      <c r="D254" s="47" t="s">
        <v>34</v>
      </c>
      <c r="E254" s="47" t="s">
        <v>40</v>
      </c>
      <c r="F254" s="49" t="n">
        <v>802043</v>
      </c>
      <c r="G254" s="49" t="n">
        <v>756392</v>
      </c>
      <c r="H254" s="49" t="n">
        <v>500876</v>
      </c>
      <c r="I254" s="49" t="n">
        <v>471479</v>
      </c>
      <c r="J254" s="49" t="n">
        <v>119103</v>
      </c>
      <c r="K254" s="49" t="n">
        <v>119374</v>
      </c>
      <c r="L254" s="50" t="n">
        <v>48.2</v>
      </c>
      <c r="M254" s="51" t="n">
        <f aca="false">G254-F254</f>
        <v>-45651</v>
      </c>
      <c r="N254" s="52" t="n">
        <f aca="false">IF(F254=0,0,M254/F254)</f>
        <v>-0.0569183946496634</v>
      </c>
      <c r="O254" s="51" t="n">
        <f aca="false">G254-I254</f>
        <v>284913</v>
      </c>
      <c r="P254" s="51" t="n">
        <f aca="false">F254-H254</f>
        <v>301167</v>
      </c>
      <c r="Q254" s="51" t="n">
        <f aca="false">F254-H254-J254</f>
        <v>182064</v>
      </c>
      <c r="R254" s="51" t="n">
        <f aca="false">G254-I254-K254</f>
        <v>165539</v>
      </c>
      <c r="S254" s="51" t="n">
        <f aca="false">R254-Q254</f>
        <v>-16525</v>
      </c>
      <c r="T254" s="52" t="n">
        <f aca="false">IF(Q254=0,0,S254/Q254)</f>
        <v>-0.0907647860093154</v>
      </c>
      <c r="U254" s="51" t="str">
        <f aca="false">IF(AND(Q254&gt;0,T254&lt;-0.15),"ADVERSE","")</f>
        <v/>
      </c>
    </row>
    <row r="255" customFormat="false" ht="15" hidden="false" customHeight="false" outlineLevel="0" collapsed="false">
      <c r="A255" s="47" t="s">
        <v>3</v>
      </c>
      <c r="B255" s="47" t="s">
        <v>138</v>
      </c>
      <c r="C255" s="48" t="n">
        <v>46023</v>
      </c>
      <c r="D255" s="47" t="s">
        <v>34</v>
      </c>
      <c r="E255" s="47" t="s">
        <v>40</v>
      </c>
      <c r="F255" s="49" t="n">
        <v>788676</v>
      </c>
      <c r="G255" s="49" t="n">
        <v>740666</v>
      </c>
      <c r="H255" s="49" t="n">
        <v>492528</v>
      </c>
      <c r="I255" s="49" t="n">
        <v>456180</v>
      </c>
      <c r="J255" s="49" t="n">
        <v>117118</v>
      </c>
      <c r="K255" s="49" t="n">
        <v>117189</v>
      </c>
      <c r="L255" s="50" t="n">
        <v>47.4</v>
      </c>
      <c r="M255" s="51" t="n">
        <f aca="false">G255-F255</f>
        <v>-48010</v>
      </c>
      <c r="N255" s="52" t="n">
        <f aca="false">IF(F255=0,0,M255/F255)</f>
        <v>-0.0608741739320076</v>
      </c>
      <c r="O255" s="51" t="n">
        <f aca="false">G255-I255</f>
        <v>284486</v>
      </c>
      <c r="P255" s="51" t="n">
        <f aca="false">F255-H255</f>
        <v>296148</v>
      </c>
      <c r="Q255" s="51" t="n">
        <f aca="false">F255-H255-J255</f>
        <v>179030</v>
      </c>
      <c r="R255" s="51" t="n">
        <f aca="false">G255-I255-K255</f>
        <v>167297</v>
      </c>
      <c r="S255" s="51" t="n">
        <f aca="false">R255-Q255</f>
        <v>-11733</v>
      </c>
      <c r="T255" s="52" t="n">
        <f aca="false">IF(Q255=0,0,S255/Q255)</f>
        <v>-0.0655365022621907</v>
      </c>
      <c r="U255" s="51" t="str">
        <f aca="false">IF(AND(Q255&gt;0,T255&lt;-0.15),"ADVERSE","")</f>
        <v/>
      </c>
    </row>
    <row r="256" customFormat="false" ht="15" hidden="false" customHeight="false" outlineLevel="0" collapsed="false">
      <c r="A256" s="47" t="s">
        <v>3</v>
      </c>
      <c r="B256" s="47" t="s">
        <v>138</v>
      </c>
      <c r="C256" s="48" t="n">
        <v>46054</v>
      </c>
      <c r="D256" s="47" t="s">
        <v>34</v>
      </c>
      <c r="E256" s="47" t="s">
        <v>40</v>
      </c>
      <c r="F256" s="49" t="n">
        <v>776545</v>
      </c>
      <c r="G256" s="49" t="n">
        <v>777558</v>
      </c>
      <c r="H256" s="49" t="n">
        <v>484952</v>
      </c>
      <c r="I256" s="49" t="n">
        <v>486674</v>
      </c>
      <c r="J256" s="49" t="n">
        <v>115317</v>
      </c>
      <c r="K256" s="49" t="n">
        <v>120696</v>
      </c>
      <c r="L256" s="50" t="n">
        <v>48</v>
      </c>
      <c r="M256" s="51" t="n">
        <f aca="false">G256-F256</f>
        <v>1013</v>
      </c>
      <c r="N256" s="52" t="n">
        <f aca="false">IF(F256=0,0,M256/F256)</f>
        <v>0.00130449619790225</v>
      </c>
      <c r="O256" s="51" t="n">
        <f aca="false">G256-I256</f>
        <v>290884</v>
      </c>
      <c r="P256" s="51" t="n">
        <f aca="false">F256-H256</f>
        <v>291593</v>
      </c>
      <c r="Q256" s="51" t="n">
        <f aca="false">F256-H256-J256</f>
        <v>176276</v>
      </c>
      <c r="R256" s="51" t="n">
        <f aca="false">G256-I256-K256</f>
        <v>170188</v>
      </c>
      <c r="S256" s="51" t="n">
        <f aca="false">R256-Q256</f>
        <v>-6088</v>
      </c>
      <c r="T256" s="52" t="n">
        <f aca="false">IF(Q256=0,0,S256/Q256)</f>
        <v>-0.0345367491887722</v>
      </c>
      <c r="U256" s="51" t="str">
        <f aca="false">IF(AND(Q256&gt;0,T256&lt;-0.15),"ADVERSE","")</f>
        <v/>
      </c>
    </row>
    <row r="257" customFormat="false" ht="15" hidden="false" customHeight="false" outlineLevel="0" collapsed="false">
      <c r="A257" s="47" t="s">
        <v>3</v>
      </c>
      <c r="B257" s="47" t="s">
        <v>138</v>
      </c>
      <c r="C257" s="48" t="n">
        <v>46082</v>
      </c>
      <c r="D257" s="47" t="s">
        <v>34</v>
      </c>
      <c r="E257" s="47" t="s">
        <v>40</v>
      </c>
      <c r="F257" s="49" t="n">
        <v>864727</v>
      </c>
      <c r="G257" s="49" t="n">
        <v>824014</v>
      </c>
      <c r="H257" s="49" t="n">
        <v>540022</v>
      </c>
      <c r="I257" s="49" t="n">
        <v>508446</v>
      </c>
      <c r="J257" s="49" t="n">
        <v>128412</v>
      </c>
      <c r="K257" s="49" t="n">
        <v>132191</v>
      </c>
      <c r="L257" s="50" t="n">
        <v>48.8</v>
      </c>
      <c r="M257" s="51" t="n">
        <f aca="false">G257-F257</f>
        <v>-40713</v>
      </c>
      <c r="N257" s="52" t="n">
        <f aca="false">IF(F257=0,0,M257/F257)</f>
        <v>-0.0470819114009393</v>
      </c>
      <c r="O257" s="51" t="n">
        <f aca="false">G257-I257</f>
        <v>315568</v>
      </c>
      <c r="P257" s="51" t="n">
        <f aca="false">F257-H257</f>
        <v>324705</v>
      </c>
      <c r="Q257" s="51" t="n">
        <f aca="false">F257-H257-J257</f>
        <v>196293</v>
      </c>
      <c r="R257" s="51" t="n">
        <f aca="false">G257-I257-K257</f>
        <v>183377</v>
      </c>
      <c r="S257" s="51" t="n">
        <f aca="false">R257-Q257</f>
        <v>-12916</v>
      </c>
      <c r="T257" s="52" t="n">
        <f aca="false">IF(Q257=0,0,S257/Q257)</f>
        <v>-0.0657995955026415</v>
      </c>
      <c r="U257" s="51" t="str">
        <f aca="false">IF(AND(Q257&gt;0,T257&lt;-0.15),"ADVERSE","")</f>
        <v/>
      </c>
    </row>
    <row r="258" customFormat="false" ht="15" hidden="false" customHeight="false" outlineLevel="0" collapsed="false">
      <c r="A258" s="47" t="s">
        <v>134</v>
      </c>
      <c r="B258" s="47" t="s">
        <v>135</v>
      </c>
      <c r="C258" s="48" t="n">
        <v>45017</v>
      </c>
      <c r="D258" s="47" t="s">
        <v>34</v>
      </c>
      <c r="E258" s="47" t="s">
        <v>41</v>
      </c>
      <c r="F258" s="49" t="n">
        <v>451813</v>
      </c>
      <c r="G258" s="49" t="n">
        <v>454070</v>
      </c>
      <c r="H258" s="49" t="n">
        <v>282157</v>
      </c>
      <c r="I258" s="49" t="n">
        <v>286431</v>
      </c>
      <c r="J258" s="49" t="n">
        <v>67094</v>
      </c>
      <c r="K258" s="49" t="n">
        <v>69829</v>
      </c>
      <c r="L258" s="50" t="n">
        <v>30.9</v>
      </c>
      <c r="M258" s="51" t="n">
        <f aca="false">G258-F258</f>
        <v>2257</v>
      </c>
      <c r="N258" s="52" t="n">
        <f aca="false">IF(F258=0,0,M258/F258)</f>
        <v>0.00499542952504687</v>
      </c>
      <c r="O258" s="51" t="n">
        <f aca="false">G258-I258</f>
        <v>167639</v>
      </c>
      <c r="P258" s="51" t="n">
        <f aca="false">F258-H258</f>
        <v>169656</v>
      </c>
      <c r="Q258" s="51" t="n">
        <f aca="false">F258-H258-J258</f>
        <v>102562</v>
      </c>
      <c r="R258" s="51" t="n">
        <f aca="false">G258-I258-K258</f>
        <v>97810</v>
      </c>
      <c r="S258" s="51" t="n">
        <f aca="false">R258-Q258</f>
        <v>-4752</v>
      </c>
      <c r="T258" s="52" t="n">
        <f aca="false">IF(Q258=0,0,S258/Q258)</f>
        <v>-0.0463329498254714</v>
      </c>
      <c r="U258" s="51" t="str">
        <f aca="false">IF(AND(Q258&gt;0,T258&lt;-0.15),"ADVERSE","")</f>
        <v/>
      </c>
    </row>
    <row r="259" customFormat="false" ht="15" hidden="false" customHeight="false" outlineLevel="0" collapsed="false">
      <c r="A259" s="47" t="s">
        <v>134</v>
      </c>
      <c r="B259" s="47" t="s">
        <v>135</v>
      </c>
      <c r="C259" s="48" t="n">
        <v>45047</v>
      </c>
      <c r="D259" s="47" t="s">
        <v>34</v>
      </c>
      <c r="E259" s="47" t="s">
        <v>41</v>
      </c>
      <c r="F259" s="49" t="n">
        <v>461821</v>
      </c>
      <c r="G259" s="49" t="n">
        <v>454821</v>
      </c>
      <c r="H259" s="49" t="n">
        <v>288407</v>
      </c>
      <c r="I259" s="49" t="n">
        <v>296392</v>
      </c>
      <c r="J259" s="49" t="n">
        <v>68580</v>
      </c>
      <c r="K259" s="49" t="n">
        <v>68496</v>
      </c>
      <c r="L259" s="50" t="n">
        <v>31</v>
      </c>
      <c r="M259" s="51" t="n">
        <f aca="false">G259-F259</f>
        <v>-7000</v>
      </c>
      <c r="N259" s="52" t="n">
        <f aca="false">IF(F259=0,0,M259/F259)</f>
        <v>-0.0151573878190901</v>
      </c>
      <c r="O259" s="51" t="n">
        <f aca="false">G259-I259</f>
        <v>158429</v>
      </c>
      <c r="P259" s="51" t="n">
        <f aca="false">F259-H259</f>
        <v>173414</v>
      </c>
      <c r="Q259" s="51" t="n">
        <f aca="false">F259-H259-J259</f>
        <v>104834</v>
      </c>
      <c r="R259" s="51" t="n">
        <f aca="false">G259-I259-K259</f>
        <v>89933</v>
      </c>
      <c r="S259" s="51" t="n">
        <f aca="false">R259-Q259</f>
        <v>-14901</v>
      </c>
      <c r="T259" s="52" t="n">
        <f aca="false">IF(Q259=0,0,S259/Q259)</f>
        <v>-0.142139000705878</v>
      </c>
      <c r="U259" s="51" t="str">
        <f aca="false">IF(AND(Q259&gt;0,T259&lt;-0.15),"ADVERSE","")</f>
        <v/>
      </c>
    </row>
    <row r="260" customFormat="false" ht="15" hidden="false" customHeight="false" outlineLevel="0" collapsed="false">
      <c r="A260" s="47" t="s">
        <v>134</v>
      </c>
      <c r="B260" s="47" t="s">
        <v>135</v>
      </c>
      <c r="C260" s="48" t="n">
        <v>45078</v>
      </c>
      <c r="D260" s="47" t="s">
        <v>34</v>
      </c>
      <c r="E260" s="47" t="s">
        <v>41</v>
      </c>
      <c r="F260" s="49" t="n">
        <v>464470</v>
      </c>
      <c r="G260" s="49" t="n">
        <v>461061</v>
      </c>
      <c r="H260" s="49" t="n">
        <v>290061</v>
      </c>
      <c r="I260" s="49" t="n">
        <v>294324</v>
      </c>
      <c r="J260" s="49" t="n">
        <v>68974</v>
      </c>
      <c r="K260" s="49" t="n">
        <v>75187</v>
      </c>
      <c r="L260" s="50" t="n">
        <v>30.8</v>
      </c>
      <c r="M260" s="51" t="n">
        <f aca="false">G260-F260</f>
        <v>-3409</v>
      </c>
      <c r="N260" s="52" t="n">
        <f aca="false">IF(F260=0,0,M260/F260)</f>
        <v>-0.00733954830236614</v>
      </c>
      <c r="O260" s="51" t="n">
        <f aca="false">G260-I260</f>
        <v>166737</v>
      </c>
      <c r="P260" s="51" t="n">
        <f aca="false">F260-H260</f>
        <v>174409</v>
      </c>
      <c r="Q260" s="51" t="n">
        <f aca="false">F260-H260-J260</f>
        <v>105435</v>
      </c>
      <c r="R260" s="51" t="n">
        <f aca="false">G260-I260-K260</f>
        <v>91550</v>
      </c>
      <c r="S260" s="51" t="n">
        <f aca="false">R260-Q260</f>
        <v>-13885</v>
      </c>
      <c r="T260" s="52" t="n">
        <f aca="false">IF(Q260=0,0,S260/Q260)</f>
        <v>-0.131692511974202</v>
      </c>
      <c r="U260" s="51" t="str">
        <f aca="false">IF(AND(Q260&gt;0,T260&lt;-0.15),"ADVERSE","")</f>
        <v/>
      </c>
    </row>
    <row r="261" customFormat="false" ht="15" hidden="false" customHeight="false" outlineLevel="0" collapsed="false">
      <c r="A261" s="47" t="s">
        <v>134</v>
      </c>
      <c r="B261" s="47" t="s">
        <v>136</v>
      </c>
      <c r="C261" s="48" t="n">
        <v>45108</v>
      </c>
      <c r="D261" s="47" t="s">
        <v>34</v>
      </c>
      <c r="E261" s="47" t="s">
        <v>41</v>
      </c>
      <c r="F261" s="49" t="n">
        <v>471148</v>
      </c>
      <c r="G261" s="49" t="n">
        <v>470092</v>
      </c>
      <c r="H261" s="49" t="n">
        <v>294232</v>
      </c>
      <c r="I261" s="49" t="n">
        <v>291283</v>
      </c>
      <c r="J261" s="49" t="n">
        <v>69965</v>
      </c>
      <c r="K261" s="49" t="n">
        <v>70465</v>
      </c>
      <c r="L261" s="50" t="n">
        <v>30.4</v>
      </c>
      <c r="M261" s="51" t="n">
        <f aca="false">G261-F261</f>
        <v>-1056</v>
      </c>
      <c r="N261" s="52" t="n">
        <f aca="false">IF(F261=0,0,M261/F261)</f>
        <v>-0.00224133393328636</v>
      </c>
      <c r="O261" s="51" t="n">
        <f aca="false">G261-I261</f>
        <v>178809</v>
      </c>
      <c r="P261" s="51" t="n">
        <f aca="false">F261-H261</f>
        <v>176916</v>
      </c>
      <c r="Q261" s="51" t="n">
        <f aca="false">F261-H261-J261</f>
        <v>106951</v>
      </c>
      <c r="R261" s="51" t="n">
        <f aca="false">G261-I261-K261</f>
        <v>108344</v>
      </c>
      <c r="S261" s="51" t="n">
        <f aca="false">R261-Q261</f>
        <v>1393</v>
      </c>
      <c r="T261" s="52" t="n">
        <f aca="false">IF(Q261=0,0,S261/Q261)</f>
        <v>0.0130246561509476</v>
      </c>
      <c r="U261" s="51" t="str">
        <f aca="false">IF(AND(Q261&gt;0,T261&lt;-0.15),"ADVERSE","")</f>
        <v/>
      </c>
    </row>
    <row r="262" customFormat="false" ht="15" hidden="false" customHeight="false" outlineLevel="0" collapsed="false">
      <c r="A262" s="47" t="s">
        <v>134</v>
      </c>
      <c r="B262" s="47" t="s">
        <v>136</v>
      </c>
      <c r="C262" s="48" t="n">
        <v>45139</v>
      </c>
      <c r="D262" s="47" t="s">
        <v>34</v>
      </c>
      <c r="E262" s="47" t="s">
        <v>41</v>
      </c>
      <c r="F262" s="49" t="n">
        <v>463692</v>
      </c>
      <c r="G262" s="49" t="n">
        <v>452511</v>
      </c>
      <c r="H262" s="49" t="n">
        <v>289576</v>
      </c>
      <c r="I262" s="49" t="n">
        <v>281944</v>
      </c>
      <c r="J262" s="49" t="n">
        <v>68858</v>
      </c>
      <c r="K262" s="49" t="n">
        <v>65564</v>
      </c>
      <c r="L262" s="50" t="n">
        <v>30.5</v>
      </c>
      <c r="M262" s="51" t="n">
        <f aca="false">G262-F262</f>
        <v>-11181</v>
      </c>
      <c r="N262" s="52" t="n">
        <f aca="false">IF(F262=0,0,M262/F262)</f>
        <v>-0.0241129887942859</v>
      </c>
      <c r="O262" s="51" t="n">
        <f aca="false">G262-I262</f>
        <v>170567</v>
      </c>
      <c r="P262" s="51" t="n">
        <f aca="false">F262-H262</f>
        <v>174116</v>
      </c>
      <c r="Q262" s="51" t="n">
        <f aca="false">F262-H262-J262</f>
        <v>105258</v>
      </c>
      <c r="R262" s="51" t="n">
        <f aca="false">G262-I262-K262</f>
        <v>105003</v>
      </c>
      <c r="S262" s="51" t="n">
        <f aca="false">R262-Q262</f>
        <v>-255</v>
      </c>
      <c r="T262" s="52" t="n">
        <f aca="false">IF(Q262=0,0,S262/Q262)</f>
        <v>-0.00242261870831671</v>
      </c>
      <c r="U262" s="51" t="str">
        <f aca="false">IF(AND(Q262&gt;0,T262&lt;-0.15),"ADVERSE","")</f>
        <v/>
      </c>
    </row>
    <row r="263" customFormat="false" ht="15" hidden="false" customHeight="false" outlineLevel="0" collapsed="false">
      <c r="A263" s="47" t="s">
        <v>134</v>
      </c>
      <c r="B263" s="47" t="s">
        <v>136</v>
      </c>
      <c r="C263" s="48" t="n">
        <v>45170</v>
      </c>
      <c r="D263" s="47" t="s">
        <v>34</v>
      </c>
      <c r="E263" s="47" t="s">
        <v>41</v>
      </c>
      <c r="F263" s="49" t="n">
        <v>466473</v>
      </c>
      <c r="G263" s="49" t="n">
        <v>492869</v>
      </c>
      <c r="H263" s="49" t="n">
        <v>291312</v>
      </c>
      <c r="I263" s="49" t="n">
        <v>307158</v>
      </c>
      <c r="J263" s="49" t="n">
        <v>69271</v>
      </c>
      <c r="K263" s="49" t="n">
        <v>76618</v>
      </c>
      <c r="L263" s="50" t="n">
        <v>31.4</v>
      </c>
      <c r="M263" s="51" t="n">
        <f aca="false">G263-F263</f>
        <v>26396</v>
      </c>
      <c r="N263" s="52" t="n">
        <f aca="false">IF(F263=0,0,M263/F263)</f>
        <v>0.0565863404741539</v>
      </c>
      <c r="O263" s="51" t="n">
        <f aca="false">G263-I263</f>
        <v>185711</v>
      </c>
      <c r="P263" s="51" t="n">
        <f aca="false">F263-H263</f>
        <v>175161</v>
      </c>
      <c r="Q263" s="51" t="n">
        <f aca="false">F263-H263-J263</f>
        <v>105890</v>
      </c>
      <c r="R263" s="51" t="n">
        <f aca="false">G263-I263-K263</f>
        <v>109093</v>
      </c>
      <c r="S263" s="51" t="n">
        <f aca="false">R263-Q263</f>
        <v>3203</v>
      </c>
      <c r="T263" s="52" t="n">
        <f aca="false">IF(Q263=0,0,S263/Q263)</f>
        <v>0.0302483709509869</v>
      </c>
      <c r="U263" s="51" t="str">
        <f aca="false">IF(AND(Q263&gt;0,T263&lt;-0.15),"ADVERSE","")</f>
        <v/>
      </c>
    </row>
    <row r="264" customFormat="false" ht="15" hidden="false" customHeight="false" outlineLevel="0" collapsed="false">
      <c r="A264" s="47" t="s">
        <v>134</v>
      </c>
      <c r="B264" s="47" t="s">
        <v>137</v>
      </c>
      <c r="C264" s="48" t="n">
        <v>45200</v>
      </c>
      <c r="D264" s="47" t="s">
        <v>34</v>
      </c>
      <c r="E264" s="47" t="s">
        <v>41</v>
      </c>
      <c r="F264" s="49" t="n">
        <v>489708</v>
      </c>
      <c r="G264" s="49" t="n">
        <v>496368</v>
      </c>
      <c r="H264" s="49" t="n">
        <v>305823</v>
      </c>
      <c r="I264" s="49" t="n">
        <v>306161</v>
      </c>
      <c r="J264" s="49" t="n">
        <v>72722</v>
      </c>
      <c r="K264" s="49" t="n">
        <v>72076</v>
      </c>
      <c r="L264" s="50" t="n">
        <v>31.1</v>
      </c>
      <c r="M264" s="51" t="n">
        <f aca="false">G264-F264</f>
        <v>6660</v>
      </c>
      <c r="N264" s="52" t="n">
        <f aca="false">IF(F264=0,0,M264/F264)</f>
        <v>0.0135999411894435</v>
      </c>
      <c r="O264" s="51" t="n">
        <f aca="false">G264-I264</f>
        <v>190207</v>
      </c>
      <c r="P264" s="51" t="n">
        <f aca="false">F264-H264</f>
        <v>183885</v>
      </c>
      <c r="Q264" s="51" t="n">
        <f aca="false">F264-H264-J264</f>
        <v>111163</v>
      </c>
      <c r="R264" s="51" t="n">
        <f aca="false">G264-I264-K264</f>
        <v>118131</v>
      </c>
      <c r="S264" s="51" t="n">
        <f aca="false">R264-Q264</f>
        <v>6968</v>
      </c>
      <c r="T264" s="52" t="n">
        <f aca="false">IF(Q264=0,0,S264/Q264)</f>
        <v>0.0626827271664133</v>
      </c>
      <c r="U264" s="51" t="str">
        <f aca="false">IF(AND(Q264&gt;0,T264&lt;-0.15),"ADVERSE","")</f>
        <v/>
      </c>
    </row>
    <row r="265" customFormat="false" ht="15" hidden="false" customHeight="false" outlineLevel="0" collapsed="false">
      <c r="A265" s="47" t="s">
        <v>134</v>
      </c>
      <c r="B265" s="47" t="s">
        <v>137</v>
      </c>
      <c r="C265" s="48" t="n">
        <v>45231</v>
      </c>
      <c r="D265" s="47" t="s">
        <v>34</v>
      </c>
      <c r="E265" s="47" t="s">
        <v>41</v>
      </c>
      <c r="F265" s="49" t="n">
        <v>484232</v>
      </c>
      <c r="G265" s="49" t="n">
        <v>439702</v>
      </c>
      <c r="H265" s="49" t="n">
        <v>302403</v>
      </c>
      <c r="I265" s="49" t="n">
        <v>274172</v>
      </c>
      <c r="J265" s="49" t="n">
        <v>71908</v>
      </c>
      <c r="K265" s="49" t="n">
        <v>65518</v>
      </c>
      <c r="L265" s="50" t="n">
        <v>31.3</v>
      </c>
      <c r="M265" s="51" t="n">
        <f aca="false">G265-F265</f>
        <v>-44530</v>
      </c>
      <c r="N265" s="52" t="n">
        <f aca="false">IF(F265=0,0,M265/F265)</f>
        <v>-0.0919600522063804</v>
      </c>
      <c r="O265" s="51" t="n">
        <f aca="false">G265-I265</f>
        <v>165530</v>
      </c>
      <c r="P265" s="51" t="n">
        <f aca="false">F265-H265</f>
        <v>181829</v>
      </c>
      <c r="Q265" s="51" t="n">
        <f aca="false">F265-H265-J265</f>
        <v>109921</v>
      </c>
      <c r="R265" s="51" t="n">
        <f aca="false">G265-I265-K265</f>
        <v>100012</v>
      </c>
      <c r="S265" s="51" t="n">
        <f aca="false">R265-Q265</f>
        <v>-9909</v>
      </c>
      <c r="T265" s="52" t="n">
        <f aca="false">IF(Q265=0,0,S265/Q265)</f>
        <v>-0.0901465598020396</v>
      </c>
      <c r="U265" s="51" t="str">
        <f aca="false">IF(AND(Q265&gt;0,T265&lt;-0.15),"ADVERSE","")</f>
        <v/>
      </c>
    </row>
    <row r="266" customFormat="false" ht="15" hidden="false" customHeight="false" outlineLevel="0" collapsed="false">
      <c r="A266" s="47" t="s">
        <v>134</v>
      </c>
      <c r="B266" s="47" t="s">
        <v>137</v>
      </c>
      <c r="C266" s="48" t="n">
        <v>45261</v>
      </c>
      <c r="D266" s="47" t="s">
        <v>34</v>
      </c>
      <c r="E266" s="47" t="s">
        <v>41</v>
      </c>
      <c r="F266" s="49" t="n">
        <v>480695</v>
      </c>
      <c r="G266" s="49" t="n">
        <v>484404</v>
      </c>
      <c r="H266" s="49" t="n">
        <v>300194</v>
      </c>
      <c r="I266" s="49" t="n">
        <v>308727</v>
      </c>
      <c r="J266" s="49" t="n">
        <v>71383</v>
      </c>
      <c r="K266" s="49" t="n">
        <v>72871</v>
      </c>
      <c r="L266" s="50" t="n">
        <v>31.9</v>
      </c>
      <c r="M266" s="51" t="n">
        <f aca="false">G266-F266</f>
        <v>3709</v>
      </c>
      <c r="N266" s="52" t="n">
        <f aca="false">IF(F266=0,0,M266/F266)</f>
        <v>0.00771591133671039</v>
      </c>
      <c r="O266" s="51" t="n">
        <f aca="false">G266-I266</f>
        <v>175677</v>
      </c>
      <c r="P266" s="51" t="n">
        <f aca="false">F266-H266</f>
        <v>180501</v>
      </c>
      <c r="Q266" s="51" t="n">
        <f aca="false">F266-H266-J266</f>
        <v>109118</v>
      </c>
      <c r="R266" s="51" t="n">
        <f aca="false">G266-I266-K266</f>
        <v>102806</v>
      </c>
      <c r="S266" s="51" t="n">
        <f aca="false">R266-Q266</f>
        <v>-6312</v>
      </c>
      <c r="T266" s="52" t="n">
        <f aca="false">IF(Q266=0,0,S266/Q266)</f>
        <v>-0.0578456350006415</v>
      </c>
      <c r="U266" s="51" t="str">
        <f aca="false">IF(AND(Q266&gt;0,T266&lt;-0.15),"ADVERSE","")</f>
        <v/>
      </c>
    </row>
    <row r="267" customFormat="false" ht="15" hidden="false" customHeight="false" outlineLevel="0" collapsed="false">
      <c r="A267" s="47" t="s">
        <v>134</v>
      </c>
      <c r="B267" s="47" t="s">
        <v>138</v>
      </c>
      <c r="C267" s="48" t="n">
        <v>45292</v>
      </c>
      <c r="D267" s="47" t="s">
        <v>34</v>
      </c>
      <c r="E267" s="47" t="s">
        <v>41</v>
      </c>
      <c r="F267" s="49" t="n">
        <v>469193</v>
      </c>
      <c r="G267" s="49" t="n">
        <v>458790</v>
      </c>
      <c r="H267" s="49" t="n">
        <v>293011</v>
      </c>
      <c r="I267" s="49" t="n">
        <v>287520</v>
      </c>
      <c r="J267" s="49" t="n">
        <v>69675</v>
      </c>
      <c r="K267" s="49" t="n">
        <v>67985</v>
      </c>
      <c r="L267" s="50" t="n">
        <v>30.8</v>
      </c>
      <c r="M267" s="51" t="n">
        <f aca="false">G267-F267</f>
        <v>-10403</v>
      </c>
      <c r="N267" s="52" t="n">
        <f aca="false">IF(F267=0,0,M267/F267)</f>
        <v>-0.0221721125421735</v>
      </c>
      <c r="O267" s="51" t="n">
        <f aca="false">G267-I267</f>
        <v>171270</v>
      </c>
      <c r="P267" s="51" t="n">
        <f aca="false">F267-H267</f>
        <v>176182</v>
      </c>
      <c r="Q267" s="51" t="n">
        <f aca="false">F267-H267-J267</f>
        <v>106507</v>
      </c>
      <c r="R267" s="51" t="n">
        <f aca="false">G267-I267-K267</f>
        <v>103285</v>
      </c>
      <c r="S267" s="51" t="n">
        <f aca="false">R267-Q267</f>
        <v>-3222</v>
      </c>
      <c r="T267" s="52" t="n">
        <f aca="false">IF(Q267=0,0,S267/Q267)</f>
        <v>-0.0302515327631048</v>
      </c>
      <c r="U267" s="51" t="str">
        <f aca="false">IF(AND(Q267&gt;0,T267&lt;-0.15),"ADVERSE","")</f>
        <v/>
      </c>
    </row>
    <row r="268" customFormat="false" ht="15" hidden="false" customHeight="false" outlineLevel="0" collapsed="false">
      <c r="A268" s="47" t="s">
        <v>134</v>
      </c>
      <c r="B268" s="47" t="s">
        <v>138</v>
      </c>
      <c r="C268" s="48" t="n">
        <v>45323</v>
      </c>
      <c r="D268" s="47" t="s">
        <v>34</v>
      </c>
      <c r="E268" s="47" t="s">
        <v>41</v>
      </c>
      <c r="F268" s="49" t="n">
        <v>477320</v>
      </c>
      <c r="G268" s="49" t="n">
        <v>453037</v>
      </c>
      <c r="H268" s="49" t="n">
        <v>298087</v>
      </c>
      <c r="I268" s="49" t="n">
        <v>282700</v>
      </c>
      <c r="J268" s="49" t="n">
        <v>70882</v>
      </c>
      <c r="K268" s="49" t="n">
        <v>67096</v>
      </c>
      <c r="L268" s="50" t="n">
        <v>31.4</v>
      </c>
      <c r="M268" s="51" t="n">
        <f aca="false">G268-F268</f>
        <v>-24283</v>
      </c>
      <c r="N268" s="52" t="n">
        <f aca="false">IF(F268=0,0,M268/F268)</f>
        <v>-0.0508736277549652</v>
      </c>
      <c r="O268" s="51" t="n">
        <f aca="false">G268-I268</f>
        <v>170337</v>
      </c>
      <c r="P268" s="51" t="n">
        <f aca="false">F268-H268</f>
        <v>179233</v>
      </c>
      <c r="Q268" s="51" t="n">
        <f aca="false">F268-H268-J268</f>
        <v>108351</v>
      </c>
      <c r="R268" s="51" t="n">
        <f aca="false">G268-I268-K268</f>
        <v>103241</v>
      </c>
      <c r="S268" s="51" t="n">
        <f aca="false">R268-Q268</f>
        <v>-5110</v>
      </c>
      <c r="T268" s="52" t="n">
        <f aca="false">IF(Q268=0,0,S268/Q268)</f>
        <v>-0.0471615398104309</v>
      </c>
      <c r="U268" s="51" t="str">
        <f aca="false">IF(AND(Q268&gt;0,T268&lt;-0.15),"ADVERSE","")</f>
        <v/>
      </c>
    </row>
    <row r="269" customFormat="false" ht="15" hidden="false" customHeight="false" outlineLevel="0" collapsed="false">
      <c r="A269" s="47" t="s">
        <v>134</v>
      </c>
      <c r="B269" s="47" t="s">
        <v>138</v>
      </c>
      <c r="C269" s="48" t="n">
        <v>45352</v>
      </c>
      <c r="D269" s="47" t="s">
        <v>34</v>
      </c>
      <c r="E269" s="47" t="s">
        <v>41</v>
      </c>
      <c r="F269" s="49" t="n">
        <v>519866</v>
      </c>
      <c r="G269" s="49" t="n">
        <v>517966</v>
      </c>
      <c r="H269" s="49" t="n">
        <v>324656</v>
      </c>
      <c r="I269" s="49" t="n">
        <v>331127</v>
      </c>
      <c r="J269" s="49" t="n">
        <v>77200</v>
      </c>
      <c r="K269" s="49" t="n">
        <v>77454</v>
      </c>
      <c r="L269" s="50" t="n">
        <v>31.7</v>
      </c>
      <c r="M269" s="51" t="n">
        <f aca="false">G269-F269</f>
        <v>-1900</v>
      </c>
      <c r="N269" s="52" t="n">
        <f aca="false">IF(F269=0,0,M269/F269)</f>
        <v>-0.00365478796459088</v>
      </c>
      <c r="O269" s="51" t="n">
        <f aca="false">G269-I269</f>
        <v>186839</v>
      </c>
      <c r="P269" s="51" t="n">
        <f aca="false">F269-H269</f>
        <v>195210</v>
      </c>
      <c r="Q269" s="51" t="n">
        <f aca="false">F269-H269-J269</f>
        <v>118010</v>
      </c>
      <c r="R269" s="51" t="n">
        <f aca="false">G269-I269-K269</f>
        <v>109385</v>
      </c>
      <c r="S269" s="51" t="n">
        <f aca="false">R269-Q269</f>
        <v>-8625</v>
      </c>
      <c r="T269" s="52" t="n">
        <f aca="false">IF(Q269=0,0,S269/Q269)</f>
        <v>-0.073087026523176</v>
      </c>
      <c r="U269" s="51" t="str">
        <f aca="false">IF(AND(Q269&gt;0,T269&lt;-0.15),"ADVERSE","")</f>
        <v/>
      </c>
    </row>
    <row r="270" customFormat="false" ht="15" hidden="false" customHeight="false" outlineLevel="0" collapsed="false">
      <c r="A270" s="47" t="s">
        <v>139</v>
      </c>
      <c r="B270" s="47" t="s">
        <v>135</v>
      </c>
      <c r="C270" s="48" t="n">
        <v>45383</v>
      </c>
      <c r="D270" s="47" t="s">
        <v>34</v>
      </c>
      <c r="E270" s="47" t="s">
        <v>41</v>
      </c>
      <c r="F270" s="49" t="n">
        <v>501026</v>
      </c>
      <c r="G270" s="49" t="n">
        <v>493917</v>
      </c>
      <c r="H270" s="49" t="n">
        <v>312891</v>
      </c>
      <c r="I270" s="49" t="n">
        <v>323487</v>
      </c>
      <c r="J270" s="49" t="n">
        <v>74402</v>
      </c>
      <c r="K270" s="49" t="n">
        <v>75581</v>
      </c>
      <c r="L270" s="50" t="n">
        <v>31.2</v>
      </c>
      <c r="M270" s="51" t="n">
        <f aca="false">G270-F270</f>
        <v>-7109</v>
      </c>
      <c r="N270" s="52" t="n">
        <f aca="false">IF(F270=0,0,M270/F270)</f>
        <v>-0.0141888844091923</v>
      </c>
      <c r="O270" s="51" t="n">
        <f aca="false">G270-I270</f>
        <v>170430</v>
      </c>
      <c r="P270" s="51" t="n">
        <f aca="false">F270-H270</f>
        <v>188135</v>
      </c>
      <c r="Q270" s="51" t="n">
        <f aca="false">F270-H270-J270</f>
        <v>113733</v>
      </c>
      <c r="R270" s="51" t="n">
        <f aca="false">G270-I270-K270</f>
        <v>94849</v>
      </c>
      <c r="S270" s="51" t="n">
        <f aca="false">R270-Q270</f>
        <v>-18884</v>
      </c>
      <c r="T270" s="52" t="n">
        <f aca="false">IF(Q270=0,0,S270/Q270)</f>
        <v>-0.166038001283708</v>
      </c>
      <c r="U270" s="51" t="str">
        <f aca="false">IF(AND(Q270&gt;0,T270&lt;-0.15),"ADVERSE","")</f>
        <v>ADVERSE</v>
      </c>
    </row>
    <row r="271" customFormat="false" ht="15" hidden="false" customHeight="false" outlineLevel="0" collapsed="false">
      <c r="A271" s="47" t="s">
        <v>139</v>
      </c>
      <c r="B271" s="47" t="s">
        <v>135</v>
      </c>
      <c r="C271" s="48" t="n">
        <v>45413</v>
      </c>
      <c r="D271" s="47" t="s">
        <v>34</v>
      </c>
      <c r="E271" s="47" t="s">
        <v>41</v>
      </c>
      <c r="F271" s="49" t="n">
        <v>487553</v>
      </c>
      <c r="G271" s="49" t="n">
        <v>486930</v>
      </c>
      <c r="H271" s="49" t="n">
        <v>304477</v>
      </c>
      <c r="I271" s="49" t="n">
        <v>306246</v>
      </c>
      <c r="J271" s="49" t="n">
        <v>72402</v>
      </c>
      <c r="K271" s="49" t="n">
        <v>78174</v>
      </c>
      <c r="L271" s="50" t="n">
        <v>31.9</v>
      </c>
      <c r="M271" s="51" t="n">
        <f aca="false">G271-F271</f>
        <v>-623</v>
      </c>
      <c r="N271" s="52" t="n">
        <f aca="false">IF(F271=0,0,M271/F271)</f>
        <v>-0.00127780979708873</v>
      </c>
      <c r="O271" s="51" t="n">
        <f aca="false">G271-I271</f>
        <v>180684</v>
      </c>
      <c r="P271" s="51" t="n">
        <f aca="false">F271-H271</f>
        <v>183076</v>
      </c>
      <c r="Q271" s="51" t="n">
        <f aca="false">F271-H271-J271</f>
        <v>110674</v>
      </c>
      <c r="R271" s="51" t="n">
        <f aca="false">G271-I271-K271</f>
        <v>102510</v>
      </c>
      <c r="S271" s="51" t="n">
        <f aca="false">R271-Q271</f>
        <v>-8164</v>
      </c>
      <c r="T271" s="52" t="n">
        <f aca="false">IF(Q271=0,0,S271/Q271)</f>
        <v>-0.0737661962159134</v>
      </c>
      <c r="U271" s="51" t="str">
        <f aca="false">IF(AND(Q271&gt;0,T271&lt;-0.15),"ADVERSE","")</f>
        <v/>
      </c>
    </row>
    <row r="272" customFormat="false" ht="15" hidden="false" customHeight="false" outlineLevel="0" collapsed="false">
      <c r="A272" s="47" t="s">
        <v>139</v>
      </c>
      <c r="B272" s="47" t="s">
        <v>135</v>
      </c>
      <c r="C272" s="48" t="n">
        <v>45444</v>
      </c>
      <c r="D272" s="47" t="s">
        <v>34</v>
      </c>
      <c r="E272" s="47" t="s">
        <v>41</v>
      </c>
      <c r="F272" s="49" t="n">
        <v>512901</v>
      </c>
      <c r="G272" s="49" t="n">
        <v>486017</v>
      </c>
      <c r="H272" s="49" t="n">
        <v>320306</v>
      </c>
      <c r="I272" s="49" t="n">
        <v>309739</v>
      </c>
      <c r="J272" s="49" t="n">
        <v>76166</v>
      </c>
      <c r="K272" s="49" t="n">
        <v>69495</v>
      </c>
      <c r="L272" s="50" t="n">
        <v>32.2</v>
      </c>
      <c r="M272" s="51" t="n">
        <f aca="false">G272-F272</f>
        <v>-26884</v>
      </c>
      <c r="N272" s="52" t="n">
        <f aca="false">IF(F272=0,0,M272/F272)</f>
        <v>-0.0524155733757587</v>
      </c>
      <c r="O272" s="51" t="n">
        <f aca="false">G272-I272</f>
        <v>176278</v>
      </c>
      <c r="P272" s="51" t="n">
        <f aca="false">F272-H272</f>
        <v>192595</v>
      </c>
      <c r="Q272" s="51" t="n">
        <f aca="false">F272-H272-J272</f>
        <v>116429</v>
      </c>
      <c r="R272" s="51" t="n">
        <f aca="false">G272-I272-K272</f>
        <v>106783</v>
      </c>
      <c r="S272" s="51" t="n">
        <f aca="false">R272-Q272</f>
        <v>-9646</v>
      </c>
      <c r="T272" s="52" t="n">
        <f aca="false">IF(Q272=0,0,S272/Q272)</f>
        <v>-0.0828487747897861</v>
      </c>
      <c r="U272" s="51" t="str">
        <f aca="false">IF(AND(Q272&gt;0,T272&lt;-0.15),"ADVERSE","")</f>
        <v/>
      </c>
    </row>
    <row r="273" customFormat="false" ht="15" hidden="false" customHeight="false" outlineLevel="0" collapsed="false">
      <c r="A273" s="47" t="s">
        <v>139</v>
      </c>
      <c r="B273" s="47" t="s">
        <v>136</v>
      </c>
      <c r="C273" s="48" t="n">
        <v>45474</v>
      </c>
      <c r="D273" s="47" t="s">
        <v>34</v>
      </c>
      <c r="E273" s="47" t="s">
        <v>41</v>
      </c>
      <c r="F273" s="49" t="n">
        <v>509513</v>
      </c>
      <c r="G273" s="49" t="n">
        <v>480938</v>
      </c>
      <c r="H273" s="49" t="n">
        <v>318191</v>
      </c>
      <c r="I273" s="49" t="n">
        <v>306948</v>
      </c>
      <c r="J273" s="49" t="n">
        <v>75663</v>
      </c>
      <c r="K273" s="49" t="n">
        <v>64711</v>
      </c>
      <c r="L273" s="50" t="n">
        <v>32.6</v>
      </c>
      <c r="M273" s="51" t="n">
        <f aca="false">G273-F273</f>
        <v>-28575</v>
      </c>
      <c r="N273" s="52" t="n">
        <f aca="false">IF(F273=0,0,M273/F273)</f>
        <v>-0.0560829654984269</v>
      </c>
      <c r="O273" s="51" t="n">
        <f aca="false">G273-I273</f>
        <v>173990</v>
      </c>
      <c r="P273" s="51" t="n">
        <f aca="false">F273-H273</f>
        <v>191322</v>
      </c>
      <c r="Q273" s="51" t="n">
        <f aca="false">F273-H273-J273</f>
        <v>115659</v>
      </c>
      <c r="R273" s="51" t="n">
        <f aca="false">G273-I273-K273</f>
        <v>109279</v>
      </c>
      <c r="S273" s="51" t="n">
        <f aca="false">R273-Q273</f>
        <v>-6380</v>
      </c>
      <c r="T273" s="52" t="n">
        <f aca="false">IF(Q273=0,0,S273/Q273)</f>
        <v>-0.0551621577222698</v>
      </c>
      <c r="U273" s="51" t="str">
        <f aca="false">IF(AND(Q273&gt;0,T273&lt;-0.15),"ADVERSE","")</f>
        <v/>
      </c>
    </row>
    <row r="274" customFormat="false" ht="15" hidden="false" customHeight="false" outlineLevel="0" collapsed="false">
      <c r="A274" s="47" t="s">
        <v>139</v>
      </c>
      <c r="B274" s="47" t="s">
        <v>136</v>
      </c>
      <c r="C274" s="48" t="n">
        <v>45505</v>
      </c>
      <c r="D274" s="47" t="s">
        <v>34</v>
      </c>
      <c r="E274" s="47" t="s">
        <v>41</v>
      </c>
      <c r="F274" s="49" t="n">
        <v>500754</v>
      </c>
      <c r="G274" s="49" t="n">
        <v>492193</v>
      </c>
      <c r="H274" s="49" t="n">
        <v>312721</v>
      </c>
      <c r="I274" s="49" t="n">
        <v>311884</v>
      </c>
      <c r="J274" s="49" t="n">
        <v>74362</v>
      </c>
      <c r="K274" s="49" t="n">
        <v>74996</v>
      </c>
      <c r="L274" s="50" t="n">
        <v>31.9</v>
      </c>
      <c r="M274" s="51" t="n">
        <f aca="false">G274-F274</f>
        <v>-8561</v>
      </c>
      <c r="N274" s="52" t="n">
        <f aca="false">IF(F274=0,0,M274/F274)</f>
        <v>-0.0170962189018959</v>
      </c>
      <c r="O274" s="51" t="n">
        <f aca="false">G274-I274</f>
        <v>180309</v>
      </c>
      <c r="P274" s="51" t="n">
        <f aca="false">F274-H274</f>
        <v>188033</v>
      </c>
      <c r="Q274" s="51" t="n">
        <f aca="false">F274-H274-J274</f>
        <v>113671</v>
      </c>
      <c r="R274" s="51" t="n">
        <f aca="false">G274-I274-K274</f>
        <v>105313</v>
      </c>
      <c r="S274" s="51" t="n">
        <f aca="false">R274-Q274</f>
        <v>-8358</v>
      </c>
      <c r="T274" s="52" t="n">
        <f aca="false">IF(Q274=0,0,S274/Q274)</f>
        <v>-0.0735279886690537</v>
      </c>
      <c r="U274" s="51" t="str">
        <f aca="false">IF(AND(Q274&gt;0,T274&lt;-0.15),"ADVERSE","")</f>
        <v/>
      </c>
    </row>
    <row r="275" customFormat="false" ht="15" hidden="false" customHeight="false" outlineLevel="0" collapsed="false">
      <c r="A275" s="47" t="s">
        <v>139</v>
      </c>
      <c r="B275" s="47" t="s">
        <v>136</v>
      </c>
      <c r="C275" s="48" t="n">
        <v>45536</v>
      </c>
      <c r="D275" s="47" t="s">
        <v>34</v>
      </c>
      <c r="E275" s="47" t="s">
        <v>41</v>
      </c>
      <c r="F275" s="49" t="n">
        <v>510137</v>
      </c>
      <c r="G275" s="49" t="n">
        <v>483807</v>
      </c>
      <c r="H275" s="49" t="n">
        <v>318581</v>
      </c>
      <c r="I275" s="49" t="n">
        <v>308203</v>
      </c>
      <c r="J275" s="49" t="n">
        <v>75755</v>
      </c>
      <c r="K275" s="49" t="n">
        <v>72480</v>
      </c>
      <c r="L275" s="50" t="n">
        <v>33.1</v>
      </c>
      <c r="M275" s="51" t="n">
        <f aca="false">G275-F275</f>
        <v>-26330</v>
      </c>
      <c r="N275" s="52" t="n">
        <f aca="false">IF(F275=0,0,M275/F275)</f>
        <v>-0.0516135861543076</v>
      </c>
      <c r="O275" s="51" t="n">
        <f aca="false">G275-I275</f>
        <v>175604</v>
      </c>
      <c r="P275" s="51" t="n">
        <f aca="false">F275-H275</f>
        <v>191556</v>
      </c>
      <c r="Q275" s="51" t="n">
        <f aca="false">F275-H275-J275</f>
        <v>115801</v>
      </c>
      <c r="R275" s="51" t="n">
        <f aca="false">G275-I275-K275</f>
        <v>103124</v>
      </c>
      <c r="S275" s="51" t="n">
        <f aca="false">R275-Q275</f>
        <v>-12677</v>
      </c>
      <c r="T275" s="52" t="n">
        <f aca="false">IF(Q275=0,0,S275/Q275)</f>
        <v>-0.109472284349876</v>
      </c>
      <c r="U275" s="51" t="str">
        <f aca="false">IF(AND(Q275&gt;0,T275&lt;-0.15),"ADVERSE","")</f>
        <v/>
      </c>
    </row>
    <row r="276" customFormat="false" ht="15" hidden="false" customHeight="false" outlineLevel="0" collapsed="false">
      <c r="A276" s="47" t="s">
        <v>139</v>
      </c>
      <c r="B276" s="47" t="s">
        <v>137</v>
      </c>
      <c r="C276" s="48" t="n">
        <v>45566</v>
      </c>
      <c r="D276" s="47" t="s">
        <v>34</v>
      </c>
      <c r="E276" s="47" t="s">
        <v>41</v>
      </c>
      <c r="F276" s="49" t="n">
        <v>530252</v>
      </c>
      <c r="G276" s="49" t="n">
        <v>512145</v>
      </c>
      <c r="H276" s="49" t="n">
        <v>331142</v>
      </c>
      <c r="I276" s="49" t="n">
        <v>327561</v>
      </c>
      <c r="J276" s="49" t="n">
        <v>78742</v>
      </c>
      <c r="K276" s="49" t="n">
        <v>77246</v>
      </c>
      <c r="L276" s="50" t="n">
        <v>32.8</v>
      </c>
      <c r="M276" s="51" t="n">
        <f aca="false">G276-F276</f>
        <v>-18107</v>
      </c>
      <c r="N276" s="52" t="n">
        <f aca="false">IF(F276=0,0,M276/F276)</f>
        <v>-0.0341479145764655</v>
      </c>
      <c r="O276" s="51" t="n">
        <f aca="false">G276-I276</f>
        <v>184584</v>
      </c>
      <c r="P276" s="51" t="n">
        <f aca="false">F276-H276</f>
        <v>199110</v>
      </c>
      <c r="Q276" s="51" t="n">
        <f aca="false">F276-H276-J276</f>
        <v>120368</v>
      </c>
      <c r="R276" s="51" t="n">
        <f aca="false">G276-I276-K276</f>
        <v>107338</v>
      </c>
      <c r="S276" s="51" t="n">
        <f aca="false">R276-Q276</f>
        <v>-13030</v>
      </c>
      <c r="T276" s="52" t="n">
        <f aca="false">IF(Q276=0,0,S276/Q276)</f>
        <v>-0.108251362488369</v>
      </c>
      <c r="U276" s="51" t="str">
        <f aca="false">IF(AND(Q276&gt;0,T276&lt;-0.15),"ADVERSE","")</f>
        <v/>
      </c>
    </row>
    <row r="277" customFormat="false" ht="15" hidden="false" customHeight="false" outlineLevel="0" collapsed="false">
      <c r="A277" s="47" t="s">
        <v>139</v>
      </c>
      <c r="B277" s="47" t="s">
        <v>137</v>
      </c>
      <c r="C277" s="48" t="n">
        <v>45597</v>
      </c>
      <c r="D277" s="47" t="s">
        <v>34</v>
      </c>
      <c r="E277" s="47" t="s">
        <v>41</v>
      </c>
      <c r="F277" s="49" t="n">
        <v>522810</v>
      </c>
      <c r="G277" s="49" t="n">
        <v>483032</v>
      </c>
      <c r="H277" s="49" t="n">
        <v>326495</v>
      </c>
      <c r="I277" s="49" t="n">
        <v>311874</v>
      </c>
      <c r="J277" s="49" t="n">
        <v>77637</v>
      </c>
      <c r="K277" s="49" t="n">
        <v>71551</v>
      </c>
      <c r="L277" s="50" t="n">
        <v>33</v>
      </c>
      <c r="M277" s="51" t="n">
        <f aca="false">G277-F277</f>
        <v>-39778</v>
      </c>
      <c r="N277" s="52" t="n">
        <f aca="false">IF(F277=0,0,M277/F277)</f>
        <v>-0.0760850021996519</v>
      </c>
      <c r="O277" s="51" t="n">
        <f aca="false">G277-I277</f>
        <v>171158</v>
      </c>
      <c r="P277" s="51" t="n">
        <f aca="false">F277-H277</f>
        <v>196315</v>
      </c>
      <c r="Q277" s="51" t="n">
        <f aca="false">F277-H277-J277</f>
        <v>118678</v>
      </c>
      <c r="R277" s="51" t="n">
        <f aca="false">G277-I277-K277</f>
        <v>99607</v>
      </c>
      <c r="S277" s="51" t="n">
        <f aca="false">R277-Q277</f>
        <v>-19071</v>
      </c>
      <c r="T277" s="52" t="n">
        <f aca="false">IF(Q277=0,0,S277/Q277)</f>
        <v>-0.160695326850806</v>
      </c>
      <c r="U277" s="51" t="str">
        <f aca="false">IF(AND(Q277&gt;0,T277&lt;-0.15),"ADVERSE","")</f>
        <v>ADVERSE</v>
      </c>
    </row>
    <row r="278" customFormat="false" ht="15" hidden="false" customHeight="false" outlineLevel="0" collapsed="false">
      <c r="A278" s="47" t="s">
        <v>139</v>
      </c>
      <c r="B278" s="47" t="s">
        <v>137</v>
      </c>
      <c r="C278" s="48" t="n">
        <v>45627</v>
      </c>
      <c r="D278" s="47" t="s">
        <v>34</v>
      </c>
      <c r="E278" s="47" t="s">
        <v>41</v>
      </c>
      <c r="F278" s="49" t="n">
        <v>502568</v>
      </c>
      <c r="G278" s="49" t="n">
        <v>514520</v>
      </c>
      <c r="H278" s="49" t="n">
        <v>313854</v>
      </c>
      <c r="I278" s="49" t="n">
        <v>322285</v>
      </c>
      <c r="J278" s="49" t="n">
        <v>74631</v>
      </c>
      <c r="K278" s="49" t="n">
        <v>75068</v>
      </c>
      <c r="L278" s="50" t="n">
        <v>32.4</v>
      </c>
      <c r="M278" s="51" t="n">
        <f aca="false">G278-F278</f>
        <v>11952</v>
      </c>
      <c r="N278" s="52" t="n">
        <f aca="false">IF(F278=0,0,M278/F278)</f>
        <v>0.0237818563856035</v>
      </c>
      <c r="O278" s="51" t="n">
        <f aca="false">G278-I278</f>
        <v>192235</v>
      </c>
      <c r="P278" s="51" t="n">
        <f aca="false">F278-H278</f>
        <v>188714</v>
      </c>
      <c r="Q278" s="51" t="n">
        <f aca="false">F278-H278-J278</f>
        <v>114083</v>
      </c>
      <c r="R278" s="51" t="n">
        <f aca="false">G278-I278-K278</f>
        <v>117167</v>
      </c>
      <c r="S278" s="51" t="n">
        <f aca="false">R278-Q278</f>
        <v>3084</v>
      </c>
      <c r="T278" s="52" t="n">
        <f aca="false">IF(Q278=0,0,S278/Q278)</f>
        <v>0.0270329496945207</v>
      </c>
      <c r="U278" s="51" t="str">
        <f aca="false">IF(AND(Q278&gt;0,T278&lt;-0.15),"ADVERSE","")</f>
        <v/>
      </c>
    </row>
    <row r="279" customFormat="false" ht="15" hidden="false" customHeight="false" outlineLevel="0" collapsed="false">
      <c r="A279" s="47" t="s">
        <v>139</v>
      </c>
      <c r="B279" s="47" t="s">
        <v>138</v>
      </c>
      <c r="C279" s="48" t="n">
        <v>45658</v>
      </c>
      <c r="D279" s="47" t="s">
        <v>34</v>
      </c>
      <c r="E279" s="47" t="s">
        <v>41</v>
      </c>
      <c r="F279" s="49" t="n">
        <v>503437</v>
      </c>
      <c r="G279" s="49" t="n">
        <v>485237</v>
      </c>
      <c r="H279" s="49" t="n">
        <v>314396</v>
      </c>
      <c r="I279" s="49" t="n">
        <v>305860</v>
      </c>
      <c r="J279" s="49" t="n">
        <v>74760</v>
      </c>
      <c r="K279" s="49" t="n">
        <v>70790</v>
      </c>
      <c r="L279" s="50" t="n">
        <v>31.9</v>
      </c>
      <c r="M279" s="51" t="n">
        <f aca="false">G279-F279</f>
        <v>-18200</v>
      </c>
      <c r="N279" s="52" t="n">
        <f aca="false">IF(F279=0,0,M279/F279)</f>
        <v>-0.0361514946259413</v>
      </c>
      <c r="O279" s="51" t="n">
        <f aca="false">G279-I279</f>
        <v>179377</v>
      </c>
      <c r="P279" s="51" t="n">
        <f aca="false">F279-H279</f>
        <v>189041</v>
      </c>
      <c r="Q279" s="51" t="n">
        <f aca="false">F279-H279-J279</f>
        <v>114281</v>
      </c>
      <c r="R279" s="51" t="n">
        <f aca="false">G279-I279-K279</f>
        <v>108587</v>
      </c>
      <c r="S279" s="51" t="n">
        <f aca="false">R279-Q279</f>
        <v>-5694</v>
      </c>
      <c r="T279" s="52" t="n">
        <f aca="false">IF(Q279=0,0,S279/Q279)</f>
        <v>-0.0498245552629046</v>
      </c>
      <c r="U279" s="51" t="str">
        <f aca="false">IF(AND(Q279&gt;0,T279&lt;-0.15),"ADVERSE","")</f>
        <v/>
      </c>
    </row>
    <row r="280" customFormat="false" ht="15" hidden="false" customHeight="false" outlineLevel="0" collapsed="false">
      <c r="A280" s="47" t="s">
        <v>139</v>
      </c>
      <c r="B280" s="47" t="s">
        <v>138</v>
      </c>
      <c r="C280" s="48" t="n">
        <v>45689</v>
      </c>
      <c r="D280" s="47" t="s">
        <v>34</v>
      </c>
      <c r="E280" s="47" t="s">
        <v>41</v>
      </c>
      <c r="F280" s="49" t="n">
        <v>520841</v>
      </c>
      <c r="G280" s="49" t="n">
        <v>533987</v>
      </c>
      <c r="H280" s="49" t="n">
        <v>325265</v>
      </c>
      <c r="I280" s="49" t="n">
        <v>343789</v>
      </c>
      <c r="J280" s="49" t="n">
        <v>77345</v>
      </c>
      <c r="K280" s="49" t="n">
        <v>79755</v>
      </c>
      <c r="L280" s="50" t="n">
        <v>32.5</v>
      </c>
      <c r="M280" s="51" t="n">
        <f aca="false">G280-F280</f>
        <v>13146</v>
      </c>
      <c r="N280" s="52" t="n">
        <f aca="false">IF(F280=0,0,M280/F280)</f>
        <v>0.0252399484679586</v>
      </c>
      <c r="O280" s="51" t="n">
        <f aca="false">G280-I280</f>
        <v>190198</v>
      </c>
      <c r="P280" s="51" t="n">
        <f aca="false">F280-H280</f>
        <v>195576</v>
      </c>
      <c r="Q280" s="51" t="n">
        <f aca="false">F280-H280-J280</f>
        <v>118231</v>
      </c>
      <c r="R280" s="51" t="n">
        <f aca="false">G280-I280-K280</f>
        <v>110443</v>
      </c>
      <c r="S280" s="51" t="n">
        <f aca="false">R280-Q280</f>
        <v>-7788</v>
      </c>
      <c r="T280" s="52" t="n">
        <f aca="false">IF(Q280=0,0,S280/Q280)</f>
        <v>-0.06587104904805</v>
      </c>
      <c r="U280" s="51" t="str">
        <f aca="false">IF(AND(Q280&gt;0,T280&lt;-0.15),"ADVERSE","")</f>
        <v/>
      </c>
    </row>
    <row r="281" customFormat="false" ht="15" hidden="false" customHeight="false" outlineLevel="0" collapsed="false">
      <c r="A281" s="47" t="s">
        <v>139</v>
      </c>
      <c r="B281" s="47" t="s">
        <v>138</v>
      </c>
      <c r="C281" s="48" t="n">
        <v>45717</v>
      </c>
      <c r="D281" s="47" t="s">
        <v>34</v>
      </c>
      <c r="E281" s="47" t="s">
        <v>41</v>
      </c>
      <c r="F281" s="49" t="n">
        <v>553503</v>
      </c>
      <c r="G281" s="49" t="n">
        <v>589341</v>
      </c>
      <c r="H281" s="49" t="n">
        <v>345662</v>
      </c>
      <c r="I281" s="49" t="n">
        <v>382033</v>
      </c>
      <c r="J281" s="49" t="n">
        <v>82195</v>
      </c>
      <c r="K281" s="49" t="n">
        <v>89403</v>
      </c>
      <c r="L281" s="50" t="n">
        <v>32.6</v>
      </c>
      <c r="M281" s="51" t="n">
        <f aca="false">G281-F281</f>
        <v>35838</v>
      </c>
      <c r="N281" s="52" t="n">
        <f aca="false">IF(F281=0,0,M281/F281)</f>
        <v>0.0647476165440838</v>
      </c>
      <c r="O281" s="51" t="n">
        <f aca="false">G281-I281</f>
        <v>207308</v>
      </c>
      <c r="P281" s="51" t="n">
        <f aca="false">F281-H281</f>
        <v>207841</v>
      </c>
      <c r="Q281" s="51" t="n">
        <f aca="false">F281-H281-J281</f>
        <v>125646</v>
      </c>
      <c r="R281" s="51" t="n">
        <f aca="false">G281-I281-K281</f>
        <v>117905</v>
      </c>
      <c r="S281" s="51" t="n">
        <f aca="false">R281-Q281</f>
        <v>-7741</v>
      </c>
      <c r="T281" s="52" t="n">
        <f aca="false">IF(Q281=0,0,S281/Q281)</f>
        <v>-0.0616096015790395</v>
      </c>
      <c r="U281" s="51" t="str">
        <f aca="false">IF(AND(Q281&gt;0,T281&lt;-0.15),"ADVERSE","")</f>
        <v/>
      </c>
    </row>
    <row r="282" customFormat="false" ht="15" hidden="false" customHeight="false" outlineLevel="0" collapsed="false">
      <c r="A282" s="47" t="s">
        <v>3</v>
      </c>
      <c r="B282" s="47" t="s">
        <v>135</v>
      </c>
      <c r="C282" s="48" t="n">
        <v>45748</v>
      </c>
      <c r="D282" s="47" t="s">
        <v>34</v>
      </c>
      <c r="E282" s="47" t="s">
        <v>41</v>
      </c>
      <c r="F282" s="49" t="n">
        <v>538129</v>
      </c>
      <c r="G282" s="49" t="n">
        <v>499621</v>
      </c>
      <c r="H282" s="49" t="n">
        <v>336062</v>
      </c>
      <c r="I282" s="49" t="n">
        <v>324647</v>
      </c>
      <c r="J282" s="49" t="n">
        <v>79912</v>
      </c>
      <c r="K282" s="49" t="n">
        <v>74619</v>
      </c>
      <c r="L282" s="50" t="n">
        <v>33.4</v>
      </c>
      <c r="M282" s="51" t="n">
        <f aca="false">G282-F282</f>
        <v>-38508</v>
      </c>
      <c r="N282" s="52" t="n">
        <f aca="false">IF(F282=0,0,M282/F282)</f>
        <v>-0.0715590499675728</v>
      </c>
      <c r="O282" s="51" t="n">
        <f aca="false">G282-I282</f>
        <v>174974</v>
      </c>
      <c r="P282" s="51" t="n">
        <f aca="false">F282-H282</f>
        <v>202067</v>
      </c>
      <c r="Q282" s="51" t="n">
        <f aca="false">F282-H282-J282</f>
        <v>122155</v>
      </c>
      <c r="R282" s="51" t="n">
        <f aca="false">G282-I282-K282</f>
        <v>100355</v>
      </c>
      <c r="S282" s="51" t="n">
        <f aca="false">R282-Q282</f>
        <v>-21800</v>
      </c>
      <c r="T282" s="52" t="n">
        <f aca="false">IF(Q282=0,0,S282/Q282)</f>
        <v>-0.178461790348328</v>
      </c>
      <c r="U282" s="51" t="str">
        <f aca="false">IF(AND(Q282&gt;0,T282&lt;-0.15),"ADVERSE","")</f>
        <v>ADVERSE</v>
      </c>
    </row>
    <row r="283" customFormat="false" ht="15" hidden="false" customHeight="false" outlineLevel="0" collapsed="false">
      <c r="A283" s="47" t="s">
        <v>3</v>
      </c>
      <c r="B283" s="47" t="s">
        <v>135</v>
      </c>
      <c r="C283" s="48" t="n">
        <v>45778</v>
      </c>
      <c r="D283" s="47" t="s">
        <v>34</v>
      </c>
      <c r="E283" s="47" t="s">
        <v>41</v>
      </c>
      <c r="F283" s="49" t="n">
        <v>542120</v>
      </c>
      <c r="G283" s="49" t="n">
        <v>494788</v>
      </c>
      <c r="H283" s="49" t="n">
        <v>338554</v>
      </c>
      <c r="I283" s="49" t="n">
        <v>323268</v>
      </c>
      <c r="J283" s="49" t="n">
        <v>80505</v>
      </c>
      <c r="K283" s="49" t="n">
        <v>78515</v>
      </c>
      <c r="L283" s="50" t="n">
        <v>33.4</v>
      </c>
      <c r="M283" s="51" t="n">
        <f aca="false">G283-F283</f>
        <v>-47332</v>
      </c>
      <c r="N283" s="52" t="n">
        <f aca="false">IF(F283=0,0,M283/F283)</f>
        <v>-0.0873090828598834</v>
      </c>
      <c r="O283" s="51" t="n">
        <f aca="false">G283-I283</f>
        <v>171520</v>
      </c>
      <c r="P283" s="51" t="n">
        <f aca="false">F283-H283</f>
        <v>203566</v>
      </c>
      <c r="Q283" s="51" t="n">
        <f aca="false">F283-H283-J283</f>
        <v>123061</v>
      </c>
      <c r="R283" s="51" t="n">
        <f aca="false">G283-I283-K283</f>
        <v>93005</v>
      </c>
      <c r="S283" s="51" t="n">
        <f aca="false">R283-Q283</f>
        <v>-30056</v>
      </c>
      <c r="T283" s="52" t="n">
        <f aca="false">IF(Q283=0,0,S283/Q283)</f>
        <v>-0.24423659810988</v>
      </c>
      <c r="U283" s="51" t="str">
        <f aca="false">IF(AND(Q283&gt;0,T283&lt;-0.15),"ADVERSE","")</f>
        <v>ADVERSE</v>
      </c>
    </row>
    <row r="284" customFormat="false" ht="15" hidden="false" customHeight="false" outlineLevel="0" collapsed="false">
      <c r="A284" s="47" t="s">
        <v>3</v>
      </c>
      <c r="B284" s="47" t="s">
        <v>135</v>
      </c>
      <c r="C284" s="48" t="n">
        <v>45809</v>
      </c>
      <c r="D284" s="47" t="s">
        <v>34</v>
      </c>
      <c r="E284" s="47" t="s">
        <v>41</v>
      </c>
      <c r="F284" s="49" t="n">
        <v>551446</v>
      </c>
      <c r="G284" s="49" t="n">
        <v>516560</v>
      </c>
      <c r="H284" s="49" t="n">
        <v>344378</v>
      </c>
      <c r="I284" s="49" t="n">
        <v>338942</v>
      </c>
      <c r="J284" s="49" t="n">
        <v>81890</v>
      </c>
      <c r="K284" s="49" t="n">
        <v>88685</v>
      </c>
      <c r="L284" s="50" t="n">
        <v>32.8</v>
      </c>
      <c r="M284" s="51" t="n">
        <f aca="false">G284-F284</f>
        <v>-34886</v>
      </c>
      <c r="N284" s="52" t="n">
        <f aca="false">IF(F284=0,0,M284/F284)</f>
        <v>-0.0632627673425866</v>
      </c>
      <c r="O284" s="51" t="n">
        <f aca="false">G284-I284</f>
        <v>177618</v>
      </c>
      <c r="P284" s="51" t="n">
        <f aca="false">F284-H284</f>
        <v>207068</v>
      </c>
      <c r="Q284" s="51" t="n">
        <f aca="false">F284-H284-J284</f>
        <v>125178</v>
      </c>
      <c r="R284" s="51" t="n">
        <f aca="false">G284-I284-K284</f>
        <v>88933</v>
      </c>
      <c r="S284" s="51" t="n">
        <f aca="false">R284-Q284</f>
        <v>-36245</v>
      </c>
      <c r="T284" s="52" t="n">
        <f aca="false">IF(Q284=0,0,S284/Q284)</f>
        <v>-0.289547684097845</v>
      </c>
      <c r="U284" s="51" t="str">
        <f aca="false">IF(AND(Q284&gt;0,T284&lt;-0.15),"ADVERSE","")</f>
        <v>ADVERSE</v>
      </c>
    </row>
    <row r="285" customFormat="false" ht="15" hidden="false" customHeight="false" outlineLevel="0" collapsed="false">
      <c r="A285" s="47" t="s">
        <v>3</v>
      </c>
      <c r="B285" s="47" t="s">
        <v>136</v>
      </c>
      <c r="C285" s="48" t="n">
        <v>45839</v>
      </c>
      <c r="D285" s="47" t="s">
        <v>34</v>
      </c>
      <c r="E285" s="47" t="s">
        <v>41</v>
      </c>
      <c r="F285" s="49" t="n">
        <v>558416</v>
      </c>
      <c r="G285" s="49" t="n">
        <v>517911</v>
      </c>
      <c r="H285" s="49" t="n">
        <v>348731</v>
      </c>
      <c r="I285" s="49" t="n">
        <v>333881</v>
      </c>
      <c r="J285" s="49" t="n">
        <v>82925</v>
      </c>
      <c r="K285" s="49" t="n">
        <v>77579</v>
      </c>
      <c r="L285" s="50" t="n">
        <v>32.7</v>
      </c>
      <c r="M285" s="51" t="n">
        <f aca="false">G285-F285</f>
        <v>-40505</v>
      </c>
      <c r="N285" s="52" t="n">
        <f aca="false">IF(F285=0,0,M285/F285)</f>
        <v>-0.072535529067935</v>
      </c>
      <c r="O285" s="51" t="n">
        <f aca="false">G285-I285</f>
        <v>184030</v>
      </c>
      <c r="P285" s="51" t="n">
        <f aca="false">F285-H285</f>
        <v>209685</v>
      </c>
      <c r="Q285" s="51" t="n">
        <f aca="false">F285-H285-J285</f>
        <v>126760</v>
      </c>
      <c r="R285" s="51" t="n">
        <f aca="false">G285-I285-K285</f>
        <v>106451</v>
      </c>
      <c r="S285" s="51" t="n">
        <f aca="false">R285-Q285</f>
        <v>-20309</v>
      </c>
      <c r="T285" s="52" t="n">
        <f aca="false">IF(Q285=0,0,S285/Q285)</f>
        <v>-0.160216156516251</v>
      </c>
      <c r="U285" s="51" t="str">
        <f aca="false">IF(AND(Q285&gt;0,T285&lt;-0.15),"ADVERSE","")</f>
        <v>ADVERSE</v>
      </c>
    </row>
    <row r="286" customFormat="false" ht="15" hidden="false" customHeight="false" outlineLevel="0" collapsed="false">
      <c r="A286" s="47" t="s">
        <v>3</v>
      </c>
      <c r="B286" s="47" t="s">
        <v>136</v>
      </c>
      <c r="C286" s="48" t="n">
        <v>45870</v>
      </c>
      <c r="D286" s="47" t="s">
        <v>34</v>
      </c>
      <c r="E286" s="47" t="s">
        <v>41</v>
      </c>
      <c r="F286" s="49" t="n">
        <v>538654</v>
      </c>
      <c r="G286" s="49" t="n">
        <v>510912</v>
      </c>
      <c r="H286" s="49" t="n">
        <v>336389</v>
      </c>
      <c r="I286" s="49" t="n">
        <v>335128</v>
      </c>
      <c r="J286" s="49" t="n">
        <v>79990</v>
      </c>
      <c r="K286" s="49" t="n">
        <v>76186</v>
      </c>
      <c r="L286" s="50" t="n">
        <v>33.2</v>
      </c>
      <c r="M286" s="51" t="n">
        <f aca="false">G286-F286</f>
        <v>-27742</v>
      </c>
      <c r="N286" s="52" t="n">
        <f aca="false">IF(F286=0,0,M286/F286)</f>
        <v>-0.0515024486961946</v>
      </c>
      <c r="O286" s="51" t="n">
        <f aca="false">G286-I286</f>
        <v>175784</v>
      </c>
      <c r="P286" s="51" t="n">
        <f aca="false">F286-H286</f>
        <v>202265</v>
      </c>
      <c r="Q286" s="51" t="n">
        <f aca="false">F286-H286-J286</f>
        <v>122275</v>
      </c>
      <c r="R286" s="51" t="n">
        <f aca="false">G286-I286-K286</f>
        <v>99598</v>
      </c>
      <c r="S286" s="51" t="n">
        <f aca="false">R286-Q286</f>
        <v>-22677</v>
      </c>
      <c r="T286" s="52" t="n">
        <f aca="false">IF(Q286=0,0,S286/Q286)</f>
        <v>-0.185459006338172</v>
      </c>
      <c r="U286" s="51" t="str">
        <f aca="false">IF(AND(Q286&gt;0,T286&lt;-0.15),"ADVERSE","")</f>
        <v>ADVERSE</v>
      </c>
    </row>
    <row r="287" customFormat="false" ht="15" hidden="false" customHeight="false" outlineLevel="0" collapsed="false">
      <c r="A287" s="47" t="s">
        <v>3</v>
      </c>
      <c r="B287" s="47" t="s">
        <v>136</v>
      </c>
      <c r="C287" s="48" t="n">
        <v>45901</v>
      </c>
      <c r="D287" s="47" t="s">
        <v>34</v>
      </c>
      <c r="E287" s="47" t="s">
        <v>41</v>
      </c>
      <c r="F287" s="49" t="n">
        <v>559868</v>
      </c>
      <c r="G287" s="49" t="n">
        <v>541132</v>
      </c>
      <c r="H287" s="49" t="n">
        <v>349638</v>
      </c>
      <c r="I287" s="49" t="n">
        <v>347445</v>
      </c>
      <c r="J287" s="49" t="n">
        <v>83140</v>
      </c>
      <c r="K287" s="49" t="n">
        <v>87991</v>
      </c>
      <c r="L287" s="50" t="n">
        <v>33.4</v>
      </c>
      <c r="M287" s="51" t="n">
        <f aca="false">G287-F287</f>
        <v>-18736</v>
      </c>
      <c r="N287" s="52" t="n">
        <f aca="false">IF(F287=0,0,M287/F287)</f>
        <v>-0.0334650310430316</v>
      </c>
      <c r="O287" s="51" t="n">
        <f aca="false">G287-I287</f>
        <v>193687</v>
      </c>
      <c r="P287" s="51" t="n">
        <f aca="false">F287-H287</f>
        <v>210230</v>
      </c>
      <c r="Q287" s="51" t="n">
        <f aca="false">F287-H287-J287</f>
        <v>127090</v>
      </c>
      <c r="R287" s="51" t="n">
        <f aca="false">G287-I287-K287</f>
        <v>105696</v>
      </c>
      <c r="S287" s="51" t="n">
        <f aca="false">R287-Q287</f>
        <v>-21394</v>
      </c>
      <c r="T287" s="52" t="n">
        <f aca="false">IF(Q287=0,0,S287/Q287)</f>
        <v>-0.168337398693839</v>
      </c>
      <c r="U287" s="51" t="str">
        <f aca="false">IF(AND(Q287&gt;0,T287&lt;-0.15),"ADVERSE","")</f>
        <v>ADVERSE</v>
      </c>
    </row>
    <row r="288" customFormat="false" ht="15" hidden="false" customHeight="false" outlineLevel="0" collapsed="false">
      <c r="A288" s="47" t="s">
        <v>3</v>
      </c>
      <c r="B288" s="47" t="s">
        <v>137</v>
      </c>
      <c r="C288" s="48" t="n">
        <v>45931</v>
      </c>
      <c r="D288" s="47" t="s">
        <v>34</v>
      </c>
      <c r="E288" s="47" t="s">
        <v>41</v>
      </c>
      <c r="F288" s="49" t="n">
        <v>579747</v>
      </c>
      <c r="G288" s="49" t="n">
        <v>521112</v>
      </c>
      <c r="H288" s="49" t="n">
        <v>362052</v>
      </c>
      <c r="I288" s="49" t="n">
        <v>344807</v>
      </c>
      <c r="J288" s="49" t="n">
        <v>86092</v>
      </c>
      <c r="K288" s="49" t="n">
        <v>74340</v>
      </c>
      <c r="L288" s="50" t="n">
        <v>34.3</v>
      </c>
      <c r="M288" s="51" t="n">
        <f aca="false">G288-F288</f>
        <v>-58635</v>
      </c>
      <c r="N288" s="52" t="n">
        <f aca="false">IF(F288=0,0,M288/F288)</f>
        <v>-0.101138945091566</v>
      </c>
      <c r="O288" s="51" t="n">
        <f aca="false">G288-I288</f>
        <v>176305</v>
      </c>
      <c r="P288" s="51" t="n">
        <f aca="false">F288-H288</f>
        <v>217695</v>
      </c>
      <c r="Q288" s="51" t="n">
        <f aca="false">F288-H288-J288</f>
        <v>131603</v>
      </c>
      <c r="R288" s="51" t="n">
        <f aca="false">G288-I288-K288</f>
        <v>101965</v>
      </c>
      <c r="S288" s="51" t="n">
        <f aca="false">R288-Q288</f>
        <v>-29638</v>
      </c>
      <c r="T288" s="52" t="n">
        <f aca="false">IF(Q288=0,0,S288/Q288)</f>
        <v>-0.225207632044862</v>
      </c>
      <c r="U288" s="51" t="str">
        <f aca="false">IF(AND(Q288&gt;0,T288&lt;-0.15),"ADVERSE","")</f>
        <v>ADVERSE</v>
      </c>
    </row>
    <row r="289" customFormat="false" ht="15" hidden="false" customHeight="false" outlineLevel="0" collapsed="false">
      <c r="A289" s="47" t="s">
        <v>3</v>
      </c>
      <c r="B289" s="47" t="s">
        <v>137</v>
      </c>
      <c r="C289" s="48" t="n">
        <v>45962</v>
      </c>
      <c r="D289" s="47" t="s">
        <v>34</v>
      </c>
      <c r="E289" s="47" t="s">
        <v>41</v>
      </c>
      <c r="F289" s="49" t="n">
        <v>570111</v>
      </c>
      <c r="G289" s="49" t="n">
        <v>529450</v>
      </c>
      <c r="H289" s="49" t="n">
        <v>356034</v>
      </c>
      <c r="I289" s="49" t="n">
        <v>344873</v>
      </c>
      <c r="J289" s="49" t="n">
        <v>84661</v>
      </c>
      <c r="K289" s="49" t="n">
        <v>86788</v>
      </c>
      <c r="L289" s="50" t="n">
        <v>34.6</v>
      </c>
      <c r="M289" s="51" t="n">
        <f aca="false">G289-F289</f>
        <v>-40661</v>
      </c>
      <c r="N289" s="52" t="n">
        <f aca="false">IF(F289=0,0,M289/F289)</f>
        <v>-0.0713211988542582</v>
      </c>
      <c r="O289" s="51" t="n">
        <f aca="false">G289-I289</f>
        <v>184577</v>
      </c>
      <c r="P289" s="51" t="n">
        <f aca="false">F289-H289</f>
        <v>214077</v>
      </c>
      <c r="Q289" s="51" t="n">
        <f aca="false">F289-H289-J289</f>
        <v>129416</v>
      </c>
      <c r="R289" s="51" t="n">
        <f aca="false">G289-I289-K289</f>
        <v>97789</v>
      </c>
      <c r="S289" s="51" t="n">
        <f aca="false">R289-Q289</f>
        <v>-31627</v>
      </c>
      <c r="T289" s="52" t="n">
        <f aca="false">IF(Q289=0,0,S289/Q289)</f>
        <v>-0.244382456574148</v>
      </c>
      <c r="U289" s="51" t="str">
        <f aca="false">IF(AND(Q289&gt;0,T289&lt;-0.15),"ADVERSE","")</f>
        <v>ADVERSE</v>
      </c>
    </row>
    <row r="290" customFormat="false" ht="15" hidden="false" customHeight="false" outlineLevel="0" collapsed="false">
      <c r="A290" s="47" t="s">
        <v>3</v>
      </c>
      <c r="B290" s="47" t="s">
        <v>137</v>
      </c>
      <c r="C290" s="48" t="n">
        <v>45992</v>
      </c>
      <c r="D290" s="47" t="s">
        <v>34</v>
      </c>
      <c r="E290" s="47" t="s">
        <v>41</v>
      </c>
      <c r="F290" s="49" t="n">
        <v>569333</v>
      </c>
      <c r="G290" s="49" t="n">
        <v>536327</v>
      </c>
      <c r="H290" s="49" t="n">
        <v>355549</v>
      </c>
      <c r="I290" s="49" t="n">
        <v>359978</v>
      </c>
      <c r="J290" s="49" t="n">
        <v>84546</v>
      </c>
      <c r="K290" s="49" t="n">
        <v>84330</v>
      </c>
      <c r="L290" s="50" t="n">
        <v>33.5</v>
      </c>
      <c r="M290" s="51" t="n">
        <f aca="false">G290-F290</f>
        <v>-33006</v>
      </c>
      <c r="N290" s="52" t="n">
        <f aca="false">IF(F290=0,0,M290/F290)</f>
        <v>-0.057973101857788</v>
      </c>
      <c r="O290" s="51" t="n">
        <f aca="false">G290-I290</f>
        <v>176349</v>
      </c>
      <c r="P290" s="51" t="n">
        <f aca="false">F290-H290</f>
        <v>213784</v>
      </c>
      <c r="Q290" s="51" t="n">
        <f aca="false">F290-H290-J290</f>
        <v>129238</v>
      </c>
      <c r="R290" s="51" t="n">
        <f aca="false">G290-I290-K290</f>
        <v>92019</v>
      </c>
      <c r="S290" s="51" t="n">
        <f aca="false">R290-Q290</f>
        <v>-37219</v>
      </c>
      <c r="T290" s="52" t="n">
        <f aca="false">IF(Q290=0,0,S290/Q290)</f>
        <v>-0.287988053049413</v>
      </c>
      <c r="U290" s="51" t="str">
        <f aca="false">IF(AND(Q290&gt;0,T290&lt;-0.15),"ADVERSE","")</f>
        <v>ADVERSE</v>
      </c>
    </row>
    <row r="291" customFormat="false" ht="15" hidden="false" customHeight="false" outlineLevel="0" collapsed="false">
      <c r="A291" s="47" t="s">
        <v>3</v>
      </c>
      <c r="B291" s="47" t="s">
        <v>138</v>
      </c>
      <c r="C291" s="48" t="n">
        <v>46023</v>
      </c>
      <c r="D291" s="47" t="s">
        <v>34</v>
      </c>
      <c r="E291" s="47" t="s">
        <v>41</v>
      </c>
      <c r="F291" s="49" t="n">
        <v>554895</v>
      </c>
      <c r="G291" s="49" t="n">
        <v>525471</v>
      </c>
      <c r="H291" s="49" t="n">
        <v>346532</v>
      </c>
      <c r="I291" s="49" t="n">
        <v>343063</v>
      </c>
      <c r="J291" s="49" t="n">
        <v>82402</v>
      </c>
      <c r="K291" s="49" t="n">
        <v>82079</v>
      </c>
      <c r="L291" s="50" t="n">
        <v>35.2</v>
      </c>
      <c r="M291" s="51" t="n">
        <f aca="false">G291-F291</f>
        <v>-29424</v>
      </c>
      <c r="N291" s="52" t="n">
        <f aca="false">IF(F291=0,0,M291/F291)</f>
        <v>-0.0530262482091206</v>
      </c>
      <c r="O291" s="51" t="n">
        <f aca="false">G291-I291</f>
        <v>182408</v>
      </c>
      <c r="P291" s="51" t="n">
        <f aca="false">F291-H291</f>
        <v>208363</v>
      </c>
      <c r="Q291" s="51" t="n">
        <f aca="false">F291-H291-J291</f>
        <v>125961</v>
      </c>
      <c r="R291" s="51" t="n">
        <f aca="false">G291-I291-K291</f>
        <v>100329</v>
      </c>
      <c r="S291" s="51" t="n">
        <f aca="false">R291-Q291</f>
        <v>-25632</v>
      </c>
      <c r="T291" s="52" t="n">
        <f aca="false">IF(Q291=0,0,S291/Q291)</f>
        <v>-0.203491556910472</v>
      </c>
      <c r="U291" s="51" t="str">
        <f aca="false">IF(AND(Q291&gt;0,T291&lt;-0.15),"ADVERSE","")</f>
        <v>ADVERSE</v>
      </c>
    </row>
    <row r="292" customFormat="false" ht="15" hidden="false" customHeight="false" outlineLevel="0" collapsed="false">
      <c r="A292" s="47" t="s">
        <v>3</v>
      </c>
      <c r="B292" s="47" t="s">
        <v>138</v>
      </c>
      <c r="C292" s="48" t="n">
        <v>46054</v>
      </c>
      <c r="D292" s="47" t="s">
        <v>34</v>
      </c>
      <c r="E292" s="47" t="s">
        <v>41</v>
      </c>
      <c r="F292" s="49" t="n">
        <v>554872</v>
      </c>
      <c r="G292" s="49" t="n">
        <v>518760</v>
      </c>
      <c r="H292" s="49" t="n">
        <v>346518</v>
      </c>
      <c r="I292" s="49" t="n">
        <v>328231</v>
      </c>
      <c r="J292" s="49" t="n">
        <v>82399</v>
      </c>
      <c r="K292" s="49" t="n">
        <v>84187</v>
      </c>
      <c r="L292" s="50" t="n">
        <v>34.9</v>
      </c>
      <c r="M292" s="51" t="n">
        <f aca="false">G292-F292</f>
        <v>-36112</v>
      </c>
      <c r="N292" s="52" t="n">
        <f aca="false">IF(F292=0,0,M292/F292)</f>
        <v>-0.0650816764947592</v>
      </c>
      <c r="O292" s="51" t="n">
        <f aca="false">G292-I292</f>
        <v>190529</v>
      </c>
      <c r="P292" s="51" t="n">
        <f aca="false">F292-H292</f>
        <v>208354</v>
      </c>
      <c r="Q292" s="51" t="n">
        <f aca="false">F292-H292-J292</f>
        <v>125955</v>
      </c>
      <c r="R292" s="51" t="n">
        <f aca="false">G292-I292-K292</f>
        <v>106342</v>
      </c>
      <c r="S292" s="51" t="n">
        <f aca="false">R292-Q292</f>
        <v>-19613</v>
      </c>
      <c r="T292" s="52" t="n">
        <f aca="false">IF(Q292=0,0,S292/Q292)</f>
        <v>-0.155714342423882</v>
      </c>
      <c r="U292" s="51" t="str">
        <f aca="false">IF(AND(Q292&gt;0,T292&lt;-0.15),"ADVERSE","")</f>
        <v>ADVERSE</v>
      </c>
    </row>
    <row r="293" customFormat="false" ht="15" hidden="false" customHeight="false" outlineLevel="0" collapsed="false">
      <c r="A293" s="47" t="s">
        <v>3</v>
      </c>
      <c r="B293" s="47" t="s">
        <v>138</v>
      </c>
      <c r="C293" s="48" t="n">
        <v>46082</v>
      </c>
      <c r="D293" s="47" t="s">
        <v>34</v>
      </c>
      <c r="E293" s="47" t="s">
        <v>41</v>
      </c>
      <c r="F293" s="49" t="n">
        <v>612577</v>
      </c>
      <c r="G293" s="49" t="n">
        <v>545297</v>
      </c>
      <c r="H293" s="49" t="n">
        <v>382554</v>
      </c>
      <c r="I293" s="49" t="n">
        <v>355264</v>
      </c>
      <c r="J293" s="49" t="n">
        <v>90968</v>
      </c>
      <c r="K293" s="49" t="n">
        <v>86055</v>
      </c>
      <c r="L293" s="50" t="n">
        <v>34.1</v>
      </c>
      <c r="M293" s="51" t="n">
        <f aca="false">G293-F293</f>
        <v>-67280</v>
      </c>
      <c r="N293" s="52" t="n">
        <f aca="false">IF(F293=0,0,M293/F293)</f>
        <v>-0.109831090622077</v>
      </c>
      <c r="O293" s="51" t="n">
        <f aca="false">G293-I293</f>
        <v>190033</v>
      </c>
      <c r="P293" s="51" t="n">
        <f aca="false">F293-H293</f>
        <v>230023</v>
      </c>
      <c r="Q293" s="51" t="n">
        <f aca="false">F293-H293-J293</f>
        <v>139055</v>
      </c>
      <c r="R293" s="51" t="n">
        <f aca="false">G293-I293-K293</f>
        <v>103978</v>
      </c>
      <c r="S293" s="51" t="n">
        <f aca="false">R293-Q293</f>
        <v>-35077</v>
      </c>
      <c r="T293" s="52" t="n">
        <f aca="false">IF(Q293=0,0,S293/Q293)</f>
        <v>-0.252252705763906</v>
      </c>
      <c r="U293" s="51" t="str">
        <f aca="false">IF(AND(Q293&gt;0,T293&lt;-0.15),"ADVERSE","")</f>
        <v>ADVERSE</v>
      </c>
    </row>
    <row r="294" customFormat="false" ht="15" hidden="false" customHeight="false" outlineLevel="0" collapsed="false">
      <c r="A294" s="47" t="s">
        <v>134</v>
      </c>
      <c r="B294" s="47" t="s">
        <v>135</v>
      </c>
      <c r="C294" s="48" t="n">
        <v>45017</v>
      </c>
      <c r="D294" s="47" t="s">
        <v>34</v>
      </c>
      <c r="E294" s="47" t="s">
        <v>42</v>
      </c>
      <c r="F294" s="49" t="n">
        <v>543746</v>
      </c>
      <c r="G294" s="49" t="n">
        <v>547331</v>
      </c>
      <c r="H294" s="49" t="n">
        <v>339570</v>
      </c>
      <c r="I294" s="49" t="n">
        <v>339456</v>
      </c>
      <c r="J294" s="49" t="n">
        <v>80746</v>
      </c>
      <c r="K294" s="49" t="n">
        <v>79581</v>
      </c>
      <c r="L294" s="50" t="n">
        <v>46.7</v>
      </c>
      <c r="M294" s="51" t="n">
        <f aca="false">G294-F294</f>
        <v>3585</v>
      </c>
      <c r="N294" s="52" t="n">
        <f aca="false">IF(F294=0,0,M294/F294)</f>
        <v>0.00659315194962354</v>
      </c>
      <c r="O294" s="51" t="n">
        <f aca="false">G294-I294</f>
        <v>207875</v>
      </c>
      <c r="P294" s="51" t="n">
        <f aca="false">F294-H294</f>
        <v>204176</v>
      </c>
      <c r="Q294" s="51" t="n">
        <f aca="false">F294-H294-J294</f>
        <v>123430</v>
      </c>
      <c r="R294" s="51" t="n">
        <f aca="false">G294-I294-K294</f>
        <v>128294</v>
      </c>
      <c r="S294" s="51" t="n">
        <f aca="false">R294-Q294</f>
        <v>4864</v>
      </c>
      <c r="T294" s="52" t="n">
        <f aca="false">IF(Q294=0,0,S294/Q294)</f>
        <v>0.0394069513084339</v>
      </c>
      <c r="U294" s="51" t="str">
        <f aca="false">IF(AND(Q294&gt;0,T294&lt;-0.15),"ADVERSE","")</f>
        <v/>
      </c>
    </row>
    <row r="295" customFormat="false" ht="15" hidden="false" customHeight="false" outlineLevel="0" collapsed="false">
      <c r="A295" s="47" t="s">
        <v>134</v>
      </c>
      <c r="B295" s="47" t="s">
        <v>135</v>
      </c>
      <c r="C295" s="48" t="n">
        <v>45047</v>
      </c>
      <c r="D295" s="47" t="s">
        <v>34</v>
      </c>
      <c r="E295" s="47" t="s">
        <v>42</v>
      </c>
      <c r="F295" s="49" t="n">
        <v>532264</v>
      </c>
      <c r="G295" s="49" t="n">
        <v>565857</v>
      </c>
      <c r="H295" s="49" t="n">
        <v>332399</v>
      </c>
      <c r="I295" s="49" t="n">
        <v>356078</v>
      </c>
      <c r="J295" s="49" t="n">
        <v>79041</v>
      </c>
      <c r="K295" s="49" t="n">
        <v>80366</v>
      </c>
      <c r="L295" s="50" t="n">
        <v>46</v>
      </c>
      <c r="M295" s="51" t="n">
        <f aca="false">G295-F295</f>
        <v>33593</v>
      </c>
      <c r="N295" s="52" t="n">
        <f aca="false">IF(F295=0,0,M295/F295)</f>
        <v>0.0631134174018908</v>
      </c>
      <c r="O295" s="51" t="n">
        <f aca="false">G295-I295</f>
        <v>209779</v>
      </c>
      <c r="P295" s="51" t="n">
        <f aca="false">F295-H295</f>
        <v>199865</v>
      </c>
      <c r="Q295" s="51" t="n">
        <f aca="false">F295-H295-J295</f>
        <v>120824</v>
      </c>
      <c r="R295" s="51" t="n">
        <f aca="false">G295-I295-K295</f>
        <v>129413</v>
      </c>
      <c r="S295" s="51" t="n">
        <f aca="false">R295-Q295</f>
        <v>8589</v>
      </c>
      <c r="T295" s="52" t="n">
        <f aca="false">IF(Q295=0,0,S295/Q295)</f>
        <v>0.0710868701582467</v>
      </c>
      <c r="U295" s="51" t="str">
        <f aca="false">IF(AND(Q295&gt;0,T295&lt;-0.15),"ADVERSE","")</f>
        <v/>
      </c>
    </row>
    <row r="296" customFormat="false" ht="15" hidden="false" customHeight="false" outlineLevel="0" collapsed="false">
      <c r="A296" s="47" t="s">
        <v>134</v>
      </c>
      <c r="B296" s="47" t="s">
        <v>135</v>
      </c>
      <c r="C296" s="48" t="n">
        <v>45078</v>
      </c>
      <c r="D296" s="47" t="s">
        <v>34</v>
      </c>
      <c r="E296" s="47" t="s">
        <v>42</v>
      </c>
      <c r="F296" s="49" t="n">
        <v>551973</v>
      </c>
      <c r="G296" s="49" t="n">
        <v>546710</v>
      </c>
      <c r="H296" s="49" t="n">
        <v>344707</v>
      </c>
      <c r="I296" s="49" t="n">
        <v>346048</v>
      </c>
      <c r="J296" s="49" t="n">
        <v>81968</v>
      </c>
      <c r="K296" s="49" t="n">
        <v>84330</v>
      </c>
      <c r="L296" s="50" t="n">
        <v>48</v>
      </c>
      <c r="M296" s="51" t="n">
        <f aca="false">G296-F296</f>
        <v>-5263</v>
      </c>
      <c r="N296" s="52" t="n">
        <f aca="false">IF(F296=0,0,M296/F296)</f>
        <v>-0.00953488667018133</v>
      </c>
      <c r="O296" s="51" t="n">
        <f aca="false">G296-I296</f>
        <v>200662</v>
      </c>
      <c r="P296" s="51" t="n">
        <f aca="false">F296-H296</f>
        <v>207266</v>
      </c>
      <c r="Q296" s="51" t="n">
        <f aca="false">F296-H296-J296</f>
        <v>125298</v>
      </c>
      <c r="R296" s="51" t="n">
        <f aca="false">G296-I296-K296</f>
        <v>116332</v>
      </c>
      <c r="S296" s="51" t="n">
        <f aca="false">R296-Q296</f>
        <v>-8966</v>
      </c>
      <c r="T296" s="52" t="n">
        <f aca="false">IF(Q296=0,0,S296/Q296)</f>
        <v>-0.071557407141375</v>
      </c>
      <c r="U296" s="51" t="str">
        <f aca="false">IF(AND(Q296&gt;0,T296&lt;-0.15),"ADVERSE","")</f>
        <v/>
      </c>
    </row>
    <row r="297" customFormat="false" ht="15" hidden="false" customHeight="false" outlineLevel="0" collapsed="false">
      <c r="A297" s="47" t="s">
        <v>134</v>
      </c>
      <c r="B297" s="47" t="s">
        <v>136</v>
      </c>
      <c r="C297" s="48" t="n">
        <v>45108</v>
      </c>
      <c r="D297" s="47" t="s">
        <v>34</v>
      </c>
      <c r="E297" s="47" t="s">
        <v>42</v>
      </c>
      <c r="F297" s="49" t="n">
        <v>561975</v>
      </c>
      <c r="G297" s="49" t="n">
        <v>516156</v>
      </c>
      <c r="H297" s="49" t="n">
        <v>350953</v>
      </c>
      <c r="I297" s="49" t="n">
        <v>316159</v>
      </c>
      <c r="J297" s="49" t="n">
        <v>83453</v>
      </c>
      <c r="K297" s="49" t="n">
        <v>75006</v>
      </c>
      <c r="L297" s="50" t="n">
        <v>49.2</v>
      </c>
      <c r="M297" s="51" t="n">
        <f aca="false">G297-F297</f>
        <v>-45819</v>
      </c>
      <c r="N297" s="52" t="n">
        <f aca="false">IF(F297=0,0,M297/F297)</f>
        <v>-0.0815320966235153</v>
      </c>
      <c r="O297" s="51" t="n">
        <f aca="false">G297-I297</f>
        <v>199997</v>
      </c>
      <c r="P297" s="51" t="n">
        <f aca="false">F297-H297</f>
        <v>211022</v>
      </c>
      <c r="Q297" s="51" t="n">
        <f aca="false">F297-H297-J297</f>
        <v>127569</v>
      </c>
      <c r="R297" s="51" t="n">
        <f aca="false">G297-I297-K297</f>
        <v>124991</v>
      </c>
      <c r="S297" s="51" t="n">
        <f aca="false">R297-Q297</f>
        <v>-2578</v>
      </c>
      <c r="T297" s="52" t="n">
        <f aca="false">IF(Q297=0,0,S297/Q297)</f>
        <v>-0.0202086713856815</v>
      </c>
      <c r="U297" s="51" t="str">
        <f aca="false">IF(AND(Q297&gt;0,T297&lt;-0.15),"ADVERSE","")</f>
        <v/>
      </c>
    </row>
    <row r="298" customFormat="false" ht="15" hidden="false" customHeight="false" outlineLevel="0" collapsed="false">
      <c r="A298" s="47" t="s">
        <v>134</v>
      </c>
      <c r="B298" s="47" t="s">
        <v>136</v>
      </c>
      <c r="C298" s="48" t="n">
        <v>45139</v>
      </c>
      <c r="D298" s="47" t="s">
        <v>34</v>
      </c>
      <c r="E298" s="47" t="s">
        <v>42</v>
      </c>
      <c r="F298" s="49" t="n">
        <v>534589</v>
      </c>
      <c r="G298" s="49" t="n">
        <v>564741</v>
      </c>
      <c r="H298" s="49" t="n">
        <v>333851</v>
      </c>
      <c r="I298" s="49" t="n">
        <v>351038</v>
      </c>
      <c r="J298" s="49" t="n">
        <v>79386</v>
      </c>
      <c r="K298" s="49" t="n">
        <v>87102</v>
      </c>
      <c r="L298" s="50" t="n">
        <v>47.9</v>
      </c>
      <c r="M298" s="51" t="n">
        <f aca="false">G298-F298</f>
        <v>30152</v>
      </c>
      <c r="N298" s="52" t="n">
        <f aca="false">IF(F298=0,0,M298/F298)</f>
        <v>0.0564022080514189</v>
      </c>
      <c r="O298" s="51" t="n">
        <f aca="false">G298-I298</f>
        <v>213703</v>
      </c>
      <c r="P298" s="51" t="n">
        <f aca="false">F298-H298</f>
        <v>200738</v>
      </c>
      <c r="Q298" s="51" t="n">
        <f aca="false">F298-H298-J298</f>
        <v>121352</v>
      </c>
      <c r="R298" s="51" t="n">
        <f aca="false">G298-I298-K298</f>
        <v>126601</v>
      </c>
      <c r="S298" s="51" t="n">
        <f aca="false">R298-Q298</f>
        <v>5249</v>
      </c>
      <c r="T298" s="52" t="n">
        <f aca="false">IF(Q298=0,0,S298/Q298)</f>
        <v>0.0432543344979893</v>
      </c>
      <c r="U298" s="51" t="str">
        <f aca="false">IF(AND(Q298&gt;0,T298&lt;-0.15),"ADVERSE","")</f>
        <v/>
      </c>
    </row>
    <row r="299" customFormat="false" ht="15" hidden="false" customHeight="false" outlineLevel="0" collapsed="false">
      <c r="A299" s="47" t="s">
        <v>134</v>
      </c>
      <c r="B299" s="47" t="s">
        <v>136</v>
      </c>
      <c r="C299" s="48" t="n">
        <v>45170</v>
      </c>
      <c r="D299" s="47" t="s">
        <v>34</v>
      </c>
      <c r="E299" s="47" t="s">
        <v>42</v>
      </c>
      <c r="F299" s="49" t="n">
        <v>548371</v>
      </c>
      <c r="G299" s="49" t="n">
        <v>554880</v>
      </c>
      <c r="H299" s="49" t="n">
        <v>342457</v>
      </c>
      <c r="I299" s="49" t="n">
        <v>348840</v>
      </c>
      <c r="J299" s="49" t="n">
        <v>81433</v>
      </c>
      <c r="K299" s="49" t="n">
        <v>85205</v>
      </c>
      <c r="L299" s="50" t="n">
        <v>47.6</v>
      </c>
      <c r="M299" s="51" t="n">
        <f aca="false">G299-F299</f>
        <v>6509</v>
      </c>
      <c r="N299" s="52" t="n">
        <f aca="false">IF(F299=0,0,M299/F299)</f>
        <v>0.011869701351822</v>
      </c>
      <c r="O299" s="51" t="n">
        <f aca="false">G299-I299</f>
        <v>206040</v>
      </c>
      <c r="P299" s="51" t="n">
        <f aca="false">F299-H299</f>
        <v>205914</v>
      </c>
      <c r="Q299" s="51" t="n">
        <f aca="false">F299-H299-J299</f>
        <v>124481</v>
      </c>
      <c r="R299" s="51" t="n">
        <f aca="false">G299-I299-K299</f>
        <v>120835</v>
      </c>
      <c r="S299" s="51" t="n">
        <f aca="false">R299-Q299</f>
        <v>-3646</v>
      </c>
      <c r="T299" s="52" t="n">
        <f aca="false">IF(Q299=0,0,S299/Q299)</f>
        <v>-0.0292896104626409</v>
      </c>
      <c r="U299" s="51" t="str">
        <f aca="false">IF(AND(Q299&gt;0,T299&lt;-0.15),"ADVERSE","")</f>
        <v/>
      </c>
    </row>
    <row r="300" customFormat="false" ht="15" hidden="false" customHeight="false" outlineLevel="0" collapsed="false">
      <c r="A300" s="47" t="s">
        <v>134</v>
      </c>
      <c r="B300" s="47" t="s">
        <v>137</v>
      </c>
      <c r="C300" s="48" t="n">
        <v>45200</v>
      </c>
      <c r="D300" s="47" t="s">
        <v>34</v>
      </c>
      <c r="E300" s="47" t="s">
        <v>42</v>
      </c>
      <c r="F300" s="49" t="n">
        <v>584834</v>
      </c>
      <c r="G300" s="49" t="n">
        <v>537256</v>
      </c>
      <c r="H300" s="49" t="n">
        <v>365229</v>
      </c>
      <c r="I300" s="49" t="n">
        <v>332469</v>
      </c>
      <c r="J300" s="49" t="n">
        <v>86848</v>
      </c>
      <c r="K300" s="49" t="n">
        <v>81700</v>
      </c>
      <c r="L300" s="50" t="n">
        <v>47.7</v>
      </c>
      <c r="M300" s="51" t="n">
        <f aca="false">G300-F300</f>
        <v>-47578</v>
      </c>
      <c r="N300" s="52" t="n">
        <f aca="false">IF(F300=0,0,M300/F300)</f>
        <v>-0.0813529993126255</v>
      </c>
      <c r="O300" s="51" t="n">
        <f aca="false">G300-I300</f>
        <v>204787</v>
      </c>
      <c r="P300" s="51" t="n">
        <f aca="false">F300-H300</f>
        <v>219605</v>
      </c>
      <c r="Q300" s="51" t="n">
        <f aca="false">F300-H300-J300</f>
        <v>132757</v>
      </c>
      <c r="R300" s="51" t="n">
        <f aca="false">G300-I300-K300</f>
        <v>123087</v>
      </c>
      <c r="S300" s="51" t="n">
        <f aca="false">R300-Q300</f>
        <v>-9670</v>
      </c>
      <c r="T300" s="52" t="n">
        <f aca="false">IF(Q300=0,0,S300/Q300)</f>
        <v>-0.0728398502527174</v>
      </c>
      <c r="U300" s="51" t="str">
        <f aca="false">IF(AND(Q300&gt;0,T300&lt;-0.15),"ADVERSE","")</f>
        <v/>
      </c>
    </row>
    <row r="301" customFormat="false" ht="15" hidden="false" customHeight="false" outlineLevel="0" collapsed="false">
      <c r="A301" s="47" t="s">
        <v>134</v>
      </c>
      <c r="B301" s="47" t="s">
        <v>137</v>
      </c>
      <c r="C301" s="48" t="n">
        <v>45231</v>
      </c>
      <c r="D301" s="47" t="s">
        <v>34</v>
      </c>
      <c r="E301" s="47" t="s">
        <v>42</v>
      </c>
      <c r="F301" s="49" t="n">
        <v>577600</v>
      </c>
      <c r="G301" s="49" t="n">
        <v>560121</v>
      </c>
      <c r="H301" s="49" t="n">
        <v>360711</v>
      </c>
      <c r="I301" s="49" t="n">
        <v>348355</v>
      </c>
      <c r="J301" s="49" t="n">
        <v>85774</v>
      </c>
      <c r="K301" s="49" t="n">
        <v>86378</v>
      </c>
      <c r="L301" s="50" t="n">
        <v>49.1</v>
      </c>
      <c r="M301" s="51" t="n">
        <f aca="false">G301-F301</f>
        <v>-17479</v>
      </c>
      <c r="N301" s="52" t="n">
        <f aca="false">IF(F301=0,0,M301/F301)</f>
        <v>-0.0302614265927978</v>
      </c>
      <c r="O301" s="51" t="n">
        <f aca="false">G301-I301</f>
        <v>211766</v>
      </c>
      <c r="P301" s="51" t="n">
        <f aca="false">F301-H301</f>
        <v>216889</v>
      </c>
      <c r="Q301" s="51" t="n">
        <f aca="false">F301-H301-J301</f>
        <v>131115</v>
      </c>
      <c r="R301" s="51" t="n">
        <f aca="false">G301-I301-K301</f>
        <v>125388</v>
      </c>
      <c r="S301" s="51" t="n">
        <f aca="false">R301-Q301</f>
        <v>-5727</v>
      </c>
      <c r="T301" s="52" t="n">
        <f aca="false">IF(Q301=0,0,S301/Q301)</f>
        <v>-0.043679212904702</v>
      </c>
      <c r="U301" s="51" t="str">
        <f aca="false">IF(AND(Q301&gt;0,T301&lt;-0.15),"ADVERSE","")</f>
        <v/>
      </c>
    </row>
    <row r="302" customFormat="false" ht="15" hidden="false" customHeight="false" outlineLevel="0" collapsed="false">
      <c r="A302" s="47" t="s">
        <v>134</v>
      </c>
      <c r="B302" s="47" t="s">
        <v>137</v>
      </c>
      <c r="C302" s="48" t="n">
        <v>45261</v>
      </c>
      <c r="D302" s="47" t="s">
        <v>34</v>
      </c>
      <c r="E302" s="47" t="s">
        <v>42</v>
      </c>
      <c r="F302" s="49" t="n">
        <v>565765</v>
      </c>
      <c r="G302" s="49" t="n">
        <v>556030</v>
      </c>
      <c r="H302" s="49" t="n">
        <v>353320</v>
      </c>
      <c r="I302" s="49" t="n">
        <v>350666</v>
      </c>
      <c r="J302" s="49" t="n">
        <v>84016</v>
      </c>
      <c r="K302" s="49" t="n">
        <v>87325</v>
      </c>
      <c r="L302" s="50" t="n">
        <v>48.5</v>
      </c>
      <c r="M302" s="51" t="n">
        <f aca="false">G302-F302</f>
        <v>-9735</v>
      </c>
      <c r="N302" s="52" t="n">
        <f aca="false">IF(F302=0,0,M302/F302)</f>
        <v>-0.0172067908053697</v>
      </c>
      <c r="O302" s="51" t="n">
        <f aca="false">G302-I302</f>
        <v>205364</v>
      </c>
      <c r="P302" s="51" t="n">
        <f aca="false">F302-H302</f>
        <v>212445</v>
      </c>
      <c r="Q302" s="51" t="n">
        <f aca="false">F302-H302-J302</f>
        <v>128429</v>
      </c>
      <c r="R302" s="51" t="n">
        <f aca="false">G302-I302-K302</f>
        <v>118039</v>
      </c>
      <c r="S302" s="51" t="n">
        <f aca="false">R302-Q302</f>
        <v>-10390</v>
      </c>
      <c r="T302" s="52" t="n">
        <f aca="false">IF(Q302=0,0,S302/Q302)</f>
        <v>-0.0809007311432776</v>
      </c>
      <c r="U302" s="51" t="str">
        <f aca="false">IF(AND(Q302&gt;0,T302&lt;-0.15),"ADVERSE","")</f>
        <v/>
      </c>
    </row>
    <row r="303" customFormat="false" ht="15" hidden="false" customHeight="false" outlineLevel="0" collapsed="false">
      <c r="A303" s="47" t="s">
        <v>134</v>
      </c>
      <c r="B303" s="47" t="s">
        <v>138</v>
      </c>
      <c r="C303" s="48" t="n">
        <v>45292</v>
      </c>
      <c r="D303" s="47" t="s">
        <v>34</v>
      </c>
      <c r="E303" s="47" t="s">
        <v>42</v>
      </c>
      <c r="F303" s="49" t="n">
        <v>545150</v>
      </c>
      <c r="G303" s="49" t="n">
        <v>551729</v>
      </c>
      <c r="H303" s="49" t="n">
        <v>340446</v>
      </c>
      <c r="I303" s="49" t="n">
        <v>348010</v>
      </c>
      <c r="J303" s="49" t="n">
        <v>80955</v>
      </c>
      <c r="K303" s="49" t="n">
        <v>82899</v>
      </c>
      <c r="L303" s="50" t="n">
        <v>47.9</v>
      </c>
      <c r="M303" s="51" t="n">
        <f aca="false">G303-F303</f>
        <v>6579</v>
      </c>
      <c r="N303" s="52" t="n">
        <f aca="false">IF(F303=0,0,M303/F303)</f>
        <v>0.0120682380996056</v>
      </c>
      <c r="O303" s="51" t="n">
        <f aca="false">G303-I303</f>
        <v>203719</v>
      </c>
      <c r="P303" s="51" t="n">
        <f aca="false">F303-H303</f>
        <v>204704</v>
      </c>
      <c r="Q303" s="51" t="n">
        <f aca="false">F303-H303-J303</f>
        <v>123749</v>
      </c>
      <c r="R303" s="51" t="n">
        <f aca="false">G303-I303-K303</f>
        <v>120820</v>
      </c>
      <c r="S303" s="51" t="n">
        <f aca="false">R303-Q303</f>
        <v>-2929</v>
      </c>
      <c r="T303" s="52" t="n">
        <f aca="false">IF(Q303=0,0,S303/Q303)</f>
        <v>-0.0236688781323485</v>
      </c>
      <c r="U303" s="51" t="str">
        <f aca="false">IF(AND(Q303&gt;0,T303&lt;-0.15),"ADVERSE","")</f>
        <v/>
      </c>
    </row>
    <row r="304" customFormat="false" ht="15" hidden="false" customHeight="false" outlineLevel="0" collapsed="false">
      <c r="A304" s="47" t="s">
        <v>134</v>
      </c>
      <c r="B304" s="47" t="s">
        <v>138</v>
      </c>
      <c r="C304" s="48" t="n">
        <v>45323</v>
      </c>
      <c r="D304" s="47" t="s">
        <v>34</v>
      </c>
      <c r="E304" s="47" t="s">
        <v>42</v>
      </c>
      <c r="F304" s="49" t="n">
        <v>558510</v>
      </c>
      <c r="G304" s="49" t="n">
        <v>552749</v>
      </c>
      <c r="H304" s="49" t="n">
        <v>348790</v>
      </c>
      <c r="I304" s="49" t="n">
        <v>342630</v>
      </c>
      <c r="J304" s="49" t="n">
        <v>82939</v>
      </c>
      <c r="K304" s="49" t="n">
        <v>80354</v>
      </c>
      <c r="L304" s="50" t="n">
        <v>47.8</v>
      </c>
      <c r="M304" s="51" t="n">
        <f aca="false">G304-F304</f>
        <v>-5761</v>
      </c>
      <c r="N304" s="52" t="n">
        <f aca="false">IF(F304=0,0,M304/F304)</f>
        <v>-0.010314945121842</v>
      </c>
      <c r="O304" s="51" t="n">
        <f aca="false">G304-I304</f>
        <v>210119</v>
      </c>
      <c r="P304" s="51" t="n">
        <f aca="false">F304-H304</f>
        <v>209720</v>
      </c>
      <c r="Q304" s="51" t="n">
        <f aca="false">F304-H304-J304</f>
        <v>126781</v>
      </c>
      <c r="R304" s="51" t="n">
        <f aca="false">G304-I304-K304</f>
        <v>129765</v>
      </c>
      <c r="S304" s="51" t="n">
        <f aca="false">R304-Q304</f>
        <v>2984</v>
      </c>
      <c r="T304" s="52" t="n">
        <f aca="false">IF(Q304=0,0,S304/Q304)</f>
        <v>0.0235366498134579</v>
      </c>
      <c r="U304" s="51" t="str">
        <f aca="false">IF(AND(Q304&gt;0,T304&lt;-0.15),"ADVERSE","")</f>
        <v/>
      </c>
    </row>
    <row r="305" customFormat="false" ht="15" hidden="false" customHeight="false" outlineLevel="0" collapsed="false">
      <c r="A305" s="47" t="s">
        <v>134</v>
      </c>
      <c r="B305" s="47" t="s">
        <v>138</v>
      </c>
      <c r="C305" s="48" t="n">
        <v>45352</v>
      </c>
      <c r="D305" s="47" t="s">
        <v>34</v>
      </c>
      <c r="E305" s="47" t="s">
        <v>42</v>
      </c>
      <c r="F305" s="49" t="n">
        <v>605666</v>
      </c>
      <c r="G305" s="49" t="n">
        <v>609908</v>
      </c>
      <c r="H305" s="49" t="n">
        <v>378238</v>
      </c>
      <c r="I305" s="49" t="n">
        <v>385401</v>
      </c>
      <c r="J305" s="49" t="n">
        <v>89941</v>
      </c>
      <c r="K305" s="49" t="n">
        <v>90924</v>
      </c>
      <c r="L305" s="50" t="n">
        <v>49.8</v>
      </c>
      <c r="M305" s="51" t="n">
        <f aca="false">G305-F305</f>
        <v>4242</v>
      </c>
      <c r="N305" s="52" t="n">
        <f aca="false">IF(F305=0,0,M305/F305)</f>
        <v>0.00700386021338494</v>
      </c>
      <c r="O305" s="51" t="n">
        <f aca="false">G305-I305</f>
        <v>224507</v>
      </c>
      <c r="P305" s="51" t="n">
        <f aca="false">F305-H305</f>
        <v>227428</v>
      </c>
      <c r="Q305" s="51" t="n">
        <f aca="false">F305-H305-J305</f>
        <v>137487</v>
      </c>
      <c r="R305" s="51" t="n">
        <f aca="false">G305-I305-K305</f>
        <v>133583</v>
      </c>
      <c r="S305" s="51" t="n">
        <f aca="false">R305-Q305</f>
        <v>-3904</v>
      </c>
      <c r="T305" s="52" t="n">
        <f aca="false">IF(Q305=0,0,S305/Q305)</f>
        <v>-0.0283954119298552</v>
      </c>
      <c r="U305" s="51" t="str">
        <f aca="false">IF(AND(Q305&gt;0,T305&lt;-0.15),"ADVERSE","")</f>
        <v/>
      </c>
    </row>
    <row r="306" customFormat="false" ht="15" hidden="false" customHeight="false" outlineLevel="0" collapsed="false">
      <c r="A306" s="47" t="s">
        <v>139</v>
      </c>
      <c r="B306" s="47" t="s">
        <v>135</v>
      </c>
      <c r="C306" s="48" t="n">
        <v>45383</v>
      </c>
      <c r="D306" s="47" t="s">
        <v>34</v>
      </c>
      <c r="E306" s="47" t="s">
        <v>42</v>
      </c>
      <c r="F306" s="49" t="n">
        <v>584924</v>
      </c>
      <c r="G306" s="49" t="n">
        <v>551815</v>
      </c>
      <c r="H306" s="49" t="n">
        <v>365285</v>
      </c>
      <c r="I306" s="49" t="n">
        <v>347872</v>
      </c>
      <c r="J306" s="49" t="n">
        <v>86861</v>
      </c>
      <c r="K306" s="49" t="n">
        <v>85066</v>
      </c>
      <c r="L306" s="50" t="n">
        <v>49.1</v>
      </c>
      <c r="M306" s="51" t="n">
        <f aca="false">G306-F306</f>
        <v>-33109</v>
      </c>
      <c r="N306" s="52" t="n">
        <f aca="false">IF(F306=0,0,M306/F306)</f>
        <v>-0.0566039348701712</v>
      </c>
      <c r="O306" s="51" t="n">
        <f aca="false">G306-I306</f>
        <v>203943</v>
      </c>
      <c r="P306" s="51" t="n">
        <f aca="false">F306-H306</f>
        <v>219639</v>
      </c>
      <c r="Q306" s="51" t="n">
        <f aca="false">F306-H306-J306</f>
        <v>132778</v>
      </c>
      <c r="R306" s="51" t="n">
        <f aca="false">G306-I306-K306</f>
        <v>118877</v>
      </c>
      <c r="S306" s="51" t="n">
        <f aca="false">R306-Q306</f>
        <v>-13901</v>
      </c>
      <c r="T306" s="52" t="n">
        <f aca="false">IF(Q306=0,0,S306/Q306)</f>
        <v>-0.104693548630044</v>
      </c>
      <c r="U306" s="51" t="str">
        <f aca="false">IF(AND(Q306&gt;0,T306&lt;-0.15),"ADVERSE","")</f>
        <v/>
      </c>
    </row>
    <row r="307" customFormat="false" ht="15" hidden="false" customHeight="false" outlineLevel="0" collapsed="false">
      <c r="A307" s="47" t="s">
        <v>139</v>
      </c>
      <c r="B307" s="47" t="s">
        <v>135</v>
      </c>
      <c r="C307" s="48" t="n">
        <v>45413</v>
      </c>
      <c r="D307" s="47" t="s">
        <v>34</v>
      </c>
      <c r="E307" s="47" t="s">
        <v>42</v>
      </c>
      <c r="F307" s="49" t="n">
        <v>589846</v>
      </c>
      <c r="G307" s="49" t="n">
        <v>554768</v>
      </c>
      <c r="H307" s="49" t="n">
        <v>368359</v>
      </c>
      <c r="I307" s="49" t="n">
        <v>345689</v>
      </c>
      <c r="J307" s="49" t="n">
        <v>87592</v>
      </c>
      <c r="K307" s="49" t="n">
        <v>79129</v>
      </c>
      <c r="L307" s="50" t="n">
        <v>49.3</v>
      </c>
      <c r="M307" s="51" t="n">
        <f aca="false">G307-F307</f>
        <v>-35078</v>
      </c>
      <c r="N307" s="52" t="n">
        <f aca="false">IF(F307=0,0,M307/F307)</f>
        <v>-0.0594697599034324</v>
      </c>
      <c r="O307" s="51" t="n">
        <f aca="false">G307-I307</f>
        <v>209079</v>
      </c>
      <c r="P307" s="51" t="n">
        <f aca="false">F307-H307</f>
        <v>221487</v>
      </c>
      <c r="Q307" s="51" t="n">
        <f aca="false">F307-H307-J307</f>
        <v>133895</v>
      </c>
      <c r="R307" s="51" t="n">
        <f aca="false">G307-I307-K307</f>
        <v>129950</v>
      </c>
      <c r="S307" s="51" t="n">
        <f aca="false">R307-Q307</f>
        <v>-3945</v>
      </c>
      <c r="T307" s="52" t="n">
        <f aca="false">IF(Q307=0,0,S307/Q307)</f>
        <v>-0.0294633854886292</v>
      </c>
      <c r="U307" s="51" t="str">
        <f aca="false">IF(AND(Q307&gt;0,T307&lt;-0.15),"ADVERSE","")</f>
        <v/>
      </c>
    </row>
    <row r="308" customFormat="false" ht="15" hidden="false" customHeight="false" outlineLevel="0" collapsed="false">
      <c r="A308" s="47" t="s">
        <v>139</v>
      </c>
      <c r="B308" s="47" t="s">
        <v>135</v>
      </c>
      <c r="C308" s="48" t="n">
        <v>45444</v>
      </c>
      <c r="D308" s="47" t="s">
        <v>34</v>
      </c>
      <c r="E308" s="47" t="s">
        <v>42</v>
      </c>
      <c r="F308" s="49" t="n">
        <v>591091</v>
      </c>
      <c r="G308" s="49" t="n">
        <v>593331</v>
      </c>
      <c r="H308" s="49" t="n">
        <v>369136</v>
      </c>
      <c r="I308" s="49" t="n">
        <v>372619</v>
      </c>
      <c r="J308" s="49" t="n">
        <v>87777</v>
      </c>
      <c r="K308" s="49" t="n">
        <v>92069</v>
      </c>
      <c r="L308" s="50" t="n">
        <v>49.6</v>
      </c>
      <c r="M308" s="51" t="n">
        <f aca="false">G308-F308</f>
        <v>2240</v>
      </c>
      <c r="N308" s="52" t="n">
        <f aca="false">IF(F308=0,0,M308/F308)</f>
        <v>0.00378960261617924</v>
      </c>
      <c r="O308" s="51" t="n">
        <f aca="false">G308-I308</f>
        <v>220712</v>
      </c>
      <c r="P308" s="51" t="n">
        <f aca="false">F308-H308</f>
        <v>221955</v>
      </c>
      <c r="Q308" s="51" t="n">
        <f aca="false">F308-H308-J308</f>
        <v>134178</v>
      </c>
      <c r="R308" s="51" t="n">
        <f aca="false">G308-I308-K308</f>
        <v>128643</v>
      </c>
      <c r="S308" s="51" t="n">
        <f aca="false">R308-Q308</f>
        <v>-5535</v>
      </c>
      <c r="T308" s="52" t="n">
        <f aca="false">IF(Q308=0,0,S308/Q308)</f>
        <v>-0.041251173813889</v>
      </c>
      <c r="U308" s="51" t="str">
        <f aca="false">IF(AND(Q308&gt;0,T308&lt;-0.15),"ADVERSE","")</f>
        <v/>
      </c>
    </row>
    <row r="309" customFormat="false" ht="15" hidden="false" customHeight="false" outlineLevel="0" collapsed="false">
      <c r="A309" s="47" t="s">
        <v>139</v>
      </c>
      <c r="B309" s="47" t="s">
        <v>136</v>
      </c>
      <c r="C309" s="48" t="n">
        <v>45474</v>
      </c>
      <c r="D309" s="47" t="s">
        <v>34</v>
      </c>
      <c r="E309" s="47" t="s">
        <v>42</v>
      </c>
      <c r="F309" s="49" t="n">
        <v>603950</v>
      </c>
      <c r="G309" s="49" t="n">
        <v>615973</v>
      </c>
      <c r="H309" s="49" t="n">
        <v>377167</v>
      </c>
      <c r="I309" s="49" t="n">
        <v>382550</v>
      </c>
      <c r="J309" s="49" t="n">
        <v>89687</v>
      </c>
      <c r="K309" s="49" t="n">
        <v>98132</v>
      </c>
      <c r="L309" s="50" t="n">
        <v>50.3</v>
      </c>
      <c r="M309" s="51" t="n">
        <f aca="false">G309-F309</f>
        <v>12023</v>
      </c>
      <c r="N309" s="52" t="n">
        <f aca="false">IF(F309=0,0,M309/F309)</f>
        <v>0.0199072770924745</v>
      </c>
      <c r="O309" s="51" t="n">
        <f aca="false">G309-I309</f>
        <v>233423</v>
      </c>
      <c r="P309" s="51" t="n">
        <f aca="false">F309-H309</f>
        <v>226783</v>
      </c>
      <c r="Q309" s="51" t="n">
        <f aca="false">F309-H309-J309</f>
        <v>137096</v>
      </c>
      <c r="R309" s="51" t="n">
        <f aca="false">G309-I309-K309</f>
        <v>135291</v>
      </c>
      <c r="S309" s="51" t="n">
        <f aca="false">R309-Q309</f>
        <v>-1805</v>
      </c>
      <c r="T309" s="52" t="n">
        <f aca="false">IF(Q309=0,0,S309/Q309)</f>
        <v>-0.0131659567018731</v>
      </c>
      <c r="U309" s="51" t="str">
        <f aca="false">IF(AND(Q309&gt;0,T309&lt;-0.15),"ADVERSE","")</f>
        <v/>
      </c>
    </row>
    <row r="310" customFormat="false" ht="15" hidden="false" customHeight="false" outlineLevel="0" collapsed="false">
      <c r="A310" s="47" t="s">
        <v>139</v>
      </c>
      <c r="B310" s="47" t="s">
        <v>136</v>
      </c>
      <c r="C310" s="48" t="n">
        <v>45505</v>
      </c>
      <c r="D310" s="47" t="s">
        <v>34</v>
      </c>
      <c r="E310" s="47" t="s">
        <v>42</v>
      </c>
      <c r="F310" s="49" t="n">
        <v>573786</v>
      </c>
      <c r="G310" s="49" t="n">
        <v>576267</v>
      </c>
      <c r="H310" s="49" t="n">
        <v>358329</v>
      </c>
      <c r="I310" s="49" t="n">
        <v>353726</v>
      </c>
      <c r="J310" s="49" t="n">
        <v>85207</v>
      </c>
      <c r="K310" s="49" t="n">
        <v>80620</v>
      </c>
      <c r="L310" s="50" t="n">
        <v>50</v>
      </c>
      <c r="M310" s="51" t="n">
        <f aca="false">G310-F310</f>
        <v>2481</v>
      </c>
      <c r="N310" s="52" t="n">
        <f aca="false">IF(F310=0,0,M310/F310)</f>
        <v>0.00432391170227228</v>
      </c>
      <c r="O310" s="51" t="n">
        <f aca="false">G310-I310</f>
        <v>222541</v>
      </c>
      <c r="P310" s="51" t="n">
        <f aca="false">F310-H310</f>
        <v>215457</v>
      </c>
      <c r="Q310" s="51" t="n">
        <f aca="false">F310-H310-J310</f>
        <v>130250</v>
      </c>
      <c r="R310" s="51" t="n">
        <f aca="false">G310-I310-K310</f>
        <v>141921</v>
      </c>
      <c r="S310" s="51" t="n">
        <f aca="false">R310-Q310</f>
        <v>11671</v>
      </c>
      <c r="T310" s="52" t="n">
        <f aca="false">IF(Q310=0,0,S310/Q310)</f>
        <v>0.0896046065259117</v>
      </c>
      <c r="U310" s="51" t="str">
        <f aca="false">IF(AND(Q310&gt;0,T310&lt;-0.15),"ADVERSE","")</f>
        <v/>
      </c>
    </row>
    <row r="311" customFormat="false" ht="15" hidden="false" customHeight="false" outlineLevel="0" collapsed="false">
      <c r="A311" s="47" t="s">
        <v>139</v>
      </c>
      <c r="B311" s="47" t="s">
        <v>136</v>
      </c>
      <c r="C311" s="48" t="n">
        <v>45536</v>
      </c>
      <c r="D311" s="47" t="s">
        <v>34</v>
      </c>
      <c r="E311" s="47" t="s">
        <v>42</v>
      </c>
      <c r="F311" s="49" t="n">
        <v>602011</v>
      </c>
      <c r="G311" s="49" t="n">
        <v>587561</v>
      </c>
      <c r="H311" s="49" t="n">
        <v>375956</v>
      </c>
      <c r="I311" s="49" t="n">
        <v>371955</v>
      </c>
      <c r="J311" s="49" t="n">
        <v>89399</v>
      </c>
      <c r="K311" s="49" t="n">
        <v>82693</v>
      </c>
      <c r="L311" s="50" t="n">
        <v>49.1</v>
      </c>
      <c r="M311" s="51" t="n">
        <f aca="false">G311-F311</f>
        <v>-14450</v>
      </c>
      <c r="N311" s="52" t="n">
        <f aca="false">IF(F311=0,0,M311/F311)</f>
        <v>-0.0240028836682386</v>
      </c>
      <c r="O311" s="51" t="n">
        <f aca="false">G311-I311</f>
        <v>215606</v>
      </c>
      <c r="P311" s="51" t="n">
        <f aca="false">F311-H311</f>
        <v>226055</v>
      </c>
      <c r="Q311" s="51" t="n">
        <f aca="false">F311-H311-J311</f>
        <v>136656</v>
      </c>
      <c r="R311" s="51" t="n">
        <f aca="false">G311-I311-K311</f>
        <v>132913</v>
      </c>
      <c r="S311" s="51" t="n">
        <f aca="false">R311-Q311</f>
        <v>-3743</v>
      </c>
      <c r="T311" s="52" t="n">
        <f aca="false">IF(Q311=0,0,S311/Q311)</f>
        <v>-0.0273899426296687</v>
      </c>
      <c r="U311" s="51" t="str">
        <f aca="false">IF(AND(Q311&gt;0,T311&lt;-0.15),"ADVERSE","")</f>
        <v/>
      </c>
    </row>
    <row r="312" customFormat="false" ht="15" hidden="false" customHeight="false" outlineLevel="0" collapsed="false">
      <c r="A312" s="47" t="s">
        <v>139</v>
      </c>
      <c r="B312" s="47" t="s">
        <v>137</v>
      </c>
      <c r="C312" s="48" t="n">
        <v>45566</v>
      </c>
      <c r="D312" s="47" t="s">
        <v>34</v>
      </c>
      <c r="E312" s="47" t="s">
        <v>42</v>
      </c>
      <c r="F312" s="49" t="n">
        <v>623838</v>
      </c>
      <c r="G312" s="49" t="n">
        <v>588836</v>
      </c>
      <c r="H312" s="49" t="n">
        <v>389587</v>
      </c>
      <c r="I312" s="49" t="n">
        <v>369263</v>
      </c>
      <c r="J312" s="49" t="n">
        <v>92640</v>
      </c>
      <c r="K312" s="49" t="n">
        <v>84582</v>
      </c>
      <c r="L312" s="50" t="n">
        <v>49.8</v>
      </c>
      <c r="M312" s="51" t="n">
        <f aca="false">G312-F312</f>
        <v>-35002</v>
      </c>
      <c r="N312" s="52" t="n">
        <f aca="false">IF(F312=0,0,M312/F312)</f>
        <v>-0.0561075150920592</v>
      </c>
      <c r="O312" s="51" t="n">
        <f aca="false">G312-I312</f>
        <v>219573</v>
      </c>
      <c r="P312" s="51" t="n">
        <f aca="false">F312-H312</f>
        <v>234251</v>
      </c>
      <c r="Q312" s="51" t="n">
        <f aca="false">F312-H312-J312</f>
        <v>141611</v>
      </c>
      <c r="R312" s="51" t="n">
        <f aca="false">G312-I312-K312</f>
        <v>134991</v>
      </c>
      <c r="S312" s="51" t="n">
        <f aca="false">R312-Q312</f>
        <v>-6620</v>
      </c>
      <c r="T312" s="52" t="n">
        <f aca="false">IF(Q312=0,0,S312/Q312)</f>
        <v>-0.0467477808927273</v>
      </c>
      <c r="U312" s="51" t="str">
        <f aca="false">IF(AND(Q312&gt;0,T312&lt;-0.15),"ADVERSE","")</f>
        <v/>
      </c>
    </row>
    <row r="313" customFormat="false" ht="15" hidden="false" customHeight="false" outlineLevel="0" collapsed="false">
      <c r="A313" s="47" t="s">
        <v>139</v>
      </c>
      <c r="B313" s="47" t="s">
        <v>137</v>
      </c>
      <c r="C313" s="48" t="n">
        <v>45597</v>
      </c>
      <c r="D313" s="47" t="s">
        <v>34</v>
      </c>
      <c r="E313" s="47" t="s">
        <v>42</v>
      </c>
      <c r="F313" s="49" t="n">
        <v>618877</v>
      </c>
      <c r="G313" s="49" t="n">
        <v>612819</v>
      </c>
      <c r="H313" s="49" t="n">
        <v>386489</v>
      </c>
      <c r="I313" s="49" t="n">
        <v>387846</v>
      </c>
      <c r="J313" s="49" t="n">
        <v>91903</v>
      </c>
      <c r="K313" s="49" t="n">
        <v>88853</v>
      </c>
      <c r="L313" s="50" t="n">
        <v>50.4</v>
      </c>
      <c r="M313" s="51" t="n">
        <f aca="false">G313-F313</f>
        <v>-6058</v>
      </c>
      <c r="N313" s="52" t="n">
        <f aca="false">IF(F313=0,0,M313/F313)</f>
        <v>-0.00978869791574093</v>
      </c>
      <c r="O313" s="51" t="n">
        <f aca="false">G313-I313</f>
        <v>224973</v>
      </c>
      <c r="P313" s="51" t="n">
        <f aca="false">F313-H313</f>
        <v>232388</v>
      </c>
      <c r="Q313" s="51" t="n">
        <f aca="false">F313-H313-J313</f>
        <v>140485</v>
      </c>
      <c r="R313" s="51" t="n">
        <f aca="false">G313-I313-K313</f>
        <v>136120</v>
      </c>
      <c r="S313" s="51" t="n">
        <f aca="false">R313-Q313</f>
        <v>-4365</v>
      </c>
      <c r="T313" s="52" t="n">
        <f aca="false">IF(Q313=0,0,S313/Q313)</f>
        <v>-0.031070932839805</v>
      </c>
      <c r="U313" s="51" t="str">
        <f aca="false">IF(AND(Q313&gt;0,T313&lt;-0.15),"ADVERSE","")</f>
        <v/>
      </c>
    </row>
    <row r="314" customFormat="false" ht="15" hidden="false" customHeight="false" outlineLevel="0" collapsed="false">
      <c r="A314" s="47" t="s">
        <v>139</v>
      </c>
      <c r="B314" s="47" t="s">
        <v>137</v>
      </c>
      <c r="C314" s="48" t="n">
        <v>45627</v>
      </c>
      <c r="D314" s="47" t="s">
        <v>34</v>
      </c>
      <c r="E314" s="47" t="s">
        <v>42</v>
      </c>
      <c r="F314" s="49" t="n">
        <v>616738</v>
      </c>
      <c r="G314" s="49" t="n">
        <v>574751</v>
      </c>
      <c r="H314" s="49" t="n">
        <v>385153</v>
      </c>
      <c r="I314" s="49" t="n">
        <v>363795</v>
      </c>
      <c r="J314" s="49" t="n">
        <v>91586</v>
      </c>
      <c r="K314" s="49" t="n">
        <v>87796</v>
      </c>
      <c r="L314" s="50" t="n">
        <v>51.4</v>
      </c>
      <c r="M314" s="51" t="n">
        <f aca="false">G314-F314</f>
        <v>-41987</v>
      </c>
      <c r="N314" s="52" t="n">
        <f aca="false">IF(F314=0,0,M314/F314)</f>
        <v>-0.0680791519251287</v>
      </c>
      <c r="O314" s="51" t="n">
        <f aca="false">G314-I314</f>
        <v>210956</v>
      </c>
      <c r="P314" s="51" t="n">
        <f aca="false">F314-H314</f>
        <v>231585</v>
      </c>
      <c r="Q314" s="51" t="n">
        <f aca="false">F314-H314-J314</f>
        <v>139999</v>
      </c>
      <c r="R314" s="51" t="n">
        <f aca="false">G314-I314-K314</f>
        <v>123160</v>
      </c>
      <c r="S314" s="51" t="n">
        <f aca="false">R314-Q314</f>
        <v>-16839</v>
      </c>
      <c r="T314" s="52" t="n">
        <f aca="false">IF(Q314=0,0,S314/Q314)</f>
        <v>-0.120279430567361</v>
      </c>
      <c r="U314" s="51" t="str">
        <f aca="false">IF(AND(Q314&gt;0,T314&lt;-0.15),"ADVERSE","")</f>
        <v/>
      </c>
    </row>
    <row r="315" customFormat="false" ht="15" hidden="false" customHeight="false" outlineLevel="0" collapsed="false">
      <c r="A315" s="47" t="s">
        <v>139</v>
      </c>
      <c r="B315" s="47" t="s">
        <v>138</v>
      </c>
      <c r="C315" s="48" t="n">
        <v>45658</v>
      </c>
      <c r="D315" s="47" t="s">
        <v>34</v>
      </c>
      <c r="E315" s="47" t="s">
        <v>42</v>
      </c>
      <c r="F315" s="49" t="n">
        <v>603453</v>
      </c>
      <c r="G315" s="49" t="n">
        <v>607761</v>
      </c>
      <c r="H315" s="49" t="n">
        <v>376856</v>
      </c>
      <c r="I315" s="49" t="n">
        <v>387976</v>
      </c>
      <c r="J315" s="49" t="n">
        <v>89613</v>
      </c>
      <c r="K315" s="49" t="n">
        <v>88505</v>
      </c>
      <c r="L315" s="50" t="n">
        <v>50.2</v>
      </c>
      <c r="M315" s="51" t="n">
        <f aca="false">G315-F315</f>
        <v>4308</v>
      </c>
      <c r="N315" s="52" t="n">
        <f aca="false">IF(F315=0,0,M315/F315)</f>
        <v>0.00713891554106119</v>
      </c>
      <c r="O315" s="51" t="n">
        <f aca="false">G315-I315</f>
        <v>219785</v>
      </c>
      <c r="P315" s="51" t="n">
        <f aca="false">F315-H315</f>
        <v>226597</v>
      </c>
      <c r="Q315" s="51" t="n">
        <f aca="false">F315-H315-J315</f>
        <v>136984</v>
      </c>
      <c r="R315" s="51" t="n">
        <f aca="false">G315-I315-K315</f>
        <v>131280</v>
      </c>
      <c r="S315" s="51" t="n">
        <f aca="false">R315-Q315</f>
        <v>-5704</v>
      </c>
      <c r="T315" s="52" t="n">
        <f aca="false">IF(Q315=0,0,S315/Q315)</f>
        <v>-0.0416398995503124</v>
      </c>
      <c r="U315" s="51" t="str">
        <f aca="false">IF(AND(Q315&gt;0,T315&lt;-0.15),"ADVERSE","")</f>
        <v/>
      </c>
    </row>
    <row r="316" customFormat="false" ht="15" hidden="false" customHeight="false" outlineLevel="0" collapsed="false">
      <c r="A316" s="47" t="s">
        <v>139</v>
      </c>
      <c r="B316" s="47" t="s">
        <v>138</v>
      </c>
      <c r="C316" s="48" t="n">
        <v>45689</v>
      </c>
      <c r="D316" s="47" t="s">
        <v>34</v>
      </c>
      <c r="E316" s="47" t="s">
        <v>42</v>
      </c>
      <c r="F316" s="49" t="n">
        <v>601882</v>
      </c>
      <c r="G316" s="49" t="n">
        <v>614869</v>
      </c>
      <c r="H316" s="49" t="n">
        <v>375875</v>
      </c>
      <c r="I316" s="49" t="n">
        <v>375602</v>
      </c>
      <c r="J316" s="49" t="n">
        <v>89379</v>
      </c>
      <c r="K316" s="49" t="n">
        <v>90534</v>
      </c>
      <c r="L316" s="50" t="n">
        <v>51.8</v>
      </c>
      <c r="M316" s="51" t="n">
        <f aca="false">G316-F316</f>
        <v>12987</v>
      </c>
      <c r="N316" s="52" t="n">
        <f aca="false">IF(F316=0,0,M316/F316)</f>
        <v>0.0215773191422904</v>
      </c>
      <c r="O316" s="51" t="n">
        <f aca="false">G316-I316</f>
        <v>239267</v>
      </c>
      <c r="P316" s="51" t="n">
        <f aca="false">F316-H316</f>
        <v>226007</v>
      </c>
      <c r="Q316" s="51" t="n">
        <f aca="false">F316-H316-J316</f>
        <v>136628</v>
      </c>
      <c r="R316" s="51" t="n">
        <f aca="false">G316-I316-K316</f>
        <v>148733</v>
      </c>
      <c r="S316" s="51" t="n">
        <f aca="false">R316-Q316</f>
        <v>12105</v>
      </c>
      <c r="T316" s="52" t="n">
        <f aca="false">IF(Q316=0,0,S316/Q316)</f>
        <v>0.0885982375501361</v>
      </c>
      <c r="U316" s="51" t="str">
        <f aca="false">IF(AND(Q316&gt;0,T316&lt;-0.15),"ADVERSE","")</f>
        <v/>
      </c>
    </row>
    <row r="317" customFormat="false" ht="15" hidden="false" customHeight="false" outlineLevel="0" collapsed="false">
      <c r="A317" s="47" t="s">
        <v>139</v>
      </c>
      <c r="B317" s="47" t="s">
        <v>138</v>
      </c>
      <c r="C317" s="48" t="n">
        <v>45717</v>
      </c>
      <c r="D317" s="47" t="s">
        <v>34</v>
      </c>
      <c r="E317" s="47" t="s">
        <v>42</v>
      </c>
      <c r="F317" s="49" t="n">
        <v>662507</v>
      </c>
      <c r="G317" s="49" t="n">
        <v>628893</v>
      </c>
      <c r="H317" s="49" t="n">
        <v>413735</v>
      </c>
      <c r="I317" s="49" t="n">
        <v>394566</v>
      </c>
      <c r="J317" s="49" t="n">
        <v>98382</v>
      </c>
      <c r="K317" s="49" t="n">
        <v>89264</v>
      </c>
      <c r="L317" s="50" t="n">
        <v>51.5</v>
      </c>
      <c r="M317" s="51" t="n">
        <f aca="false">G317-F317</f>
        <v>-33614</v>
      </c>
      <c r="N317" s="52" t="n">
        <f aca="false">IF(F317=0,0,M317/F317)</f>
        <v>-0.0507375771123928</v>
      </c>
      <c r="O317" s="51" t="n">
        <f aca="false">G317-I317</f>
        <v>234327</v>
      </c>
      <c r="P317" s="51" t="n">
        <f aca="false">F317-H317</f>
        <v>248772</v>
      </c>
      <c r="Q317" s="51" t="n">
        <f aca="false">F317-H317-J317</f>
        <v>150390</v>
      </c>
      <c r="R317" s="51" t="n">
        <f aca="false">G317-I317-K317</f>
        <v>145063</v>
      </c>
      <c r="S317" s="51" t="n">
        <f aca="false">R317-Q317</f>
        <v>-5327</v>
      </c>
      <c r="T317" s="52" t="n">
        <f aca="false">IF(Q317=0,0,S317/Q317)</f>
        <v>-0.0354212381142363</v>
      </c>
      <c r="U317" s="51" t="str">
        <f aca="false">IF(AND(Q317&gt;0,T317&lt;-0.15),"ADVERSE","")</f>
        <v/>
      </c>
    </row>
    <row r="318" customFormat="false" ht="15" hidden="false" customHeight="false" outlineLevel="0" collapsed="false">
      <c r="A318" s="47" t="s">
        <v>3</v>
      </c>
      <c r="B318" s="47" t="s">
        <v>135</v>
      </c>
      <c r="C318" s="48" t="n">
        <v>45748</v>
      </c>
      <c r="D318" s="47" t="s">
        <v>34</v>
      </c>
      <c r="E318" s="47" t="s">
        <v>42</v>
      </c>
      <c r="F318" s="49" t="n">
        <v>632442</v>
      </c>
      <c r="G318" s="49" t="n">
        <v>605809</v>
      </c>
      <c r="H318" s="49" t="n">
        <v>394960</v>
      </c>
      <c r="I318" s="49" t="n">
        <v>382610</v>
      </c>
      <c r="J318" s="49" t="n">
        <v>93918</v>
      </c>
      <c r="K318" s="49" t="n">
        <v>101510</v>
      </c>
      <c r="L318" s="50" t="n">
        <v>50.6</v>
      </c>
      <c r="M318" s="51" t="n">
        <f aca="false">G318-F318</f>
        <v>-26633</v>
      </c>
      <c r="N318" s="52" t="n">
        <f aca="false">IF(F318=0,0,M318/F318)</f>
        <v>-0.0421113714775426</v>
      </c>
      <c r="O318" s="51" t="n">
        <f aca="false">G318-I318</f>
        <v>223199</v>
      </c>
      <c r="P318" s="51" t="n">
        <f aca="false">F318-H318</f>
        <v>237482</v>
      </c>
      <c r="Q318" s="51" t="n">
        <f aca="false">F318-H318-J318</f>
        <v>143564</v>
      </c>
      <c r="R318" s="51" t="n">
        <f aca="false">G318-I318-K318</f>
        <v>121689</v>
      </c>
      <c r="S318" s="51" t="n">
        <f aca="false">R318-Q318</f>
        <v>-21875</v>
      </c>
      <c r="T318" s="52" t="n">
        <f aca="false">IF(Q318=0,0,S318/Q318)</f>
        <v>-0.152371067955755</v>
      </c>
      <c r="U318" s="51" t="str">
        <f aca="false">IF(AND(Q318&gt;0,T318&lt;-0.15),"ADVERSE","")</f>
        <v>ADVERSE</v>
      </c>
    </row>
    <row r="319" customFormat="false" ht="15" hidden="false" customHeight="false" outlineLevel="0" collapsed="false">
      <c r="A319" s="47" t="s">
        <v>3</v>
      </c>
      <c r="B319" s="47" t="s">
        <v>135</v>
      </c>
      <c r="C319" s="48" t="n">
        <v>45778</v>
      </c>
      <c r="D319" s="47" t="s">
        <v>34</v>
      </c>
      <c r="E319" s="47" t="s">
        <v>42</v>
      </c>
      <c r="F319" s="49" t="n">
        <v>638388</v>
      </c>
      <c r="G319" s="49" t="n">
        <v>559145</v>
      </c>
      <c r="H319" s="49" t="n">
        <v>398673</v>
      </c>
      <c r="I319" s="49" t="n">
        <v>357527</v>
      </c>
      <c r="J319" s="49" t="n">
        <v>94801</v>
      </c>
      <c r="K319" s="49" t="n">
        <v>92303</v>
      </c>
      <c r="L319" s="50" t="n">
        <v>51.4</v>
      </c>
      <c r="M319" s="51" t="n">
        <f aca="false">G319-F319</f>
        <v>-79243</v>
      </c>
      <c r="N319" s="52" t="n">
        <f aca="false">IF(F319=0,0,M319/F319)</f>
        <v>-0.124129839533325</v>
      </c>
      <c r="O319" s="51" t="n">
        <f aca="false">G319-I319</f>
        <v>201618</v>
      </c>
      <c r="P319" s="51" t="n">
        <f aca="false">F319-H319</f>
        <v>239715</v>
      </c>
      <c r="Q319" s="51" t="n">
        <f aca="false">F319-H319-J319</f>
        <v>144914</v>
      </c>
      <c r="R319" s="51" t="n">
        <f aca="false">G319-I319-K319</f>
        <v>109315</v>
      </c>
      <c r="S319" s="51" t="n">
        <f aca="false">R319-Q319</f>
        <v>-35599</v>
      </c>
      <c r="T319" s="52" t="n">
        <f aca="false">IF(Q319=0,0,S319/Q319)</f>
        <v>-0.245656044274535</v>
      </c>
      <c r="U319" s="51" t="str">
        <f aca="false">IF(AND(Q319&gt;0,T319&lt;-0.15),"ADVERSE","")</f>
        <v>ADVERSE</v>
      </c>
    </row>
    <row r="320" customFormat="false" ht="15" hidden="false" customHeight="false" outlineLevel="0" collapsed="false">
      <c r="A320" s="47" t="s">
        <v>3</v>
      </c>
      <c r="B320" s="47" t="s">
        <v>135</v>
      </c>
      <c r="C320" s="48" t="n">
        <v>45809</v>
      </c>
      <c r="D320" s="47" t="s">
        <v>34</v>
      </c>
      <c r="E320" s="47" t="s">
        <v>42</v>
      </c>
      <c r="F320" s="49" t="n">
        <v>653364</v>
      </c>
      <c r="G320" s="49" t="n">
        <v>616324</v>
      </c>
      <c r="H320" s="49" t="n">
        <v>408026</v>
      </c>
      <c r="I320" s="49" t="n">
        <v>396856</v>
      </c>
      <c r="J320" s="49" t="n">
        <v>97025</v>
      </c>
      <c r="K320" s="49" t="n">
        <v>97784</v>
      </c>
      <c r="L320" s="50" t="n">
        <v>52.5</v>
      </c>
      <c r="M320" s="51" t="n">
        <f aca="false">G320-F320</f>
        <v>-37040</v>
      </c>
      <c r="N320" s="52" t="n">
        <f aca="false">IF(F320=0,0,M320/F320)</f>
        <v>-0.0566912165347341</v>
      </c>
      <c r="O320" s="51" t="n">
        <f aca="false">G320-I320</f>
        <v>219468</v>
      </c>
      <c r="P320" s="51" t="n">
        <f aca="false">F320-H320</f>
        <v>245338</v>
      </c>
      <c r="Q320" s="51" t="n">
        <f aca="false">F320-H320-J320</f>
        <v>148313</v>
      </c>
      <c r="R320" s="51" t="n">
        <f aca="false">G320-I320-K320</f>
        <v>121684</v>
      </c>
      <c r="S320" s="51" t="n">
        <f aca="false">R320-Q320</f>
        <v>-26629</v>
      </c>
      <c r="T320" s="52" t="n">
        <f aca="false">IF(Q320=0,0,S320/Q320)</f>
        <v>-0.179545960232751</v>
      </c>
      <c r="U320" s="51" t="str">
        <f aca="false">IF(AND(Q320&gt;0,T320&lt;-0.15),"ADVERSE","")</f>
        <v>ADVERSE</v>
      </c>
    </row>
    <row r="321" customFormat="false" ht="15" hidden="false" customHeight="false" outlineLevel="0" collapsed="false">
      <c r="A321" s="47" t="s">
        <v>3</v>
      </c>
      <c r="B321" s="47" t="s">
        <v>136</v>
      </c>
      <c r="C321" s="48" t="n">
        <v>45839</v>
      </c>
      <c r="D321" s="47" t="s">
        <v>34</v>
      </c>
      <c r="E321" s="47" t="s">
        <v>42</v>
      </c>
      <c r="F321" s="49" t="n">
        <v>663366</v>
      </c>
      <c r="G321" s="49" t="n">
        <v>605552</v>
      </c>
      <c r="H321" s="49" t="n">
        <v>414272</v>
      </c>
      <c r="I321" s="49" t="n">
        <v>390749</v>
      </c>
      <c r="J321" s="49" t="n">
        <v>98510</v>
      </c>
      <c r="K321" s="49" t="n">
        <v>89851</v>
      </c>
      <c r="L321" s="50" t="n">
        <v>52.7</v>
      </c>
      <c r="M321" s="51" t="n">
        <f aca="false">G321-F321</f>
        <v>-57814</v>
      </c>
      <c r="N321" s="52" t="n">
        <f aca="false">IF(F321=0,0,M321/F321)</f>
        <v>-0.0871524919878318</v>
      </c>
      <c r="O321" s="51" t="n">
        <f aca="false">G321-I321</f>
        <v>214803</v>
      </c>
      <c r="P321" s="51" t="n">
        <f aca="false">F321-H321</f>
        <v>249094</v>
      </c>
      <c r="Q321" s="51" t="n">
        <f aca="false">F321-H321-J321</f>
        <v>150584</v>
      </c>
      <c r="R321" s="51" t="n">
        <f aca="false">G321-I321-K321</f>
        <v>124952</v>
      </c>
      <c r="S321" s="51" t="n">
        <f aca="false">R321-Q321</f>
        <v>-25632</v>
      </c>
      <c r="T321" s="52" t="n">
        <f aca="false">IF(Q321=0,0,S321/Q321)</f>
        <v>-0.170217287361207</v>
      </c>
      <c r="U321" s="51" t="str">
        <f aca="false">IF(AND(Q321&gt;0,T321&lt;-0.15),"ADVERSE","")</f>
        <v>ADVERSE</v>
      </c>
    </row>
    <row r="322" customFormat="false" ht="15" hidden="false" customHeight="false" outlineLevel="0" collapsed="false">
      <c r="A322" s="47" t="s">
        <v>3</v>
      </c>
      <c r="B322" s="47" t="s">
        <v>136</v>
      </c>
      <c r="C322" s="48" t="n">
        <v>45870</v>
      </c>
      <c r="D322" s="47" t="s">
        <v>34</v>
      </c>
      <c r="E322" s="47" t="s">
        <v>42</v>
      </c>
      <c r="F322" s="49" t="n">
        <v>647212</v>
      </c>
      <c r="G322" s="49" t="n">
        <v>619448</v>
      </c>
      <c r="H322" s="49" t="n">
        <v>404184</v>
      </c>
      <c r="I322" s="49" t="n">
        <v>396145</v>
      </c>
      <c r="J322" s="49" t="n">
        <v>96111</v>
      </c>
      <c r="K322" s="49" t="n">
        <v>93793</v>
      </c>
      <c r="L322" s="50" t="n">
        <v>54.4</v>
      </c>
      <c r="M322" s="51" t="n">
        <f aca="false">G322-F322</f>
        <v>-27764</v>
      </c>
      <c r="N322" s="52" t="n">
        <f aca="false">IF(F322=0,0,M322/F322)</f>
        <v>-0.0428978449101685</v>
      </c>
      <c r="O322" s="51" t="n">
        <f aca="false">G322-I322</f>
        <v>223303</v>
      </c>
      <c r="P322" s="51" t="n">
        <f aca="false">F322-H322</f>
        <v>243028</v>
      </c>
      <c r="Q322" s="51" t="n">
        <f aca="false">F322-H322-J322</f>
        <v>146917</v>
      </c>
      <c r="R322" s="51" t="n">
        <f aca="false">G322-I322-K322</f>
        <v>129510</v>
      </c>
      <c r="S322" s="51" t="n">
        <f aca="false">R322-Q322</f>
        <v>-17407</v>
      </c>
      <c r="T322" s="52" t="n">
        <f aca="false">IF(Q322=0,0,S322/Q322)</f>
        <v>-0.118481863909554</v>
      </c>
      <c r="U322" s="51" t="str">
        <f aca="false">IF(AND(Q322&gt;0,T322&lt;-0.15),"ADVERSE","")</f>
        <v/>
      </c>
    </row>
    <row r="323" customFormat="false" ht="15" hidden="false" customHeight="false" outlineLevel="0" collapsed="false">
      <c r="A323" s="47" t="s">
        <v>3</v>
      </c>
      <c r="B323" s="47" t="s">
        <v>136</v>
      </c>
      <c r="C323" s="48" t="n">
        <v>45901</v>
      </c>
      <c r="D323" s="47" t="s">
        <v>34</v>
      </c>
      <c r="E323" s="47" t="s">
        <v>42</v>
      </c>
      <c r="F323" s="49" t="n">
        <v>648938</v>
      </c>
      <c r="G323" s="49" t="n">
        <v>596111</v>
      </c>
      <c r="H323" s="49" t="n">
        <v>405262</v>
      </c>
      <c r="I323" s="49" t="n">
        <v>385938</v>
      </c>
      <c r="J323" s="49" t="n">
        <v>96367</v>
      </c>
      <c r="K323" s="49" t="n">
        <v>92638</v>
      </c>
      <c r="L323" s="50" t="n">
        <v>52.5</v>
      </c>
      <c r="M323" s="51" t="n">
        <f aca="false">G323-F323</f>
        <v>-52827</v>
      </c>
      <c r="N323" s="52" t="n">
        <f aca="false">IF(F323=0,0,M323/F323)</f>
        <v>-0.0814053114473185</v>
      </c>
      <c r="O323" s="51" t="n">
        <f aca="false">G323-I323</f>
        <v>210173</v>
      </c>
      <c r="P323" s="51" t="n">
        <f aca="false">F323-H323</f>
        <v>243676</v>
      </c>
      <c r="Q323" s="51" t="n">
        <f aca="false">F323-H323-J323</f>
        <v>147309</v>
      </c>
      <c r="R323" s="51" t="n">
        <f aca="false">G323-I323-K323</f>
        <v>117535</v>
      </c>
      <c r="S323" s="51" t="n">
        <f aca="false">R323-Q323</f>
        <v>-29774</v>
      </c>
      <c r="T323" s="52" t="n">
        <f aca="false">IF(Q323=0,0,S323/Q323)</f>
        <v>-0.202119354554033</v>
      </c>
      <c r="U323" s="51" t="str">
        <f aca="false">IF(AND(Q323&gt;0,T323&lt;-0.15),"ADVERSE","")</f>
        <v>ADVERSE</v>
      </c>
    </row>
    <row r="324" customFormat="false" ht="15" hidden="false" customHeight="false" outlineLevel="0" collapsed="false">
      <c r="A324" s="47" t="s">
        <v>3</v>
      </c>
      <c r="B324" s="47" t="s">
        <v>137</v>
      </c>
      <c r="C324" s="48" t="n">
        <v>45931</v>
      </c>
      <c r="D324" s="47" t="s">
        <v>34</v>
      </c>
      <c r="E324" s="47" t="s">
        <v>42</v>
      </c>
      <c r="F324" s="49" t="n">
        <v>666056</v>
      </c>
      <c r="G324" s="49" t="n">
        <v>609599</v>
      </c>
      <c r="H324" s="49" t="n">
        <v>415952</v>
      </c>
      <c r="I324" s="49" t="n">
        <v>389303</v>
      </c>
      <c r="J324" s="49" t="n">
        <v>98909</v>
      </c>
      <c r="K324" s="49" t="n">
        <v>98778</v>
      </c>
      <c r="L324" s="50" t="n">
        <v>52.3</v>
      </c>
      <c r="M324" s="51" t="n">
        <f aca="false">G324-F324</f>
        <v>-56457</v>
      </c>
      <c r="N324" s="52" t="n">
        <f aca="false">IF(F324=0,0,M324/F324)</f>
        <v>-0.0847631430390237</v>
      </c>
      <c r="O324" s="51" t="n">
        <f aca="false">G324-I324</f>
        <v>220296</v>
      </c>
      <c r="P324" s="51" t="n">
        <f aca="false">F324-H324</f>
        <v>250104</v>
      </c>
      <c r="Q324" s="51" t="n">
        <f aca="false">F324-H324-J324</f>
        <v>151195</v>
      </c>
      <c r="R324" s="51" t="n">
        <f aca="false">G324-I324-K324</f>
        <v>121518</v>
      </c>
      <c r="S324" s="51" t="n">
        <f aca="false">R324-Q324</f>
        <v>-29677</v>
      </c>
      <c r="T324" s="52" t="n">
        <f aca="false">IF(Q324=0,0,S324/Q324)</f>
        <v>-0.196282945864612</v>
      </c>
      <c r="U324" s="51" t="str">
        <f aca="false">IF(AND(Q324&gt;0,T324&lt;-0.15),"ADVERSE","")</f>
        <v>ADVERSE</v>
      </c>
    </row>
    <row r="325" customFormat="false" ht="15" hidden="false" customHeight="false" outlineLevel="0" collapsed="false">
      <c r="A325" s="47" t="s">
        <v>3</v>
      </c>
      <c r="B325" s="47" t="s">
        <v>137</v>
      </c>
      <c r="C325" s="48" t="n">
        <v>45962</v>
      </c>
      <c r="D325" s="47" t="s">
        <v>34</v>
      </c>
      <c r="E325" s="47" t="s">
        <v>42</v>
      </c>
      <c r="F325" s="49" t="n">
        <v>672998</v>
      </c>
      <c r="G325" s="49" t="n">
        <v>662167</v>
      </c>
      <c r="H325" s="49" t="n">
        <v>420287</v>
      </c>
      <c r="I325" s="49" t="n">
        <v>426770</v>
      </c>
      <c r="J325" s="49" t="n">
        <v>99940</v>
      </c>
      <c r="K325" s="49" t="n">
        <v>101019</v>
      </c>
      <c r="L325" s="50" t="n">
        <v>51.4</v>
      </c>
      <c r="M325" s="51" t="n">
        <f aca="false">G325-F325</f>
        <v>-10831</v>
      </c>
      <c r="N325" s="52" t="n">
        <f aca="false">IF(F325=0,0,M325/F325)</f>
        <v>-0.0160936585249882</v>
      </c>
      <c r="O325" s="51" t="n">
        <f aca="false">G325-I325</f>
        <v>235397</v>
      </c>
      <c r="P325" s="51" t="n">
        <f aca="false">F325-H325</f>
        <v>252711</v>
      </c>
      <c r="Q325" s="51" t="n">
        <f aca="false">F325-H325-J325</f>
        <v>152771</v>
      </c>
      <c r="R325" s="51" t="n">
        <f aca="false">G325-I325-K325</f>
        <v>134378</v>
      </c>
      <c r="S325" s="51" t="n">
        <f aca="false">R325-Q325</f>
        <v>-18393</v>
      </c>
      <c r="T325" s="52" t="n">
        <f aca="false">IF(Q325=0,0,S325/Q325)</f>
        <v>-0.120395886653881</v>
      </c>
      <c r="U325" s="51" t="str">
        <f aca="false">IF(AND(Q325&gt;0,T325&lt;-0.15),"ADVERSE","")</f>
        <v/>
      </c>
    </row>
    <row r="326" customFormat="false" ht="15" hidden="false" customHeight="false" outlineLevel="0" collapsed="false">
      <c r="A326" s="47" t="s">
        <v>3</v>
      </c>
      <c r="B326" s="47" t="s">
        <v>137</v>
      </c>
      <c r="C326" s="48" t="n">
        <v>45992</v>
      </c>
      <c r="D326" s="47" t="s">
        <v>34</v>
      </c>
      <c r="E326" s="47" t="s">
        <v>42</v>
      </c>
      <c r="F326" s="49" t="n">
        <v>659996</v>
      </c>
      <c r="G326" s="49" t="n">
        <v>599134</v>
      </c>
      <c r="H326" s="49" t="n">
        <v>412168</v>
      </c>
      <c r="I326" s="49" t="n">
        <v>394646</v>
      </c>
      <c r="J326" s="49" t="n">
        <v>98009</v>
      </c>
      <c r="K326" s="49" t="n">
        <v>90044</v>
      </c>
      <c r="L326" s="50" t="n">
        <v>52</v>
      </c>
      <c r="M326" s="51" t="n">
        <f aca="false">G326-F326</f>
        <v>-60862</v>
      </c>
      <c r="N326" s="52" t="n">
        <f aca="false">IF(F326=0,0,M326/F326)</f>
        <v>-0.0922157103982448</v>
      </c>
      <c r="O326" s="51" t="n">
        <f aca="false">G326-I326</f>
        <v>204488</v>
      </c>
      <c r="P326" s="51" t="n">
        <f aca="false">F326-H326</f>
        <v>247828</v>
      </c>
      <c r="Q326" s="51" t="n">
        <f aca="false">F326-H326-J326</f>
        <v>149819</v>
      </c>
      <c r="R326" s="51" t="n">
        <f aca="false">G326-I326-K326</f>
        <v>114444</v>
      </c>
      <c r="S326" s="51" t="n">
        <f aca="false">R326-Q326</f>
        <v>-35375</v>
      </c>
      <c r="T326" s="52" t="n">
        <f aca="false">IF(Q326=0,0,S326/Q326)</f>
        <v>-0.236118249354221</v>
      </c>
      <c r="U326" s="51" t="str">
        <f aca="false">IF(AND(Q326&gt;0,T326&lt;-0.15),"ADVERSE","")</f>
        <v>ADVERSE</v>
      </c>
    </row>
    <row r="327" customFormat="false" ht="15" hidden="false" customHeight="false" outlineLevel="0" collapsed="false">
      <c r="A327" s="47" t="s">
        <v>3</v>
      </c>
      <c r="B327" s="47" t="s">
        <v>138</v>
      </c>
      <c r="C327" s="48" t="n">
        <v>46023</v>
      </c>
      <c r="D327" s="47" t="s">
        <v>34</v>
      </c>
      <c r="E327" s="47" t="s">
        <v>42</v>
      </c>
      <c r="F327" s="49" t="n">
        <v>644652</v>
      </c>
      <c r="G327" s="49" t="n">
        <v>638564</v>
      </c>
      <c r="H327" s="49" t="n">
        <v>402585</v>
      </c>
      <c r="I327" s="49" t="n">
        <v>413599</v>
      </c>
      <c r="J327" s="49" t="n">
        <v>95731</v>
      </c>
      <c r="K327" s="49" t="n">
        <v>92172</v>
      </c>
      <c r="L327" s="50" t="n">
        <v>52.1</v>
      </c>
      <c r="M327" s="51" t="n">
        <f aca="false">G327-F327</f>
        <v>-6088</v>
      </c>
      <c r="N327" s="52" t="n">
        <f aca="false">IF(F327=0,0,M327/F327)</f>
        <v>-0.00944385497912052</v>
      </c>
      <c r="O327" s="51" t="n">
        <f aca="false">G327-I327</f>
        <v>224965</v>
      </c>
      <c r="P327" s="51" t="n">
        <f aca="false">F327-H327</f>
        <v>242067</v>
      </c>
      <c r="Q327" s="51" t="n">
        <f aca="false">F327-H327-J327</f>
        <v>146336</v>
      </c>
      <c r="R327" s="51" t="n">
        <f aca="false">G327-I327-K327</f>
        <v>132793</v>
      </c>
      <c r="S327" s="51" t="n">
        <f aca="false">R327-Q327</f>
        <v>-13543</v>
      </c>
      <c r="T327" s="52" t="n">
        <f aca="false">IF(Q327=0,0,S327/Q327)</f>
        <v>-0.0925472884321015</v>
      </c>
      <c r="U327" s="51" t="str">
        <f aca="false">IF(AND(Q327&gt;0,T327&lt;-0.15),"ADVERSE","")</f>
        <v/>
      </c>
    </row>
    <row r="328" customFormat="false" ht="15" hidden="false" customHeight="false" outlineLevel="0" collapsed="false">
      <c r="A328" s="47" t="s">
        <v>3</v>
      </c>
      <c r="B328" s="47" t="s">
        <v>138</v>
      </c>
      <c r="C328" s="48" t="n">
        <v>46054</v>
      </c>
      <c r="D328" s="47" t="s">
        <v>34</v>
      </c>
      <c r="E328" s="47" t="s">
        <v>42</v>
      </c>
      <c r="F328" s="49" t="n">
        <v>648171</v>
      </c>
      <c r="G328" s="49" t="n">
        <v>629215</v>
      </c>
      <c r="H328" s="49" t="n">
        <v>404783</v>
      </c>
      <c r="I328" s="49" t="n">
        <v>405479</v>
      </c>
      <c r="J328" s="49" t="n">
        <v>96253</v>
      </c>
      <c r="K328" s="49" t="n">
        <v>99541</v>
      </c>
      <c r="L328" s="50" t="n">
        <v>52.6</v>
      </c>
      <c r="M328" s="51" t="n">
        <f aca="false">G328-F328</f>
        <v>-18956</v>
      </c>
      <c r="N328" s="52" t="n">
        <f aca="false">IF(F328=0,0,M328/F328)</f>
        <v>-0.0292453688918511</v>
      </c>
      <c r="O328" s="51" t="n">
        <f aca="false">G328-I328</f>
        <v>223736</v>
      </c>
      <c r="P328" s="51" t="n">
        <f aca="false">F328-H328</f>
        <v>243388</v>
      </c>
      <c r="Q328" s="51" t="n">
        <f aca="false">F328-H328-J328</f>
        <v>147135</v>
      </c>
      <c r="R328" s="51" t="n">
        <f aca="false">G328-I328-K328</f>
        <v>124195</v>
      </c>
      <c r="S328" s="51" t="n">
        <f aca="false">R328-Q328</f>
        <v>-22940</v>
      </c>
      <c r="T328" s="52" t="n">
        <f aca="false">IF(Q328=0,0,S328/Q328)</f>
        <v>-0.155911237978727</v>
      </c>
      <c r="U328" s="51" t="str">
        <f aca="false">IF(AND(Q328&gt;0,T328&lt;-0.15),"ADVERSE","")</f>
        <v>ADVERSE</v>
      </c>
    </row>
    <row r="329" customFormat="false" ht="15" hidden="false" customHeight="false" outlineLevel="0" collapsed="false">
      <c r="A329" s="47" t="s">
        <v>3</v>
      </c>
      <c r="B329" s="47" t="s">
        <v>138</v>
      </c>
      <c r="C329" s="48" t="n">
        <v>46082</v>
      </c>
      <c r="D329" s="47" t="s">
        <v>34</v>
      </c>
      <c r="E329" s="47" t="s">
        <v>42</v>
      </c>
      <c r="F329" s="49" t="n">
        <v>722259</v>
      </c>
      <c r="G329" s="49" t="n">
        <v>664862</v>
      </c>
      <c r="H329" s="49" t="n">
        <v>451050</v>
      </c>
      <c r="I329" s="49" t="n">
        <v>427214</v>
      </c>
      <c r="J329" s="49" t="n">
        <v>107255</v>
      </c>
      <c r="K329" s="49" t="n">
        <v>108956</v>
      </c>
      <c r="L329" s="50" t="n">
        <v>53.8</v>
      </c>
      <c r="M329" s="51" t="n">
        <f aca="false">G329-F329</f>
        <v>-57397</v>
      </c>
      <c r="N329" s="52" t="n">
        <f aca="false">IF(F329=0,0,M329/F329)</f>
        <v>-0.0794687224389035</v>
      </c>
      <c r="O329" s="51" t="n">
        <f aca="false">G329-I329</f>
        <v>237648</v>
      </c>
      <c r="P329" s="51" t="n">
        <f aca="false">F329-H329</f>
        <v>271209</v>
      </c>
      <c r="Q329" s="51" t="n">
        <f aca="false">F329-H329-J329</f>
        <v>163954</v>
      </c>
      <c r="R329" s="51" t="n">
        <f aca="false">G329-I329-K329</f>
        <v>128692</v>
      </c>
      <c r="S329" s="51" t="n">
        <f aca="false">R329-Q329</f>
        <v>-35262</v>
      </c>
      <c r="T329" s="52" t="n">
        <f aca="false">IF(Q329=0,0,S329/Q329)</f>
        <v>-0.215072520341071</v>
      </c>
      <c r="U329" s="51" t="str">
        <f aca="false">IF(AND(Q329&gt;0,T329&lt;-0.15),"ADVERSE","")</f>
        <v>ADVERSE</v>
      </c>
    </row>
    <row r="330" customFormat="false" ht="15" hidden="false" customHeight="false" outlineLevel="0" collapsed="false">
      <c r="A330" s="47" t="s">
        <v>134</v>
      </c>
      <c r="B330" s="47" t="s">
        <v>135</v>
      </c>
      <c r="C330" s="48" t="n">
        <v>45017</v>
      </c>
      <c r="D330" s="47" t="s">
        <v>34</v>
      </c>
      <c r="E330" s="47" t="s">
        <v>43</v>
      </c>
      <c r="F330" s="49" t="n">
        <v>402959</v>
      </c>
      <c r="G330" s="49" t="n">
        <v>434125</v>
      </c>
      <c r="H330" s="49" t="n">
        <v>251648</v>
      </c>
      <c r="I330" s="49" t="n">
        <v>271901</v>
      </c>
      <c r="J330" s="49" t="n">
        <v>59839</v>
      </c>
      <c r="K330" s="49" t="n">
        <v>62363</v>
      </c>
      <c r="L330" s="50" t="n">
        <v>20.2</v>
      </c>
      <c r="M330" s="51" t="n">
        <f aca="false">G330-F330</f>
        <v>31166</v>
      </c>
      <c r="N330" s="52" t="n">
        <f aca="false">IF(F330=0,0,M330/F330)</f>
        <v>0.0773428562211044</v>
      </c>
      <c r="O330" s="51" t="n">
        <f aca="false">G330-I330</f>
        <v>162224</v>
      </c>
      <c r="P330" s="51" t="n">
        <f aca="false">F330-H330</f>
        <v>151311</v>
      </c>
      <c r="Q330" s="51" t="n">
        <f aca="false">F330-H330-J330</f>
        <v>91472</v>
      </c>
      <c r="R330" s="51" t="n">
        <f aca="false">G330-I330-K330</f>
        <v>99861</v>
      </c>
      <c r="S330" s="51" t="n">
        <f aca="false">R330-Q330</f>
        <v>8389</v>
      </c>
      <c r="T330" s="52" t="n">
        <f aca="false">IF(Q330=0,0,S330/Q330)</f>
        <v>0.09171112471576</v>
      </c>
      <c r="U330" s="51" t="str">
        <f aca="false">IF(AND(Q330&gt;0,T330&lt;-0.15),"ADVERSE","")</f>
        <v/>
      </c>
    </row>
    <row r="331" customFormat="false" ht="15" hidden="false" customHeight="false" outlineLevel="0" collapsed="false">
      <c r="A331" s="47" t="s">
        <v>134</v>
      </c>
      <c r="B331" s="47" t="s">
        <v>135</v>
      </c>
      <c r="C331" s="48" t="n">
        <v>45047</v>
      </c>
      <c r="D331" s="47" t="s">
        <v>34</v>
      </c>
      <c r="E331" s="47" t="s">
        <v>43</v>
      </c>
      <c r="F331" s="49" t="n">
        <v>405368</v>
      </c>
      <c r="G331" s="49" t="n">
        <v>399300</v>
      </c>
      <c r="H331" s="49" t="n">
        <v>253152</v>
      </c>
      <c r="I331" s="49" t="n">
        <v>248658</v>
      </c>
      <c r="J331" s="49" t="n">
        <v>60197</v>
      </c>
      <c r="K331" s="49" t="n">
        <v>59474</v>
      </c>
      <c r="L331" s="50" t="n">
        <v>20.1</v>
      </c>
      <c r="M331" s="51" t="n">
        <f aca="false">G331-F331</f>
        <v>-6068</v>
      </c>
      <c r="N331" s="52" t="n">
        <f aca="false">IF(F331=0,0,M331/F331)</f>
        <v>-0.0149691144836297</v>
      </c>
      <c r="O331" s="51" t="n">
        <f aca="false">G331-I331</f>
        <v>150642</v>
      </c>
      <c r="P331" s="51" t="n">
        <f aca="false">F331-H331</f>
        <v>152216</v>
      </c>
      <c r="Q331" s="51" t="n">
        <f aca="false">F331-H331-J331</f>
        <v>92019</v>
      </c>
      <c r="R331" s="51" t="n">
        <f aca="false">G331-I331-K331</f>
        <v>91168</v>
      </c>
      <c r="S331" s="51" t="n">
        <f aca="false">R331-Q331</f>
        <v>-851</v>
      </c>
      <c r="T331" s="52" t="n">
        <f aca="false">IF(Q331=0,0,S331/Q331)</f>
        <v>-0.00924809006835545</v>
      </c>
      <c r="U331" s="51" t="str">
        <f aca="false">IF(AND(Q331&gt;0,T331&lt;-0.15),"ADVERSE","")</f>
        <v/>
      </c>
    </row>
    <row r="332" customFormat="false" ht="15" hidden="false" customHeight="false" outlineLevel="0" collapsed="false">
      <c r="A332" s="47" t="s">
        <v>134</v>
      </c>
      <c r="B332" s="47" t="s">
        <v>135</v>
      </c>
      <c r="C332" s="48" t="n">
        <v>45078</v>
      </c>
      <c r="D332" s="47" t="s">
        <v>34</v>
      </c>
      <c r="E332" s="47" t="s">
        <v>43</v>
      </c>
      <c r="F332" s="49" t="n">
        <v>410584</v>
      </c>
      <c r="G332" s="49" t="n">
        <v>408568</v>
      </c>
      <c r="H332" s="49" t="n">
        <v>256410</v>
      </c>
      <c r="I332" s="49" t="n">
        <v>253302</v>
      </c>
      <c r="J332" s="49" t="n">
        <v>60972</v>
      </c>
      <c r="K332" s="49" t="n">
        <v>59944</v>
      </c>
      <c r="L332" s="50" t="n">
        <v>20.3</v>
      </c>
      <c r="M332" s="51" t="n">
        <f aca="false">G332-F332</f>
        <v>-2016</v>
      </c>
      <c r="N332" s="52" t="n">
        <f aca="false">IF(F332=0,0,M332/F332)</f>
        <v>-0.00491007930167761</v>
      </c>
      <c r="O332" s="51" t="n">
        <f aca="false">G332-I332</f>
        <v>155266</v>
      </c>
      <c r="P332" s="51" t="n">
        <f aca="false">F332-H332</f>
        <v>154174</v>
      </c>
      <c r="Q332" s="51" t="n">
        <f aca="false">F332-H332-J332</f>
        <v>93202</v>
      </c>
      <c r="R332" s="51" t="n">
        <f aca="false">G332-I332-K332</f>
        <v>95322</v>
      </c>
      <c r="S332" s="51" t="n">
        <f aca="false">R332-Q332</f>
        <v>2120</v>
      </c>
      <c r="T332" s="52" t="n">
        <f aca="false">IF(Q332=0,0,S332/Q332)</f>
        <v>0.0227462929980043</v>
      </c>
      <c r="U332" s="51" t="str">
        <f aca="false">IF(AND(Q332&gt;0,T332&lt;-0.15),"ADVERSE","")</f>
        <v/>
      </c>
    </row>
    <row r="333" customFormat="false" ht="15" hidden="false" customHeight="false" outlineLevel="0" collapsed="false">
      <c r="A333" s="47" t="s">
        <v>134</v>
      </c>
      <c r="B333" s="47" t="s">
        <v>136</v>
      </c>
      <c r="C333" s="48" t="n">
        <v>45108</v>
      </c>
      <c r="D333" s="47" t="s">
        <v>34</v>
      </c>
      <c r="E333" s="47" t="s">
        <v>43</v>
      </c>
      <c r="F333" s="49" t="n">
        <v>417375</v>
      </c>
      <c r="G333" s="49" t="n">
        <v>419502</v>
      </c>
      <c r="H333" s="49" t="n">
        <v>260650</v>
      </c>
      <c r="I333" s="49" t="n">
        <v>264905</v>
      </c>
      <c r="J333" s="49" t="n">
        <v>61980</v>
      </c>
      <c r="K333" s="49" t="n">
        <v>64633</v>
      </c>
      <c r="L333" s="50" t="n">
        <v>20.2</v>
      </c>
      <c r="M333" s="51" t="n">
        <f aca="false">G333-F333</f>
        <v>2127</v>
      </c>
      <c r="N333" s="52" t="n">
        <f aca="false">IF(F333=0,0,M333/F333)</f>
        <v>0.00509613656783468</v>
      </c>
      <c r="O333" s="51" t="n">
        <f aca="false">G333-I333</f>
        <v>154597</v>
      </c>
      <c r="P333" s="51" t="n">
        <f aca="false">F333-H333</f>
        <v>156725</v>
      </c>
      <c r="Q333" s="51" t="n">
        <f aca="false">F333-H333-J333</f>
        <v>94745</v>
      </c>
      <c r="R333" s="51" t="n">
        <f aca="false">G333-I333-K333</f>
        <v>89964</v>
      </c>
      <c r="S333" s="51" t="n">
        <f aca="false">R333-Q333</f>
        <v>-4781</v>
      </c>
      <c r="T333" s="52" t="n">
        <f aca="false">IF(Q333=0,0,S333/Q333)</f>
        <v>-0.0504617657923901</v>
      </c>
      <c r="U333" s="51" t="str">
        <f aca="false">IF(AND(Q333&gt;0,T333&lt;-0.15),"ADVERSE","")</f>
        <v/>
      </c>
    </row>
    <row r="334" customFormat="false" ht="15" hidden="false" customHeight="false" outlineLevel="0" collapsed="false">
      <c r="A334" s="47" t="s">
        <v>134</v>
      </c>
      <c r="B334" s="47" t="s">
        <v>136</v>
      </c>
      <c r="C334" s="48" t="n">
        <v>45139</v>
      </c>
      <c r="D334" s="47" t="s">
        <v>34</v>
      </c>
      <c r="E334" s="47" t="s">
        <v>43</v>
      </c>
      <c r="F334" s="49" t="n">
        <v>401343</v>
      </c>
      <c r="G334" s="49" t="n">
        <v>445534</v>
      </c>
      <c r="H334" s="49" t="n">
        <v>250639</v>
      </c>
      <c r="I334" s="49" t="n">
        <v>284131</v>
      </c>
      <c r="J334" s="49" t="n">
        <v>59599</v>
      </c>
      <c r="K334" s="49" t="n">
        <v>67482</v>
      </c>
      <c r="L334" s="50" t="n">
        <v>20.6</v>
      </c>
      <c r="M334" s="51" t="n">
        <f aca="false">G334-F334</f>
        <v>44191</v>
      </c>
      <c r="N334" s="52" t="n">
        <f aca="false">IF(F334=0,0,M334/F334)</f>
        <v>0.110107813017793</v>
      </c>
      <c r="O334" s="51" t="n">
        <f aca="false">G334-I334</f>
        <v>161403</v>
      </c>
      <c r="P334" s="51" t="n">
        <f aca="false">F334-H334</f>
        <v>150704</v>
      </c>
      <c r="Q334" s="51" t="n">
        <f aca="false">F334-H334-J334</f>
        <v>91105</v>
      </c>
      <c r="R334" s="51" t="n">
        <f aca="false">G334-I334-K334</f>
        <v>93921</v>
      </c>
      <c r="S334" s="51" t="n">
        <f aca="false">R334-Q334</f>
        <v>2816</v>
      </c>
      <c r="T334" s="52" t="n">
        <f aca="false">IF(Q334=0,0,S334/Q334)</f>
        <v>0.0309093902639811</v>
      </c>
      <c r="U334" s="51" t="str">
        <f aca="false">IF(AND(Q334&gt;0,T334&lt;-0.15),"ADVERSE","")</f>
        <v/>
      </c>
    </row>
    <row r="335" customFormat="false" ht="15" hidden="false" customHeight="false" outlineLevel="0" collapsed="false">
      <c r="A335" s="47" t="s">
        <v>134</v>
      </c>
      <c r="B335" s="47" t="s">
        <v>136</v>
      </c>
      <c r="C335" s="48" t="n">
        <v>45170</v>
      </c>
      <c r="D335" s="47" t="s">
        <v>34</v>
      </c>
      <c r="E335" s="47" t="s">
        <v>43</v>
      </c>
      <c r="F335" s="49" t="n">
        <v>421047</v>
      </c>
      <c r="G335" s="49" t="n">
        <v>415824</v>
      </c>
      <c r="H335" s="49" t="n">
        <v>262944</v>
      </c>
      <c r="I335" s="49" t="n">
        <v>256562</v>
      </c>
      <c r="J335" s="49" t="n">
        <v>62526</v>
      </c>
      <c r="K335" s="49" t="n">
        <v>64322</v>
      </c>
      <c r="L335" s="50" t="n">
        <v>20.4</v>
      </c>
      <c r="M335" s="51" t="n">
        <f aca="false">G335-F335</f>
        <v>-5223</v>
      </c>
      <c r="N335" s="52" t="n">
        <f aca="false">IF(F335=0,0,M335/F335)</f>
        <v>-0.0124047909140785</v>
      </c>
      <c r="O335" s="51" t="n">
        <f aca="false">G335-I335</f>
        <v>159262</v>
      </c>
      <c r="P335" s="51" t="n">
        <f aca="false">F335-H335</f>
        <v>158103</v>
      </c>
      <c r="Q335" s="51" t="n">
        <f aca="false">F335-H335-J335</f>
        <v>95577</v>
      </c>
      <c r="R335" s="51" t="n">
        <f aca="false">G335-I335-K335</f>
        <v>94940</v>
      </c>
      <c r="S335" s="51" t="n">
        <f aca="false">R335-Q335</f>
        <v>-637</v>
      </c>
      <c r="T335" s="52" t="n">
        <f aca="false">IF(Q335=0,0,S335/Q335)</f>
        <v>-0.00666478336838361</v>
      </c>
      <c r="U335" s="51" t="str">
        <f aca="false">IF(AND(Q335&gt;0,T335&lt;-0.15),"ADVERSE","")</f>
        <v/>
      </c>
    </row>
    <row r="336" customFormat="false" ht="15" hidden="false" customHeight="false" outlineLevel="0" collapsed="false">
      <c r="A336" s="47" t="s">
        <v>134</v>
      </c>
      <c r="B336" s="47" t="s">
        <v>137</v>
      </c>
      <c r="C336" s="48" t="n">
        <v>45200</v>
      </c>
      <c r="D336" s="47" t="s">
        <v>34</v>
      </c>
      <c r="E336" s="47" t="s">
        <v>43</v>
      </c>
      <c r="F336" s="49" t="n">
        <v>429018</v>
      </c>
      <c r="G336" s="49" t="n">
        <v>448312</v>
      </c>
      <c r="H336" s="49" t="n">
        <v>267922</v>
      </c>
      <c r="I336" s="49" t="n">
        <v>281653</v>
      </c>
      <c r="J336" s="49" t="n">
        <v>63709</v>
      </c>
      <c r="K336" s="49" t="n">
        <v>65101</v>
      </c>
      <c r="L336" s="50" t="n">
        <v>20.3</v>
      </c>
      <c r="M336" s="51" t="n">
        <f aca="false">G336-F336</f>
        <v>19294</v>
      </c>
      <c r="N336" s="52" t="n">
        <f aca="false">IF(F336=0,0,M336/F336)</f>
        <v>0.0449724720174911</v>
      </c>
      <c r="O336" s="51" t="n">
        <f aca="false">G336-I336</f>
        <v>166659</v>
      </c>
      <c r="P336" s="51" t="n">
        <f aca="false">F336-H336</f>
        <v>161096</v>
      </c>
      <c r="Q336" s="51" t="n">
        <f aca="false">F336-H336-J336</f>
        <v>97387</v>
      </c>
      <c r="R336" s="51" t="n">
        <f aca="false">G336-I336-K336</f>
        <v>101558</v>
      </c>
      <c r="S336" s="51" t="n">
        <f aca="false">R336-Q336</f>
        <v>4171</v>
      </c>
      <c r="T336" s="52" t="n">
        <f aca="false">IF(Q336=0,0,S336/Q336)</f>
        <v>0.0428291250372226</v>
      </c>
      <c r="U336" s="51" t="str">
        <f aca="false">IF(AND(Q336&gt;0,T336&lt;-0.15),"ADVERSE","")</f>
        <v/>
      </c>
    </row>
    <row r="337" customFormat="false" ht="15" hidden="false" customHeight="false" outlineLevel="0" collapsed="false">
      <c r="A337" s="47" t="s">
        <v>134</v>
      </c>
      <c r="B337" s="47" t="s">
        <v>137</v>
      </c>
      <c r="C337" s="48" t="n">
        <v>45231</v>
      </c>
      <c r="D337" s="47" t="s">
        <v>34</v>
      </c>
      <c r="E337" s="47" t="s">
        <v>43</v>
      </c>
      <c r="F337" s="49" t="n">
        <v>426736</v>
      </c>
      <c r="G337" s="49" t="n">
        <v>428411</v>
      </c>
      <c r="H337" s="49" t="n">
        <v>266497</v>
      </c>
      <c r="I337" s="49" t="n">
        <v>266026</v>
      </c>
      <c r="J337" s="49" t="n">
        <v>63370</v>
      </c>
      <c r="K337" s="49" t="n">
        <v>61084</v>
      </c>
      <c r="L337" s="50" t="n">
        <v>20.4</v>
      </c>
      <c r="M337" s="51" t="n">
        <f aca="false">G337-F337</f>
        <v>1675</v>
      </c>
      <c r="N337" s="52" t="n">
        <f aca="false">IF(F337=0,0,M337/F337)</f>
        <v>0.00392514341419519</v>
      </c>
      <c r="O337" s="51" t="n">
        <f aca="false">G337-I337</f>
        <v>162385</v>
      </c>
      <c r="P337" s="51" t="n">
        <f aca="false">F337-H337</f>
        <v>160239</v>
      </c>
      <c r="Q337" s="51" t="n">
        <f aca="false">F337-H337-J337</f>
        <v>96869</v>
      </c>
      <c r="R337" s="51" t="n">
        <f aca="false">G337-I337-K337</f>
        <v>101301</v>
      </c>
      <c r="S337" s="51" t="n">
        <f aca="false">R337-Q337</f>
        <v>4432</v>
      </c>
      <c r="T337" s="52" t="n">
        <f aca="false">IF(Q337=0,0,S337/Q337)</f>
        <v>0.0457525111232696</v>
      </c>
      <c r="U337" s="51" t="str">
        <f aca="false">IF(AND(Q337&gt;0,T337&lt;-0.15),"ADVERSE","")</f>
        <v/>
      </c>
    </row>
    <row r="338" customFormat="false" ht="15" hidden="false" customHeight="false" outlineLevel="0" collapsed="false">
      <c r="A338" s="47" t="s">
        <v>134</v>
      </c>
      <c r="B338" s="47" t="s">
        <v>137</v>
      </c>
      <c r="C338" s="48" t="n">
        <v>45261</v>
      </c>
      <c r="D338" s="47" t="s">
        <v>34</v>
      </c>
      <c r="E338" s="47" t="s">
        <v>43</v>
      </c>
      <c r="F338" s="49" t="n">
        <v>435305</v>
      </c>
      <c r="G338" s="49" t="n">
        <v>446985</v>
      </c>
      <c r="H338" s="49" t="n">
        <v>271848</v>
      </c>
      <c r="I338" s="49" t="n">
        <v>276327</v>
      </c>
      <c r="J338" s="49" t="n">
        <v>64643</v>
      </c>
      <c r="K338" s="49" t="n">
        <v>64983</v>
      </c>
      <c r="L338" s="50" t="n">
        <v>20.6</v>
      </c>
      <c r="M338" s="51" t="n">
        <f aca="false">G338-F338</f>
        <v>11680</v>
      </c>
      <c r="N338" s="52" t="n">
        <f aca="false">IF(F338=0,0,M338/F338)</f>
        <v>0.0268317616383915</v>
      </c>
      <c r="O338" s="51" t="n">
        <f aca="false">G338-I338</f>
        <v>170658</v>
      </c>
      <c r="P338" s="51" t="n">
        <f aca="false">F338-H338</f>
        <v>163457</v>
      </c>
      <c r="Q338" s="51" t="n">
        <f aca="false">F338-H338-J338</f>
        <v>98814</v>
      </c>
      <c r="R338" s="51" t="n">
        <f aca="false">G338-I338-K338</f>
        <v>105675</v>
      </c>
      <c r="S338" s="51" t="n">
        <f aca="false">R338-Q338</f>
        <v>6861</v>
      </c>
      <c r="T338" s="52" t="n">
        <f aca="false">IF(Q338=0,0,S338/Q338)</f>
        <v>0.0694334810856761</v>
      </c>
      <c r="U338" s="51" t="str">
        <f aca="false">IF(AND(Q338&gt;0,T338&lt;-0.15),"ADVERSE","")</f>
        <v/>
      </c>
    </row>
    <row r="339" customFormat="false" ht="15" hidden="false" customHeight="false" outlineLevel="0" collapsed="false">
      <c r="A339" s="47" t="s">
        <v>134</v>
      </c>
      <c r="B339" s="47" t="s">
        <v>138</v>
      </c>
      <c r="C339" s="48" t="n">
        <v>45292</v>
      </c>
      <c r="D339" s="47" t="s">
        <v>34</v>
      </c>
      <c r="E339" s="47" t="s">
        <v>43</v>
      </c>
      <c r="F339" s="49" t="n">
        <v>407601</v>
      </c>
      <c r="G339" s="49" t="n">
        <v>421610</v>
      </c>
      <c r="H339" s="49" t="n">
        <v>254547</v>
      </c>
      <c r="I339" s="49" t="n">
        <v>255705</v>
      </c>
      <c r="J339" s="49" t="n">
        <v>60529</v>
      </c>
      <c r="K339" s="49" t="n">
        <v>63868</v>
      </c>
      <c r="L339" s="50" t="n">
        <v>21</v>
      </c>
      <c r="M339" s="51" t="n">
        <f aca="false">G339-F339</f>
        <v>14009</v>
      </c>
      <c r="N339" s="52" t="n">
        <f aca="false">IF(F339=0,0,M339/F339)</f>
        <v>0.0343693955608549</v>
      </c>
      <c r="O339" s="51" t="n">
        <f aca="false">G339-I339</f>
        <v>165905</v>
      </c>
      <c r="P339" s="51" t="n">
        <f aca="false">F339-H339</f>
        <v>153054</v>
      </c>
      <c r="Q339" s="51" t="n">
        <f aca="false">F339-H339-J339</f>
        <v>92525</v>
      </c>
      <c r="R339" s="51" t="n">
        <f aca="false">G339-I339-K339</f>
        <v>102037</v>
      </c>
      <c r="S339" s="51" t="n">
        <f aca="false">R339-Q339</f>
        <v>9512</v>
      </c>
      <c r="T339" s="52" t="n">
        <f aca="false">IF(Q339=0,0,S339/Q339)</f>
        <v>0.102804647392597</v>
      </c>
      <c r="U339" s="51" t="str">
        <f aca="false">IF(AND(Q339&gt;0,T339&lt;-0.15),"ADVERSE","")</f>
        <v/>
      </c>
    </row>
    <row r="340" customFormat="false" ht="15" hidden="false" customHeight="false" outlineLevel="0" collapsed="false">
      <c r="A340" s="47" t="s">
        <v>134</v>
      </c>
      <c r="B340" s="47" t="s">
        <v>138</v>
      </c>
      <c r="C340" s="48" t="n">
        <v>45323</v>
      </c>
      <c r="D340" s="47" t="s">
        <v>34</v>
      </c>
      <c r="E340" s="47" t="s">
        <v>43</v>
      </c>
      <c r="F340" s="49" t="n">
        <v>419519</v>
      </c>
      <c r="G340" s="49" t="n">
        <v>441260</v>
      </c>
      <c r="H340" s="49" t="n">
        <v>261990</v>
      </c>
      <c r="I340" s="49" t="n">
        <v>280657</v>
      </c>
      <c r="J340" s="49" t="n">
        <v>62299</v>
      </c>
      <c r="K340" s="49" t="n">
        <v>65716</v>
      </c>
      <c r="L340" s="50" t="n">
        <v>20.2</v>
      </c>
      <c r="M340" s="51" t="n">
        <f aca="false">G340-F340</f>
        <v>21741</v>
      </c>
      <c r="N340" s="52" t="n">
        <f aca="false">IF(F340=0,0,M340/F340)</f>
        <v>0.0518236361166002</v>
      </c>
      <c r="O340" s="51" t="n">
        <f aca="false">G340-I340</f>
        <v>160603</v>
      </c>
      <c r="P340" s="51" t="n">
        <f aca="false">F340-H340</f>
        <v>157529</v>
      </c>
      <c r="Q340" s="51" t="n">
        <f aca="false">F340-H340-J340</f>
        <v>95230</v>
      </c>
      <c r="R340" s="51" t="n">
        <f aca="false">G340-I340-K340</f>
        <v>94887</v>
      </c>
      <c r="S340" s="51" t="n">
        <f aca="false">R340-Q340</f>
        <v>-343</v>
      </c>
      <c r="T340" s="52" t="n">
        <f aca="false">IF(Q340=0,0,S340/Q340)</f>
        <v>-0.00360180615352305</v>
      </c>
      <c r="U340" s="51" t="str">
        <f aca="false">IF(AND(Q340&gt;0,T340&lt;-0.15),"ADVERSE","")</f>
        <v/>
      </c>
    </row>
    <row r="341" customFormat="false" ht="15" hidden="false" customHeight="false" outlineLevel="0" collapsed="false">
      <c r="A341" s="47" t="s">
        <v>134</v>
      </c>
      <c r="B341" s="47" t="s">
        <v>138</v>
      </c>
      <c r="C341" s="48" t="n">
        <v>45352</v>
      </c>
      <c r="D341" s="47" t="s">
        <v>34</v>
      </c>
      <c r="E341" s="47" t="s">
        <v>43</v>
      </c>
      <c r="F341" s="49" t="n">
        <v>461091</v>
      </c>
      <c r="G341" s="49" t="n">
        <v>454423</v>
      </c>
      <c r="H341" s="49" t="n">
        <v>287951</v>
      </c>
      <c r="I341" s="49" t="n">
        <v>284454</v>
      </c>
      <c r="J341" s="49" t="n">
        <v>68472</v>
      </c>
      <c r="K341" s="49" t="n">
        <v>66597</v>
      </c>
      <c r="L341" s="50" t="n">
        <v>20.7</v>
      </c>
      <c r="M341" s="51" t="n">
        <f aca="false">G341-F341</f>
        <v>-6668</v>
      </c>
      <c r="N341" s="52" t="n">
        <f aca="false">IF(F341=0,0,M341/F341)</f>
        <v>-0.0144613536156637</v>
      </c>
      <c r="O341" s="51" t="n">
        <f aca="false">G341-I341</f>
        <v>169969</v>
      </c>
      <c r="P341" s="51" t="n">
        <f aca="false">F341-H341</f>
        <v>173140</v>
      </c>
      <c r="Q341" s="51" t="n">
        <f aca="false">F341-H341-J341</f>
        <v>104668</v>
      </c>
      <c r="R341" s="51" t="n">
        <f aca="false">G341-I341-K341</f>
        <v>103372</v>
      </c>
      <c r="S341" s="51" t="n">
        <f aca="false">R341-Q341</f>
        <v>-1296</v>
      </c>
      <c r="T341" s="52" t="n">
        <f aca="false">IF(Q341=0,0,S341/Q341)</f>
        <v>-0.0123820078725112</v>
      </c>
      <c r="U341" s="51" t="str">
        <f aca="false">IF(AND(Q341&gt;0,T341&lt;-0.15),"ADVERSE","")</f>
        <v/>
      </c>
    </row>
    <row r="342" customFormat="false" ht="15" hidden="false" customHeight="false" outlineLevel="0" collapsed="false">
      <c r="A342" s="47" t="s">
        <v>139</v>
      </c>
      <c r="B342" s="47" t="s">
        <v>135</v>
      </c>
      <c r="C342" s="48" t="n">
        <v>45383</v>
      </c>
      <c r="D342" s="47" t="s">
        <v>34</v>
      </c>
      <c r="E342" s="47" t="s">
        <v>43</v>
      </c>
      <c r="F342" s="49" t="n">
        <v>437828</v>
      </c>
      <c r="G342" s="49" t="n">
        <v>437566</v>
      </c>
      <c r="H342" s="49" t="n">
        <v>273424</v>
      </c>
      <c r="I342" s="49" t="n">
        <v>274510</v>
      </c>
      <c r="J342" s="49" t="n">
        <v>65018</v>
      </c>
      <c r="K342" s="49" t="n">
        <v>66604</v>
      </c>
      <c r="L342" s="50" t="n">
        <v>21.1</v>
      </c>
      <c r="M342" s="51" t="n">
        <f aca="false">G342-F342</f>
        <v>-262</v>
      </c>
      <c r="N342" s="52" t="n">
        <f aca="false">IF(F342=0,0,M342/F342)</f>
        <v>-0.000598408507450414</v>
      </c>
      <c r="O342" s="51" t="n">
        <f aca="false">G342-I342</f>
        <v>163056</v>
      </c>
      <c r="P342" s="51" t="n">
        <f aca="false">F342-H342</f>
        <v>164404</v>
      </c>
      <c r="Q342" s="51" t="n">
        <f aca="false">F342-H342-J342</f>
        <v>99386</v>
      </c>
      <c r="R342" s="51" t="n">
        <f aca="false">G342-I342-K342</f>
        <v>96452</v>
      </c>
      <c r="S342" s="51" t="n">
        <f aca="false">R342-Q342</f>
        <v>-2934</v>
      </c>
      <c r="T342" s="52" t="n">
        <f aca="false">IF(Q342=0,0,S342/Q342)</f>
        <v>-0.0295212605397138</v>
      </c>
      <c r="U342" s="51" t="str">
        <f aca="false">IF(AND(Q342&gt;0,T342&lt;-0.15),"ADVERSE","")</f>
        <v/>
      </c>
    </row>
    <row r="343" customFormat="false" ht="15" hidden="false" customHeight="false" outlineLevel="0" collapsed="false">
      <c r="A343" s="47" t="s">
        <v>139</v>
      </c>
      <c r="B343" s="47" t="s">
        <v>135</v>
      </c>
      <c r="C343" s="48" t="n">
        <v>45413</v>
      </c>
      <c r="D343" s="47" t="s">
        <v>34</v>
      </c>
      <c r="E343" s="47" t="s">
        <v>43</v>
      </c>
      <c r="F343" s="49" t="n">
        <v>434641</v>
      </c>
      <c r="G343" s="49" t="n">
        <v>431905</v>
      </c>
      <c r="H343" s="49" t="n">
        <v>271434</v>
      </c>
      <c r="I343" s="49" t="n">
        <v>271153</v>
      </c>
      <c r="J343" s="49" t="n">
        <v>64544</v>
      </c>
      <c r="K343" s="49" t="n">
        <v>66298</v>
      </c>
      <c r="L343" s="50" t="n">
        <v>20.3</v>
      </c>
      <c r="M343" s="51" t="n">
        <f aca="false">G343-F343</f>
        <v>-2736</v>
      </c>
      <c r="N343" s="52" t="n">
        <f aca="false">IF(F343=0,0,M343/F343)</f>
        <v>-0.0062948502327208</v>
      </c>
      <c r="O343" s="51" t="n">
        <f aca="false">G343-I343</f>
        <v>160752</v>
      </c>
      <c r="P343" s="51" t="n">
        <f aca="false">F343-H343</f>
        <v>163207</v>
      </c>
      <c r="Q343" s="51" t="n">
        <f aca="false">F343-H343-J343</f>
        <v>98663</v>
      </c>
      <c r="R343" s="51" t="n">
        <f aca="false">G343-I343-K343</f>
        <v>94454</v>
      </c>
      <c r="S343" s="51" t="n">
        <f aca="false">R343-Q343</f>
        <v>-4209</v>
      </c>
      <c r="T343" s="52" t="n">
        <f aca="false">IF(Q343=0,0,S343/Q343)</f>
        <v>-0.0426603691353395</v>
      </c>
      <c r="U343" s="51" t="str">
        <f aca="false">IF(AND(Q343&gt;0,T343&lt;-0.15),"ADVERSE","")</f>
        <v/>
      </c>
    </row>
    <row r="344" customFormat="false" ht="15" hidden="false" customHeight="false" outlineLevel="0" collapsed="false">
      <c r="A344" s="47" t="s">
        <v>139</v>
      </c>
      <c r="B344" s="47" t="s">
        <v>135</v>
      </c>
      <c r="C344" s="48" t="n">
        <v>45444</v>
      </c>
      <c r="D344" s="47" t="s">
        <v>34</v>
      </c>
      <c r="E344" s="47" t="s">
        <v>43</v>
      </c>
      <c r="F344" s="49" t="n">
        <v>454183</v>
      </c>
      <c r="G344" s="49" t="n">
        <v>458065</v>
      </c>
      <c r="H344" s="49" t="n">
        <v>283637</v>
      </c>
      <c r="I344" s="49" t="n">
        <v>286361</v>
      </c>
      <c r="J344" s="49" t="n">
        <v>67446</v>
      </c>
      <c r="K344" s="49" t="n">
        <v>70379</v>
      </c>
      <c r="L344" s="50" t="n">
        <v>20.7</v>
      </c>
      <c r="M344" s="51" t="n">
        <f aca="false">G344-F344</f>
        <v>3882</v>
      </c>
      <c r="N344" s="52" t="n">
        <f aca="false">IF(F344=0,0,M344/F344)</f>
        <v>0.00854721554967932</v>
      </c>
      <c r="O344" s="51" t="n">
        <f aca="false">G344-I344</f>
        <v>171704</v>
      </c>
      <c r="P344" s="51" t="n">
        <f aca="false">F344-H344</f>
        <v>170546</v>
      </c>
      <c r="Q344" s="51" t="n">
        <f aca="false">F344-H344-J344</f>
        <v>103100</v>
      </c>
      <c r="R344" s="51" t="n">
        <f aca="false">G344-I344-K344</f>
        <v>101325</v>
      </c>
      <c r="S344" s="51" t="n">
        <f aca="false">R344-Q344</f>
        <v>-1775</v>
      </c>
      <c r="T344" s="52" t="n">
        <f aca="false">IF(Q344=0,0,S344/Q344)</f>
        <v>-0.0172162948593598</v>
      </c>
      <c r="U344" s="51" t="str">
        <f aca="false">IF(AND(Q344&gt;0,T344&lt;-0.15),"ADVERSE","")</f>
        <v/>
      </c>
    </row>
    <row r="345" customFormat="false" ht="15" hidden="false" customHeight="false" outlineLevel="0" collapsed="false">
      <c r="A345" s="47" t="s">
        <v>139</v>
      </c>
      <c r="B345" s="47" t="s">
        <v>136</v>
      </c>
      <c r="C345" s="48" t="n">
        <v>45474</v>
      </c>
      <c r="D345" s="47" t="s">
        <v>34</v>
      </c>
      <c r="E345" s="47" t="s">
        <v>43</v>
      </c>
      <c r="F345" s="49" t="n">
        <v>449733</v>
      </c>
      <c r="G345" s="49" t="n">
        <v>457101</v>
      </c>
      <c r="H345" s="49" t="n">
        <v>280858</v>
      </c>
      <c r="I345" s="49" t="n">
        <v>286328</v>
      </c>
      <c r="J345" s="49" t="n">
        <v>66785</v>
      </c>
      <c r="K345" s="49" t="n">
        <v>70128</v>
      </c>
      <c r="L345" s="50" t="n">
        <v>20.8</v>
      </c>
      <c r="M345" s="51" t="n">
        <f aca="false">G345-F345</f>
        <v>7368</v>
      </c>
      <c r="N345" s="52" t="n">
        <f aca="false">IF(F345=0,0,M345/F345)</f>
        <v>0.0163830539453409</v>
      </c>
      <c r="O345" s="51" t="n">
        <f aca="false">G345-I345</f>
        <v>170773</v>
      </c>
      <c r="P345" s="51" t="n">
        <f aca="false">F345-H345</f>
        <v>168875</v>
      </c>
      <c r="Q345" s="51" t="n">
        <f aca="false">F345-H345-J345</f>
        <v>102090</v>
      </c>
      <c r="R345" s="51" t="n">
        <f aca="false">G345-I345-K345</f>
        <v>100645</v>
      </c>
      <c r="S345" s="51" t="n">
        <f aca="false">R345-Q345</f>
        <v>-1445</v>
      </c>
      <c r="T345" s="52" t="n">
        <f aca="false">IF(Q345=0,0,S345/Q345)</f>
        <v>-0.0141541776863552</v>
      </c>
      <c r="U345" s="51" t="str">
        <f aca="false">IF(AND(Q345&gt;0,T345&lt;-0.15),"ADVERSE","")</f>
        <v/>
      </c>
    </row>
    <row r="346" customFormat="false" ht="15" hidden="false" customHeight="false" outlineLevel="0" collapsed="false">
      <c r="A346" s="47" t="s">
        <v>139</v>
      </c>
      <c r="B346" s="47" t="s">
        <v>136</v>
      </c>
      <c r="C346" s="48" t="n">
        <v>45505</v>
      </c>
      <c r="D346" s="47" t="s">
        <v>34</v>
      </c>
      <c r="E346" s="47" t="s">
        <v>43</v>
      </c>
      <c r="F346" s="49" t="n">
        <v>436755</v>
      </c>
      <c r="G346" s="49" t="n">
        <v>414138</v>
      </c>
      <c r="H346" s="49" t="n">
        <v>272753</v>
      </c>
      <c r="I346" s="49" t="n">
        <v>256952</v>
      </c>
      <c r="J346" s="49" t="n">
        <v>64858</v>
      </c>
      <c r="K346" s="49" t="n">
        <v>61305</v>
      </c>
      <c r="L346" s="50" t="n">
        <v>20.7</v>
      </c>
      <c r="M346" s="51" t="n">
        <f aca="false">G346-F346</f>
        <v>-22617</v>
      </c>
      <c r="N346" s="52" t="n">
        <f aca="false">IF(F346=0,0,M346/F346)</f>
        <v>-0.0517841810626095</v>
      </c>
      <c r="O346" s="51" t="n">
        <f aca="false">G346-I346</f>
        <v>157186</v>
      </c>
      <c r="P346" s="51" t="n">
        <f aca="false">F346-H346</f>
        <v>164002</v>
      </c>
      <c r="Q346" s="51" t="n">
        <f aca="false">F346-H346-J346</f>
        <v>99144</v>
      </c>
      <c r="R346" s="51" t="n">
        <f aca="false">G346-I346-K346</f>
        <v>95881</v>
      </c>
      <c r="S346" s="51" t="n">
        <f aca="false">R346-Q346</f>
        <v>-3263</v>
      </c>
      <c r="T346" s="52" t="n">
        <f aca="false">IF(Q346=0,0,S346/Q346)</f>
        <v>-0.0329117243605261</v>
      </c>
      <c r="U346" s="51" t="str">
        <f aca="false">IF(AND(Q346&gt;0,T346&lt;-0.15),"ADVERSE","")</f>
        <v/>
      </c>
    </row>
    <row r="347" customFormat="false" ht="15" hidden="false" customHeight="false" outlineLevel="0" collapsed="false">
      <c r="A347" s="47" t="s">
        <v>139</v>
      </c>
      <c r="B347" s="47" t="s">
        <v>136</v>
      </c>
      <c r="C347" s="48" t="n">
        <v>45536</v>
      </c>
      <c r="D347" s="47" t="s">
        <v>34</v>
      </c>
      <c r="E347" s="47" t="s">
        <v>43</v>
      </c>
      <c r="F347" s="49" t="n">
        <v>448521</v>
      </c>
      <c r="G347" s="49" t="n">
        <v>458142</v>
      </c>
      <c r="H347" s="49" t="n">
        <v>280102</v>
      </c>
      <c r="I347" s="49" t="n">
        <v>287935</v>
      </c>
      <c r="J347" s="49" t="n">
        <v>66605</v>
      </c>
      <c r="K347" s="49" t="n">
        <v>64236</v>
      </c>
      <c r="L347" s="50" t="n">
        <v>21</v>
      </c>
      <c r="M347" s="51" t="n">
        <f aca="false">G347-F347</f>
        <v>9621</v>
      </c>
      <c r="N347" s="52" t="n">
        <f aca="false">IF(F347=0,0,M347/F347)</f>
        <v>0.0214505006454547</v>
      </c>
      <c r="O347" s="51" t="n">
        <f aca="false">G347-I347</f>
        <v>170207</v>
      </c>
      <c r="P347" s="51" t="n">
        <f aca="false">F347-H347</f>
        <v>168419</v>
      </c>
      <c r="Q347" s="51" t="n">
        <f aca="false">F347-H347-J347</f>
        <v>101814</v>
      </c>
      <c r="R347" s="51" t="n">
        <f aca="false">G347-I347-K347</f>
        <v>105971</v>
      </c>
      <c r="S347" s="51" t="n">
        <f aca="false">R347-Q347</f>
        <v>4157</v>
      </c>
      <c r="T347" s="52" t="n">
        <f aca="false">IF(Q347=0,0,S347/Q347)</f>
        <v>0.0408293554913863</v>
      </c>
      <c r="U347" s="51" t="str">
        <f aca="false">IF(AND(Q347&gt;0,T347&lt;-0.15),"ADVERSE","")</f>
        <v/>
      </c>
    </row>
    <row r="348" customFormat="false" ht="15" hidden="false" customHeight="false" outlineLevel="0" collapsed="false">
      <c r="A348" s="47" t="s">
        <v>139</v>
      </c>
      <c r="B348" s="47" t="s">
        <v>137</v>
      </c>
      <c r="C348" s="48" t="n">
        <v>45566</v>
      </c>
      <c r="D348" s="47" t="s">
        <v>34</v>
      </c>
      <c r="E348" s="47" t="s">
        <v>43</v>
      </c>
      <c r="F348" s="49" t="n">
        <v>461761</v>
      </c>
      <c r="G348" s="49" t="n">
        <v>481983</v>
      </c>
      <c r="H348" s="49" t="n">
        <v>288370</v>
      </c>
      <c r="I348" s="49" t="n">
        <v>302312</v>
      </c>
      <c r="J348" s="49" t="n">
        <v>68571</v>
      </c>
      <c r="K348" s="49" t="n">
        <v>78320</v>
      </c>
      <c r="L348" s="50" t="n">
        <v>21.2</v>
      </c>
      <c r="M348" s="51" t="n">
        <f aca="false">G348-F348</f>
        <v>20222</v>
      </c>
      <c r="N348" s="52" t="n">
        <f aca="false">IF(F348=0,0,M348/F348)</f>
        <v>0.0437932177035306</v>
      </c>
      <c r="O348" s="51" t="n">
        <f aca="false">G348-I348</f>
        <v>179671</v>
      </c>
      <c r="P348" s="51" t="n">
        <f aca="false">F348-H348</f>
        <v>173391</v>
      </c>
      <c r="Q348" s="51" t="n">
        <f aca="false">F348-H348-J348</f>
        <v>104820</v>
      </c>
      <c r="R348" s="51" t="n">
        <f aca="false">G348-I348-K348</f>
        <v>101351</v>
      </c>
      <c r="S348" s="51" t="n">
        <f aca="false">R348-Q348</f>
        <v>-3469</v>
      </c>
      <c r="T348" s="52" t="n">
        <f aca="false">IF(Q348=0,0,S348/Q348)</f>
        <v>-0.0330948292310628</v>
      </c>
      <c r="U348" s="51" t="str">
        <f aca="false">IF(AND(Q348&gt;0,T348&lt;-0.15),"ADVERSE","")</f>
        <v/>
      </c>
    </row>
    <row r="349" customFormat="false" ht="15" hidden="false" customHeight="false" outlineLevel="0" collapsed="false">
      <c r="A349" s="47" t="s">
        <v>139</v>
      </c>
      <c r="B349" s="47" t="s">
        <v>137</v>
      </c>
      <c r="C349" s="48" t="n">
        <v>45597</v>
      </c>
      <c r="D349" s="47" t="s">
        <v>34</v>
      </c>
      <c r="E349" s="47" t="s">
        <v>43</v>
      </c>
      <c r="F349" s="49" t="n">
        <v>459772</v>
      </c>
      <c r="G349" s="49" t="n">
        <v>477804</v>
      </c>
      <c r="H349" s="49" t="n">
        <v>287128</v>
      </c>
      <c r="I349" s="49" t="n">
        <v>296773</v>
      </c>
      <c r="J349" s="49" t="n">
        <v>68276</v>
      </c>
      <c r="K349" s="49" t="n">
        <v>71478</v>
      </c>
      <c r="L349" s="50" t="n">
        <v>21.1</v>
      </c>
      <c r="M349" s="51" t="n">
        <f aca="false">G349-F349</f>
        <v>18032</v>
      </c>
      <c r="N349" s="52" t="n">
        <f aca="false">IF(F349=0,0,M349/F349)</f>
        <v>0.0392194392002993</v>
      </c>
      <c r="O349" s="51" t="n">
        <f aca="false">G349-I349</f>
        <v>181031</v>
      </c>
      <c r="P349" s="51" t="n">
        <f aca="false">F349-H349</f>
        <v>172644</v>
      </c>
      <c r="Q349" s="51" t="n">
        <f aca="false">F349-H349-J349</f>
        <v>104368</v>
      </c>
      <c r="R349" s="51" t="n">
        <f aca="false">G349-I349-K349</f>
        <v>109553</v>
      </c>
      <c r="S349" s="51" t="n">
        <f aca="false">R349-Q349</f>
        <v>5185</v>
      </c>
      <c r="T349" s="52" t="n">
        <f aca="false">IF(Q349=0,0,S349/Q349)</f>
        <v>0.0496799785374828</v>
      </c>
      <c r="U349" s="51" t="str">
        <f aca="false">IF(AND(Q349&gt;0,T349&lt;-0.15),"ADVERSE","")</f>
        <v/>
      </c>
    </row>
    <row r="350" customFormat="false" ht="15" hidden="false" customHeight="false" outlineLevel="0" collapsed="false">
      <c r="A350" s="47" t="s">
        <v>139</v>
      </c>
      <c r="B350" s="47" t="s">
        <v>137</v>
      </c>
      <c r="C350" s="48" t="n">
        <v>45627</v>
      </c>
      <c r="D350" s="47" t="s">
        <v>34</v>
      </c>
      <c r="E350" s="47" t="s">
        <v>43</v>
      </c>
      <c r="F350" s="49" t="n">
        <v>449278</v>
      </c>
      <c r="G350" s="49" t="n">
        <v>452152</v>
      </c>
      <c r="H350" s="49" t="n">
        <v>280574</v>
      </c>
      <c r="I350" s="49" t="n">
        <v>278730</v>
      </c>
      <c r="J350" s="49" t="n">
        <v>66718</v>
      </c>
      <c r="K350" s="49" t="n">
        <v>71350</v>
      </c>
      <c r="L350" s="50" t="n">
        <v>21.4</v>
      </c>
      <c r="M350" s="51" t="n">
        <f aca="false">G350-F350</f>
        <v>2874</v>
      </c>
      <c r="N350" s="52" t="n">
        <f aca="false">IF(F350=0,0,M350/F350)</f>
        <v>0.00639693018576472</v>
      </c>
      <c r="O350" s="51" t="n">
        <f aca="false">G350-I350</f>
        <v>173422</v>
      </c>
      <c r="P350" s="51" t="n">
        <f aca="false">F350-H350</f>
        <v>168704</v>
      </c>
      <c r="Q350" s="51" t="n">
        <f aca="false">F350-H350-J350</f>
        <v>101986</v>
      </c>
      <c r="R350" s="51" t="n">
        <f aca="false">G350-I350-K350</f>
        <v>102072</v>
      </c>
      <c r="S350" s="51" t="n">
        <f aca="false">R350-Q350</f>
        <v>86</v>
      </c>
      <c r="T350" s="52" t="n">
        <f aca="false">IF(Q350=0,0,S350/Q350)</f>
        <v>0.000843252995509188</v>
      </c>
      <c r="U350" s="51" t="str">
        <f aca="false">IF(AND(Q350&gt;0,T350&lt;-0.15),"ADVERSE","")</f>
        <v/>
      </c>
    </row>
    <row r="351" customFormat="false" ht="15" hidden="false" customHeight="false" outlineLevel="0" collapsed="false">
      <c r="A351" s="47" t="s">
        <v>139</v>
      </c>
      <c r="B351" s="47" t="s">
        <v>138</v>
      </c>
      <c r="C351" s="48" t="n">
        <v>45658</v>
      </c>
      <c r="D351" s="47" t="s">
        <v>34</v>
      </c>
      <c r="E351" s="47" t="s">
        <v>43</v>
      </c>
      <c r="F351" s="49" t="n">
        <v>453682</v>
      </c>
      <c r="G351" s="49" t="n">
        <v>442557</v>
      </c>
      <c r="H351" s="49" t="n">
        <v>283325</v>
      </c>
      <c r="I351" s="49" t="n">
        <v>270385</v>
      </c>
      <c r="J351" s="49" t="n">
        <v>67372</v>
      </c>
      <c r="K351" s="49" t="n">
        <v>58432</v>
      </c>
      <c r="L351" s="50" t="n">
        <v>22</v>
      </c>
      <c r="M351" s="51" t="n">
        <f aca="false">G351-F351</f>
        <v>-11125</v>
      </c>
      <c r="N351" s="52" t="n">
        <f aca="false">IF(F351=0,0,M351/F351)</f>
        <v>-0.0245215811956392</v>
      </c>
      <c r="O351" s="51" t="n">
        <f aca="false">G351-I351</f>
        <v>172172</v>
      </c>
      <c r="P351" s="51" t="n">
        <f aca="false">F351-H351</f>
        <v>170357</v>
      </c>
      <c r="Q351" s="51" t="n">
        <f aca="false">F351-H351-J351</f>
        <v>102985</v>
      </c>
      <c r="R351" s="51" t="n">
        <f aca="false">G351-I351-K351</f>
        <v>113740</v>
      </c>
      <c r="S351" s="51" t="n">
        <f aca="false">R351-Q351</f>
        <v>10755</v>
      </c>
      <c r="T351" s="52" t="n">
        <f aca="false">IF(Q351=0,0,S351/Q351)</f>
        <v>0.10443268437151</v>
      </c>
      <c r="U351" s="51" t="str">
        <f aca="false">IF(AND(Q351&gt;0,T351&lt;-0.15),"ADVERSE","")</f>
        <v/>
      </c>
    </row>
    <row r="352" customFormat="false" ht="15" hidden="false" customHeight="false" outlineLevel="0" collapsed="false">
      <c r="A352" s="47" t="s">
        <v>139</v>
      </c>
      <c r="B352" s="47" t="s">
        <v>138</v>
      </c>
      <c r="C352" s="48" t="n">
        <v>45689</v>
      </c>
      <c r="D352" s="47" t="s">
        <v>34</v>
      </c>
      <c r="E352" s="47" t="s">
        <v>43</v>
      </c>
      <c r="F352" s="49" t="n">
        <v>453674</v>
      </c>
      <c r="G352" s="49" t="n">
        <v>420201</v>
      </c>
      <c r="H352" s="49" t="n">
        <v>283320</v>
      </c>
      <c r="I352" s="49" t="n">
        <v>257110</v>
      </c>
      <c r="J352" s="49" t="n">
        <v>67371</v>
      </c>
      <c r="K352" s="49" t="n">
        <v>56546</v>
      </c>
      <c r="L352" s="50" t="n">
        <v>21.5</v>
      </c>
      <c r="M352" s="51" t="n">
        <f aca="false">G352-F352</f>
        <v>-33473</v>
      </c>
      <c r="N352" s="52" t="n">
        <f aca="false">IF(F352=0,0,M352/F352)</f>
        <v>-0.0737820549557612</v>
      </c>
      <c r="O352" s="51" t="n">
        <f aca="false">G352-I352</f>
        <v>163091</v>
      </c>
      <c r="P352" s="51" t="n">
        <f aca="false">F352-H352</f>
        <v>170354</v>
      </c>
      <c r="Q352" s="51" t="n">
        <f aca="false">F352-H352-J352</f>
        <v>102983</v>
      </c>
      <c r="R352" s="51" t="n">
        <f aca="false">G352-I352-K352</f>
        <v>106545</v>
      </c>
      <c r="S352" s="51" t="n">
        <f aca="false">R352-Q352</f>
        <v>3562</v>
      </c>
      <c r="T352" s="52" t="n">
        <f aca="false">IF(Q352=0,0,S352/Q352)</f>
        <v>0.0345882330093316</v>
      </c>
      <c r="U352" s="51" t="str">
        <f aca="false">IF(AND(Q352&gt;0,T352&lt;-0.15),"ADVERSE","")</f>
        <v/>
      </c>
    </row>
    <row r="353" customFormat="false" ht="15" hidden="false" customHeight="false" outlineLevel="0" collapsed="false">
      <c r="A353" s="47" t="s">
        <v>139</v>
      </c>
      <c r="B353" s="47" t="s">
        <v>138</v>
      </c>
      <c r="C353" s="48" t="n">
        <v>45717</v>
      </c>
      <c r="D353" s="47" t="s">
        <v>34</v>
      </c>
      <c r="E353" s="47" t="s">
        <v>43</v>
      </c>
      <c r="F353" s="49" t="n">
        <v>488983</v>
      </c>
      <c r="G353" s="49" t="n">
        <v>487024</v>
      </c>
      <c r="H353" s="49" t="n">
        <v>305370</v>
      </c>
      <c r="I353" s="49" t="n">
        <v>294411</v>
      </c>
      <c r="J353" s="49" t="n">
        <v>72614</v>
      </c>
      <c r="K353" s="49" t="n">
        <v>73882</v>
      </c>
      <c r="L353" s="50" t="n">
        <v>22.2</v>
      </c>
      <c r="M353" s="51" t="n">
        <f aca="false">G353-F353</f>
        <v>-1959</v>
      </c>
      <c r="N353" s="52" t="n">
        <f aca="false">IF(F353=0,0,M353/F353)</f>
        <v>-0.00400627424675296</v>
      </c>
      <c r="O353" s="51" t="n">
        <f aca="false">G353-I353</f>
        <v>192613</v>
      </c>
      <c r="P353" s="51" t="n">
        <f aca="false">F353-H353</f>
        <v>183613</v>
      </c>
      <c r="Q353" s="51" t="n">
        <f aca="false">F353-H353-J353</f>
        <v>110999</v>
      </c>
      <c r="R353" s="51" t="n">
        <f aca="false">G353-I353-K353</f>
        <v>118731</v>
      </c>
      <c r="S353" s="51" t="n">
        <f aca="false">R353-Q353</f>
        <v>7732</v>
      </c>
      <c r="T353" s="52" t="n">
        <f aca="false">IF(Q353=0,0,S353/Q353)</f>
        <v>0.0696582852097767</v>
      </c>
      <c r="U353" s="51" t="str">
        <f aca="false">IF(AND(Q353&gt;0,T353&lt;-0.15),"ADVERSE","")</f>
        <v/>
      </c>
    </row>
    <row r="354" customFormat="false" ht="15" hidden="false" customHeight="false" outlineLevel="0" collapsed="false">
      <c r="A354" s="47" t="s">
        <v>3</v>
      </c>
      <c r="B354" s="47" t="s">
        <v>135</v>
      </c>
      <c r="C354" s="48" t="n">
        <v>45748</v>
      </c>
      <c r="D354" s="47" t="s">
        <v>34</v>
      </c>
      <c r="E354" s="47" t="s">
        <v>43</v>
      </c>
      <c r="F354" s="49" t="n">
        <v>480474</v>
      </c>
      <c r="G354" s="49" t="n">
        <v>396498</v>
      </c>
      <c r="H354" s="49" t="n">
        <v>300056</v>
      </c>
      <c r="I354" s="49" t="n">
        <v>248606</v>
      </c>
      <c r="J354" s="49" t="n">
        <v>71350</v>
      </c>
      <c r="K354" s="49" t="n">
        <v>58182</v>
      </c>
      <c r="L354" s="50" t="n">
        <v>20.7</v>
      </c>
      <c r="M354" s="51" t="n">
        <f aca="false">G354-F354</f>
        <v>-83976</v>
      </c>
      <c r="N354" s="52" t="n">
        <f aca="false">IF(F354=0,0,M354/F354)</f>
        <v>-0.174777407310281</v>
      </c>
      <c r="O354" s="51" t="n">
        <f aca="false">G354-I354</f>
        <v>147892</v>
      </c>
      <c r="P354" s="51" t="n">
        <f aca="false">F354-H354</f>
        <v>180418</v>
      </c>
      <c r="Q354" s="51" t="n">
        <f aca="false">F354-H354-J354</f>
        <v>109068</v>
      </c>
      <c r="R354" s="51" t="n">
        <f aca="false">G354-I354-K354</f>
        <v>89710</v>
      </c>
      <c r="S354" s="51" t="n">
        <f aca="false">R354-Q354</f>
        <v>-19358</v>
      </c>
      <c r="T354" s="52" t="n">
        <f aca="false">IF(Q354=0,0,S354/Q354)</f>
        <v>-0.177485605310449</v>
      </c>
      <c r="U354" s="51" t="str">
        <f aca="false">IF(AND(Q354&gt;0,T354&lt;-0.15),"ADVERSE","")</f>
        <v>ADVERSE</v>
      </c>
    </row>
    <row r="355" customFormat="false" ht="15" hidden="false" customHeight="false" outlineLevel="0" collapsed="false">
      <c r="A355" s="47" t="s">
        <v>3</v>
      </c>
      <c r="B355" s="47" t="s">
        <v>135</v>
      </c>
      <c r="C355" s="48" t="n">
        <v>45778</v>
      </c>
      <c r="D355" s="47" t="s">
        <v>34</v>
      </c>
      <c r="E355" s="47" t="s">
        <v>43</v>
      </c>
      <c r="F355" s="49" t="n">
        <v>474060</v>
      </c>
      <c r="G355" s="49" t="n">
        <v>422247</v>
      </c>
      <c r="H355" s="49" t="n">
        <v>296050</v>
      </c>
      <c r="I355" s="49" t="n">
        <v>268132</v>
      </c>
      <c r="J355" s="49" t="n">
        <v>70398</v>
      </c>
      <c r="K355" s="49" t="n">
        <v>66734</v>
      </c>
      <c r="L355" s="50" t="n">
        <v>20.9</v>
      </c>
      <c r="M355" s="51" t="n">
        <f aca="false">G355-F355</f>
        <v>-51813</v>
      </c>
      <c r="N355" s="52" t="n">
        <f aca="false">IF(F355=0,0,M355/F355)</f>
        <v>-0.109296291608657</v>
      </c>
      <c r="O355" s="51" t="n">
        <f aca="false">G355-I355</f>
        <v>154115</v>
      </c>
      <c r="P355" s="51" t="n">
        <f aca="false">F355-H355</f>
        <v>178010</v>
      </c>
      <c r="Q355" s="51" t="n">
        <f aca="false">F355-H355-J355</f>
        <v>107612</v>
      </c>
      <c r="R355" s="51" t="n">
        <f aca="false">G355-I355-K355</f>
        <v>87381</v>
      </c>
      <c r="S355" s="51" t="n">
        <f aca="false">R355-Q355</f>
        <v>-20231</v>
      </c>
      <c r="T355" s="52" t="n">
        <f aca="false">IF(Q355=0,0,S355/Q355)</f>
        <v>-0.187999479611939</v>
      </c>
      <c r="U355" s="51" t="str">
        <f aca="false">IF(AND(Q355&gt;0,T355&lt;-0.15),"ADVERSE","")</f>
        <v>ADVERSE</v>
      </c>
    </row>
    <row r="356" customFormat="false" ht="15" hidden="false" customHeight="false" outlineLevel="0" collapsed="false">
      <c r="A356" s="47" t="s">
        <v>3</v>
      </c>
      <c r="B356" s="47" t="s">
        <v>135</v>
      </c>
      <c r="C356" s="48" t="n">
        <v>45809</v>
      </c>
      <c r="D356" s="47" t="s">
        <v>34</v>
      </c>
      <c r="E356" s="47" t="s">
        <v>43</v>
      </c>
      <c r="F356" s="49" t="n">
        <v>488132</v>
      </c>
      <c r="G356" s="49" t="n">
        <v>469239</v>
      </c>
      <c r="H356" s="49" t="n">
        <v>304838</v>
      </c>
      <c r="I356" s="49" t="n">
        <v>294856</v>
      </c>
      <c r="J356" s="49" t="n">
        <v>72488</v>
      </c>
      <c r="K356" s="49" t="n">
        <v>72484</v>
      </c>
      <c r="L356" s="50" t="n">
        <v>21</v>
      </c>
      <c r="M356" s="51" t="n">
        <f aca="false">G356-F356</f>
        <v>-18893</v>
      </c>
      <c r="N356" s="52" t="n">
        <f aca="false">IF(F356=0,0,M356/F356)</f>
        <v>-0.0387046946317799</v>
      </c>
      <c r="O356" s="51" t="n">
        <f aca="false">G356-I356</f>
        <v>174383</v>
      </c>
      <c r="P356" s="51" t="n">
        <f aca="false">F356-H356</f>
        <v>183294</v>
      </c>
      <c r="Q356" s="51" t="n">
        <f aca="false">F356-H356-J356</f>
        <v>110806</v>
      </c>
      <c r="R356" s="51" t="n">
        <f aca="false">G356-I356-K356</f>
        <v>101899</v>
      </c>
      <c r="S356" s="51" t="n">
        <f aca="false">R356-Q356</f>
        <v>-8907</v>
      </c>
      <c r="T356" s="52" t="n">
        <f aca="false">IF(Q356=0,0,S356/Q356)</f>
        <v>-0.0803837337328304</v>
      </c>
      <c r="U356" s="51" t="str">
        <f aca="false">IF(AND(Q356&gt;0,T356&lt;-0.15),"ADVERSE","")</f>
        <v/>
      </c>
    </row>
    <row r="357" customFormat="false" ht="15" hidden="false" customHeight="false" outlineLevel="0" collapsed="false">
      <c r="A357" s="47" t="s">
        <v>3</v>
      </c>
      <c r="B357" s="47" t="s">
        <v>136</v>
      </c>
      <c r="C357" s="48" t="n">
        <v>45839</v>
      </c>
      <c r="D357" s="47" t="s">
        <v>34</v>
      </c>
      <c r="E357" s="47" t="s">
        <v>43</v>
      </c>
      <c r="F357" s="49" t="n">
        <v>492214</v>
      </c>
      <c r="G357" s="49" t="n">
        <v>417258</v>
      </c>
      <c r="H357" s="49" t="n">
        <v>307388</v>
      </c>
      <c r="I357" s="49" t="n">
        <v>260575</v>
      </c>
      <c r="J357" s="49" t="n">
        <v>73094</v>
      </c>
      <c r="K357" s="49" t="n">
        <v>65469</v>
      </c>
      <c r="L357" s="50" t="n">
        <v>20.4</v>
      </c>
      <c r="M357" s="51" t="n">
        <f aca="false">G357-F357</f>
        <v>-74956</v>
      </c>
      <c r="N357" s="52" t="n">
        <f aca="false">IF(F357=0,0,M357/F357)</f>
        <v>-0.15228335642627</v>
      </c>
      <c r="O357" s="51" t="n">
        <f aca="false">G357-I357</f>
        <v>156683</v>
      </c>
      <c r="P357" s="51" t="n">
        <f aca="false">F357-H357</f>
        <v>184826</v>
      </c>
      <c r="Q357" s="51" t="n">
        <f aca="false">F357-H357-J357</f>
        <v>111732</v>
      </c>
      <c r="R357" s="51" t="n">
        <f aca="false">G357-I357-K357</f>
        <v>91214</v>
      </c>
      <c r="S357" s="51" t="n">
        <f aca="false">R357-Q357</f>
        <v>-20518</v>
      </c>
      <c r="T357" s="52" t="n">
        <f aca="false">IF(Q357=0,0,S357/Q357)</f>
        <v>-0.18363584290982</v>
      </c>
      <c r="U357" s="51" t="str">
        <f aca="false">IF(AND(Q357&gt;0,T357&lt;-0.15),"ADVERSE","")</f>
        <v>ADVERSE</v>
      </c>
    </row>
    <row r="358" customFormat="false" ht="15" hidden="false" customHeight="false" outlineLevel="0" collapsed="false">
      <c r="A358" s="47" t="s">
        <v>3</v>
      </c>
      <c r="B358" s="47" t="s">
        <v>136</v>
      </c>
      <c r="C358" s="48" t="n">
        <v>45870</v>
      </c>
      <c r="D358" s="47" t="s">
        <v>34</v>
      </c>
      <c r="E358" s="47" t="s">
        <v>43</v>
      </c>
      <c r="F358" s="49" t="n">
        <v>476590</v>
      </c>
      <c r="G358" s="49" t="n">
        <v>433702</v>
      </c>
      <c r="H358" s="49" t="n">
        <v>297631</v>
      </c>
      <c r="I358" s="49" t="n">
        <v>263596</v>
      </c>
      <c r="J358" s="49" t="n">
        <v>70774</v>
      </c>
      <c r="K358" s="49" t="n">
        <v>71544</v>
      </c>
      <c r="L358" s="50" t="n">
        <v>21.2</v>
      </c>
      <c r="M358" s="51" t="n">
        <f aca="false">G358-F358</f>
        <v>-42888</v>
      </c>
      <c r="N358" s="52" t="n">
        <f aca="false">IF(F358=0,0,M358/F358)</f>
        <v>-0.0899892989781573</v>
      </c>
      <c r="O358" s="51" t="n">
        <f aca="false">G358-I358</f>
        <v>170106</v>
      </c>
      <c r="P358" s="51" t="n">
        <f aca="false">F358-H358</f>
        <v>178959</v>
      </c>
      <c r="Q358" s="51" t="n">
        <f aca="false">F358-H358-J358</f>
        <v>108185</v>
      </c>
      <c r="R358" s="51" t="n">
        <f aca="false">G358-I358-K358</f>
        <v>98562</v>
      </c>
      <c r="S358" s="51" t="n">
        <f aca="false">R358-Q358</f>
        <v>-9623</v>
      </c>
      <c r="T358" s="52" t="n">
        <f aca="false">IF(Q358=0,0,S358/Q358)</f>
        <v>-0.088949484679022</v>
      </c>
      <c r="U358" s="51" t="str">
        <f aca="false">IF(AND(Q358&gt;0,T358&lt;-0.15),"ADVERSE","")</f>
        <v/>
      </c>
    </row>
    <row r="359" customFormat="false" ht="15" hidden="false" customHeight="false" outlineLevel="0" collapsed="false">
      <c r="A359" s="47" t="s">
        <v>3</v>
      </c>
      <c r="B359" s="47" t="s">
        <v>136</v>
      </c>
      <c r="C359" s="48" t="n">
        <v>45901</v>
      </c>
      <c r="D359" s="47" t="s">
        <v>34</v>
      </c>
      <c r="E359" s="47" t="s">
        <v>43</v>
      </c>
      <c r="F359" s="49" t="n">
        <v>497252</v>
      </c>
      <c r="G359" s="49" t="n">
        <v>422696</v>
      </c>
      <c r="H359" s="49" t="n">
        <v>310534</v>
      </c>
      <c r="I359" s="49" t="n">
        <v>262381</v>
      </c>
      <c r="J359" s="49" t="n">
        <v>73842</v>
      </c>
      <c r="K359" s="49" t="n">
        <v>64265</v>
      </c>
      <c r="L359" s="50" t="n">
        <v>20.5</v>
      </c>
      <c r="M359" s="51" t="n">
        <f aca="false">G359-F359</f>
        <v>-74556</v>
      </c>
      <c r="N359" s="52" t="n">
        <f aca="false">IF(F359=0,0,M359/F359)</f>
        <v>-0.149936048522681</v>
      </c>
      <c r="O359" s="51" t="n">
        <f aca="false">G359-I359</f>
        <v>160315</v>
      </c>
      <c r="P359" s="51" t="n">
        <f aca="false">F359-H359</f>
        <v>186718</v>
      </c>
      <c r="Q359" s="51" t="n">
        <f aca="false">F359-H359-J359</f>
        <v>112876</v>
      </c>
      <c r="R359" s="51" t="n">
        <f aca="false">G359-I359-K359</f>
        <v>96050</v>
      </c>
      <c r="S359" s="51" t="n">
        <f aca="false">R359-Q359</f>
        <v>-16826</v>
      </c>
      <c r="T359" s="52" t="n">
        <f aca="false">IF(Q359=0,0,S359/Q359)</f>
        <v>-0.149066231971367</v>
      </c>
      <c r="U359" s="51" t="str">
        <f aca="false">IF(AND(Q359&gt;0,T359&lt;-0.15),"ADVERSE","")</f>
        <v/>
      </c>
    </row>
    <row r="360" customFormat="false" ht="15" hidden="false" customHeight="false" outlineLevel="0" collapsed="false">
      <c r="A360" s="47" t="s">
        <v>3</v>
      </c>
      <c r="B360" s="47" t="s">
        <v>137</v>
      </c>
      <c r="C360" s="48" t="n">
        <v>45931</v>
      </c>
      <c r="D360" s="47" t="s">
        <v>34</v>
      </c>
      <c r="E360" s="47" t="s">
        <v>43</v>
      </c>
      <c r="F360" s="49" t="n">
        <v>515115</v>
      </c>
      <c r="G360" s="49" t="n">
        <v>471412</v>
      </c>
      <c r="H360" s="49" t="n">
        <v>321689</v>
      </c>
      <c r="I360" s="49" t="n">
        <v>297255</v>
      </c>
      <c r="J360" s="49" t="n">
        <v>76495</v>
      </c>
      <c r="K360" s="49" t="n">
        <v>71622</v>
      </c>
      <c r="L360" s="50" t="n">
        <v>21.1</v>
      </c>
      <c r="M360" s="51" t="n">
        <f aca="false">G360-F360</f>
        <v>-43703</v>
      </c>
      <c r="N360" s="52" t="n">
        <f aca="false">IF(F360=0,0,M360/F360)</f>
        <v>-0.0848412490414762</v>
      </c>
      <c r="O360" s="51" t="n">
        <f aca="false">G360-I360</f>
        <v>174157</v>
      </c>
      <c r="P360" s="51" t="n">
        <f aca="false">F360-H360</f>
        <v>193426</v>
      </c>
      <c r="Q360" s="51" t="n">
        <f aca="false">F360-H360-J360</f>
        <v>116931</v>
      </c>
      <c r="R360" s="51" t="n">
        <f aca="false">G360-I360-K360</f>
        <v>102535</v>
      </c>
      <c r="S360" s="51" t="n">
        <f aca="false">R360-Q360</f>
        <v>-14396</v>
      </c>
      <c r="T360" s="52" t="n">
        <f aca="false">IF(Q360=0,0,S360/Q360)</f>
        <v>-0.123115341526199</v>
      </c>
      <c r="U360" s="51" t="str">
        <f aca="false">IF(AND(Q360&gt;0,T360&lt;-0.15),"ADVERSE","")</f>
        <v/>
      </c>
    </row>
    <row r="361" customFormat="false" ht="15" hidden="false" customHeight="false" outlineLevel="0" collapsed="false">
      <c r="A361" s="47" t="s">
        <v>3</v>
      </c>
      <c r="B361" s="47" t="s">
        <v>137</v>
      </c>
      <c r="C361" s="48" t="n">
        <v>45962</v>
      </c>
      <c r="D361" s="47" t="s">
        <v>34</v>
      </c>
      <c r="E361" s="47" t="s">
        <v>43</v>
      </c>
      <c r="F361" s="49" t="n">
        <v>509242</v>
      </c>
      <c r="G361" s="49" t="n">
        <v>426481</v>
      </c>
      <c r="H361" s="49" t="n">
        <v>318021</v>
      </c>
      <c r="I361" s="49" t="n">
        <v>264689</v>
      </c>
      <c r="J361" s="49" t="n">
        <v>75622</v>
      </c>
      <c r="K361" s="49" t="n">
        <v>65927</v>
      </c>
      <c r="L361" s="50" t="n">
        <v>20.7</v>
      </c>
      <c r="M361" s="51" t="n">
        <f aca="false">G361-F361</f>
        <v>-82761</v>
      </c>
      <c r="N361" s="52" t="n">
        <f aca="false">IF(F361=0,0,M361/F361)</f>
        <v>-0.162518016974248</v>
      </c>
      <c r="O361" s="51" t="n">
        <f aca="false">G361-I361</f>
        <v>161792</v>
      </c>
      <c r="P361" s="51" t="n">
        <f aca="false">F361-H361</f>
        <v>191221</v>
      </c>
      <c r="Q361" s="51" t="n">
        <f aca="false">F361-H361-J361</f>
        <v>115599</v>
      </c>
      <c r="R361" s="51" t="n">
        <f aca="false">G361-I361-K361</f>
        <v>95865</v>
      </c>
      <c r="S361" s="51" t="n">
        <f aca="false">R361-Q361</f>
        <v>-19734</v>
      </c>
      <c r="T361" s="52" t="n">
        <f aca="false">IF(Q361=0,0,S361/Q361)</f>
        <v>-0.170710819297745</v>
      </c>
      <c r="U361" s="51" t="str">
        <f aca="false">IF(AND(Q361&gt;0,T361&lt;-0.15),"ADVERSE","")</f>
        <v>ADVERSE</v>
      </c>
    </row>
    <row r="362" customFormat="false" ht="15" hidden="false" customHeight="false" outlineLevel="0" collapsed="false">
      <c r="A362" s="47" t="s">
        <v>3</v>
      </c>
      <c r="B362" s="47" t="s">
        <v>137</v>
      </c>
      <c r="C362" s="48" t="n">
        <v>45992</v>
      </c>
      <c r="D362" s="47" t="s">
        <v>34</v>
      </c>
      <c r="E362" s="47" t="s">
        <v>43</v>
      </c>
      <c r="F362" s="49" t="n">
        <v>490199</v>
      </c>
      <c r="G362" s="49" t="n">
        <v>404746</v>
      </c>
      <c r="H362" s="49" t="n">
        <v>306129</v>
      </c>
      <c r="I362" s="49" t="n">
        <v>252480</v>
      </c>
      <c r="J362" s="49" t="n">
        <v>72795</v>
      </c>
      <c r="K362" s="49" t="n">
        <v>61340</v>
      </c>
      <c r="L362" s="50" t="n">
        <v>21.2</v>
      </c>
      <c r="M362" s="51" t="n">
        <f aca="false">G362-F362</f>
        <v>-85453</v>
      </c>
      <c r="N362" s="52" t="n">
        <f aca="false">IF(F362=0,0,M362/F362)</f>
        <v>-0.174323081034437</v>
      </c>
      <c r="O362" s="51" t="n">
        <f aca="false">G362-I362</f>
        <v>152266</v>
      </c>
      <c r="P362" s="51" t="n">
        <f aca="false">F362-H362</f>
        <v>184070</v>
      </c>
      <c r="Q362" s="51" t="n">
        <f aca="false">F362-H362-J362</f>
        <v>111275</v>
      </c>
      <c r="R362" s="51" t="n">
        <f aca="false">G362-I362-K362</f>
        <v>90926</v>
      </c>
      <c r="S362" s="51" t="n">
        <f aca="false">R362-Q362</f>
        <v>-20349</v>
      </c>
      <c r="T362" s="52" t="n">
        <f aca="false">IF(Q362=0,0,S362/Q362)</f>
        <v>-0.182871264884296</v>
      </c>
      <c r="U362" s="51" t="str">
        <f aca="false">IF(AND(Q362&gt;0,T362&lt;-0.15),"ADVERSE","")</f>
        <v>ADVERSE</v>
      </c>
    </row>
    <row r="363" customFormat="false" ht="15" hidden="false" customHeight="false" outlineLevel="0" collapsed="false">
      <c r="A363" s="47" t="s">
        <v>3</v>
      </c>
      <c r="B363" s="47" t="s">
        <v>138</v>
      </c>
      <c r="C363" s="48" t="n">
        <v>46023</v>
      </c>
      <c r="D363" s="47" t="s">
        <v>34</v>
      </c>
      <c r="E363" s="47" t="s">
        <v>43</v>
      </c>
      <c r="F363" s="49" t="n">
        <v>479135</v>
      </c>
      <c r="G363" s="49" t="n">
        <v>442519</v>
      </c>
      <c r="H363" s="49" t="n">
        <v>299220</v>
      </c>
      <c r="I363" s="49" t="n">
        <v>271237</v>
      </c>
      <c r="J363" s="49" t="n">
        <v>71152</v>
      </c>
      <c r="K363" s="49" t="n">
        <v>69467</v>
      </c>
      <c r="L363" s="50" t="n">
        <v>21.6</v>
      </c>
      <c r="M363" s="51" t="n">
        <f aca="false">G363-F363</f>
        <v>-36616</v>
      </c>
      <c r="N363" s="52" t="n">
        <f aca="false">IF(F363=0,0,M363/F363)</f>
        <v>-0.0764210504346374</v>
      </c>
      <c r="O363" s="51" t="n">
        <f aca="false">G363-I363</f>
        <v>171282</v>
      </c>
      <c r="P363" s="51" t="n">
        <f aca="false">F363-H363</f>
        <v>179915</v>
      </c>
      <c r="Q363" s="51" t="n">
        <f aca="false">F363-H363-J363</f>
        <v>108763</v>
      </c>
      <c r="R363" s="51" t="n">
        <f aca="false">G363-I363-K363</f>
        <v>101815</v>
      </c>
      <c r="S363" s="51" t="n">
        <f aca="false">R363-Q363</f>
        <v>-6948</v>
      </c>
      <c r="T363" s="52" t="n">
        <f aca="false">IF(Q363=0,0,S363/Q363)</f>
        <v>-0.0638820187012127</v>
      </c>
      <c r="U363" s="51" t="str">
        <f aca="false">IF(AND(Q363&gt;0,T363&lt;-0.15),"ADVERSE","")</f>
        <v/>
      </c>
    </row>
    <row r="364" customFormat="false" ht="15" hidden="false" customHeight="false" outlineLevel="0" collapsed="false">
      <c r="A364" s="47" t="s">
        <v>3</v>
      </c>
      <c r="B364" s="47" t="s">
        <v>138</v>
      </c>
      <c r="C364" s="48" t="n">
        <v>46054</v>
      </c>
      <c r="D364" s="47" t="s">
        <v>34</v>
      </c>
      <c r="E364" s="47" t="s">
        <v>43</v>
      </c>
      <c r="F364" s="49" t="n">
        <v>496967</v>
      </c>
      <c r="G364" s="49" t="n">
        <v>419254</v>
      </c>
      <c r="H364" s="49" t="n">
        <v>310356</v>
      </c>
      <c r="I364" s="49" t="n">
        <v>256470</v>
      </c>
      <c r="J364" s="49" t="n">
        <v>73800</v>
      </c>
      <c r="K364" s="49" t="n">
        <v>63934</v>
      </c>
      <c r="L364" s="50" t="n">
        <v>21.2</v>
      </c>
      <c r="M364" s="51" t="n">
        <f aca="false">G364-F364</f>
        <v>-77713</v>
      </c>
      <c r="N364" s="52" t="n">
        <f aca="false">IF(F364=0,0,M364/F364)</f>
        <v>-0.156374568130278</v>
      </c>
      <c r="O364" s="51" t="n">
        <f aca="false">G364-I364</f>
        <v>162784</v>
      </c>
      <c r="P364" s="51" t="n">
        <f aca="false">F364-H364</f>
        <v>186611</v>
      </c>
      <c r="Q364" s="51" t="n">
        <f aca="false">F364-H364-J364</f>
        <v>112811</v>
      </c>
      <c r="R364" s="51" t="n">
        <f aca="false">G364-I364-K364</f>
        <v>98850</v>
      </c>
      <c r="S364" s="51" t="n">
        <f aca="false">R364-Q364</f>
        <v>-13961</v>
      </c>
      <c r="T364" s="52" t="n">
        <f aca="false">IF(Q364=0,0,S364/Q364)</f>
        <v>-0.123755662125147</v>
      </c>
      <c r="U364" s="51" t="str">
        <f aca="false">IF(AND(Q364&gt;0,T364&lt;-0.15),"ADVERSE","")</f>
        <v/>
      </c>
    </row>
    <row r="365" customFormat="false" ht="15" hidden="false" customHeight="false" outlineLevel="0" collapsed="false">
      <c r="A365" s="47" t="s">
        <v>3</v>
      </c>
      <c r="B365" s="47" t="s">
        <v>138</v>
      </c>
      <c r="C365" s="48" t="n">
        <v>46082</v>
      </c>
      <c r="D365" s="47" t="s">
        <v>34</v>
      </c>
      <c r="E365" s="47" t="s">
        <v>43</v>
      </c>
      <c r="F365" s="49" t="n">
        <v>540519</v>
      </c>
      <c r="G365" s="49" t="n">
        <v>464062</v>
      </c>
      <c r="H365" s="49" t="n">
        <v>337554</v>
      </c>
      <c r="I365" s="49" t="n">
        <v>290434</v>
      </c>
      <c r="J365" s="49" t="n">
        <v>80267</v>
      </c>
      <c r="K365" s="49" t="n">
        <v>73230</v>
      </c>
      <c r="L365" s="50" t="n">
        <v>21.1</v>
      </c>
      <c r="M365" s="51" t="n">
        <f aca="false">G365-F365</f>
        <v>-76457</v>
      </c>
      <c r="N365" s="52" t="n">
        <f aca="false">IF(F365=0,0,M365/F365)</f>
        <v>-0.14145108682581</v>
      </c>
      <c r="O365" s="51" t="n">
        <f aca="false">G365-I365</f>
        <v>173628</v>
      </c>
      <c r="P365" s="51" t="n">
        <f aca="false">F365-H365</f>
        <v>202965</v>
      </c>
      <c r="Q365" s="51" t="n">
        <f aca="false">F365-H365-J365</f>
        <v>122698</v>
      </c>
      <c r="R365" s="51" t="n">
        <f aca="false">G365-I365-K365</f>
        <v>100398</v>
      </c>
      <c r="S365" s="51" t="n">
        <f aca="false">R365-Q365</f>
        <v>-22300</v>
      </c>
      <c r="T365" s="52" t="n">
        <f aca="false">IF(Q365=0,0,S365/Q365)</f>
        <v>-0.181747053741707</v>
      </c>
      <c r="U365" s="51" t="str">
        <f aca="false">IF(AND(Q365&gt;0,T365&lt;-0.15),"ADVERSE","")</f>
        <v>ADVERSE</v>
      </c>
    </row>
    <row r="366" customFormat="false" ht="15" hidden="false" customHeight="false" outlineLevel="0" collapsed="false">
      <c r="A366" s="47" t="s">
        <v>134</v>
      </c>
      <c r="B366" s="47" t="s">
        <v>135</v>
      </c>
      <c r="C366" s="48" t="n">
        <v>45017</v>
      </c>
      <c r="D366" s="47" t="s">
        <v>34</v>
      </c>
      <c r="E366" s="47" t="s">
        <v>44</v>
      </c>
      <c r="F366" s="49" t="n">
        <v>431287</v>
      </c>
      <c r="G366" s="49" t="n">
        <v>460244</v>
      </c>
      <c r="H366" s="49" t="n">
        <v>269339</v>
      </c>
      <c r="I366" s="49" t="n">
        <v>290735</v>
      </c>
      <c r="J366" s="49" t="n">
        <v>64046</v>
      </c>
      <c r="K366" s="49" t="n">
        <v>68233</v>
      </c>
      <c r="L366" s="50" t="n">
        <v>21.4</v>
      </c>
      <c r="M366" s="51" t="n">
        <f aca="false">G366-F366</f>
        <v>28957</v>
      </c>
      <c r="N366" s="52" t="n">
        <f aca="false">IF(F366=0,0,M366/F366)</f>
        <v>0.0671409061715285</v>
      </c>
      <c r="O366" s="51" t="n">
        <f aca="false">G366-I366</f>
        <v>169509</v>
      </c>
      <c r="P366" s="51" t="n">
        <f aca="false">F366-H366</f>
        <v>161948</v>
      </c>
      <c r="Q366" s="51" t="n">
        <f aca="false">F366-H366-J366</f>
        <v>97902</v>
      </c>
      <c r="R366" s="51" t="n">
        <f aca="false">G366-I366-K366</f>
        <v>101276</v>
      </c>
      <c r="S366" s="51" t="n">
        <f aca="false">R366-Q366</f>
        <v>3374</v>
      </c>
      <c r="T366" s="52" t="n">
        <f aca="false">IF(Q366=0,0,S366/Q366)</f>
        <v>0.0344630344630345</v>
      </c>
      <c r="U366" s="51" t="str">
        <f aca="false">IF(AND(Q366&gt;0,T366&lt;-0.15),"ADVERSE","")</f>
        <v/>
      </c>
    </row>
    <row r="367" customFormat="false" ht="15" hidden="false" customHeight="false" outlineLevel="0" collapsed="false">
      <c r="A367" s="47" t="s">
        <v>134</v>
      </c>
      <c r="B367" s="47" t="s">
        <v>135</v>
      </c>
      <c r="C367" s="48" t="n">
        <v>45047</v>
      </c>
      <c r="D367" s="47" t="s">
        <v>34</v>
      </c>
      <c r="E367" s="47" t="s">
        <v>44</v>
      </c>
      <c r="F367" s="49" t="n">
        <v>420625</v>
      </c>
      <c r="G367" s="49" t="n">
        <v>420029</v>
      </c>
      <c r="H367" s="49" t="n">
        <v>262680</v>
      </c>
      <c r="I367" s="49" t="n">
        <v>260988</v>
      </c>
      <c r="J367" s="49" t="n">
        <v>62463</v>
      </c>
      <c r="K367" s="49" t="n">
        <v>63167</v>
      </c>
      <c r="L367" s="50" t="n">
        <v>21.2</v>
      </c>
      <c r="M367" s="51" t="n">
        <f aca="false">G367-F367</f>
        <v>-596</v>
      </c>
      <c r="N367" s="52" t="n">
        <f aca="false">IF(F367=0,0,M367/F367)</f>
        <v>-0.00141693907875186</v>
      </c>
      <c r="O367" s="51" t="n">
        <f aca="false">G367-I367</f>
        <v>159041</v>
      </c>
      <c r="P367" s="51" t="n">
        <f aca="false">F367-H367</f>
        <v>157945</v>
      </c>
      <c r="Q367" s="51" t="n">
        <f aca="false">F367-H367-J367</f>
        <v>95482</v>
      </c>
      <c r="R367" s="51" t="n">
        <f aca="false">G367-I367-K367</f>
        <v>95874</v>
      </c>
      <c r="S367" s="51" t="n">
        <f aca="false">R367-Q367</f>
        <v>392</v>
      </c>
      <c r="T367" s="52" t="n">
        <f aca="false">IF(Q367=0,0,S367/Q367)</f>
        <v>0.00410548585073626</v>
      </c>
      <c r="U367" s="51" t="str">
        <f aca="false">IF(AND(Q367&gt;0,T367&lt;-0.15),"ADVERSE","")</f>
        <v/>
      </c>
    </row>
    <row r="368" customFormat="false" ht="15" hidden="false" customHeight="false" outlineLevel="0" collapsed="false">
      <c r="A368" s="47" t="s">
        <v>134</v>
      </c>
      <c r="B368" s="47" t="s">
        <v>135</v>
      </c>
      <c r="C368" s="48" t="n">
        <v>45078</v>
      </c>
      <c r="D368" s="47" t="s">
        <v>34</v>
      </c>
      <c r="E368" s="47" t="s">
        <v>44</v>
      </c>
      <c r="F368" s="49" t="n">
        <v>437237</v>
      </c>
      <c r="G368" s="49" t="n">
        <v>455432</v>
      </c>
      <c r="H368" s="49" t="n">
        <v>273054</v>
      </c>
      <c r="I368" s="49" t="n">
        <v>279427</v>
      </c>
      <c r="J368" s="49" t="n">
        <v>64930</v>
      </c>
      <c r="K368" s="49" t="n">
        <v>64176</v>
      </c>
      <c r="L368" s="50" t="n">
        <v>21.7</v>
      </c>
      <c r="M368" s="51" t="n">
        <f aca="false">G368-F368</f>
        <v>18195</v>
      </c>
      <c r="N368" s="52" t="n">
        <f aca="false">IF(F368=0,0,M368/F368)</f>
        <v>0.0416135871392403</v>
      </c>
      <c r="O368" s="51" t="n">
        <f aca="false">G368-I368</f>
        <v>176005</v>
      </c>
      <c r="P368" s="51" t="n">
        <f aca="false">F368-H368</f>
        <v>164183</v>
      </c>
      <c r="Q368" s="51" t="n">
        <f aca="false">F368-H368-J368</f>
        <v>99253</v>
      </c>
      <c r="R368" s="51" t="n">
        <f aca="false">G368-I368-K368</f>
        <v>111829</v>
      </c>
      <c r="S368" s="51" t="n">
        <f aca="false">R368-Q368</f>
        <v>12576</v>
      </c>
      <c r="T368" s="52" t="n">
        <f aca="false">IF(Q368=0,0,S368/Q368)</f>
        <v>0.126706497536598</v>
      </c>
      <c r="U368" s="51" t="str">
        <f aca="false">IF(AND(Q368&gt;0,T368&lt;-0.15),"ADVERSE","")</f>
        <v/>
      </c>
    </row>
    <row r="369" customFormat="false" ht="15" hidden="false" customHeight="false" outlineLevel="0" collapsed="false">
      <c r="A369" s="47" t="s">
        <v>134</v>
      </c>
      <c r="B369" s="47" t="s">
        <v>136</v>
      </c>
      <c r="C369" s="48" t="n">
        <v>45108</v>
      </c>
      <c r="D369" s="47" t="s">
        <v>34</v>
      </c>
      <c r="E369" s="47" t="s">
        <v>44</v>
      </c>
      <c r="F369" s="49" t="n">
        <v>447635</v>
      </c>
      <c r="G369" s="49" t="n">
        <v>439924</v>
      </c>
      <c r="H369" s="49" t="n">
        <v>279548</v>
      </c>
      <c r="I369" s="49" t="n">
        <v>269807</v>
      </c>
      <c r="J369" s="49" t="n">
        <v>66474</v>
      </c>
      <c r="K369" s="49" t="n">
        <v>63559</v>
      </c>
      <c r="L369" s="50" t="n">
        <v>21.5</v>
      </c>
      <c r="M369" s="51" t="n">
        <f aca="false">G369-F369</f>
        <v>-7711</v>
      </c>
      <c r="N369" s="52" t="n">
        <f aca="false">IF(F369=0,0,M369/F369)</f>
        <v>-0.0172260882191964</v>
      </c>
      <c r="O369" s="51" t="n">
        <f aca="false">G369-I369</f>
        <v>170117</v>
      </c>
      <c r="P369" s="51" t="n">
        <f aca="false">F369-H369</f>
        <v>168087</v>
      </c>
      <c r="Q369" s="51" t="n">
        <f aca="false">F369-H369-J369</f>
        <v>101613</v>
      </c>
      <c r="R369" s="51" t="n">
        <f aca="false">G369-I369-K369</f>
        <v>106558</v>
      </c>
      <c r="S369" s="51" t="n">
        <f aca="false">R369-Q369</f>
        <v>4945</v>
      </c>
      <c r="T369" s="52" t="n">
        <f aca="false">IF(Q369=0,0,S369/Q369)</f>
        <v>0.0486650330174289</v>
      </c>
      <c r="U369" s="51" t="str">
        <f aca="false">IF(AND(Q369&gt;0,T369&lt;-0.15),"ADVERSE","")</f>
        <v/>
      </c>
    </row>
    <row r="370" customFormat="false" ht="15" hidden="false" customHeight="false" outlineLevel="0" collapsed="false">
      <c r="A370" s="47" t="s">
        <v>134</v>
      </c>
      <c r="B370" s="47" t="s">
        <v>136</v>
      </c>
      <c r="C370" s="48" t="n">
        <v>45139</v>
      </c>
      <c r="D370" s="47" t="s">
        <v>34</v>
      </c>
      <c r="E370" s="47" t="s">
        <v>44</v>
      </c>
      <c r="F370" s="49" t="n">
        <v>427785</v>
      </c>
      <c r="G370" s="49" t="n">
        <v>453348</v>
      </c>
      <c r="H370" s="49" t="n">
        <v>267151</v>
      </c>
      <c r="I370" s="49" t="n">
        <v>277836</v>
      </c>
      <c r="J370" s="49" t="n">
        <v>63526</v>
      </c>
      <c r="K370" s="49" t="n">
        <v>67779</v>
      </c>
      <c r="L370" s="50" t="n">
        <v>21.6</v>
      </c>
      <c r="M370" s="51" t="n">
        <f aca="false">G370-F370</f>
        <v>25563</v>
      </c>
      <c r="N370" s="52" t="n">
        <f aca="false">IF(F370=0,0,M370/F370)</f>
        <v>0.0597566534590974</v>
      </c>
      <c r="O370" s="51" t="n">
        <f aca="false">G370-I370</f>
        <v>175512</v>
      </c>
      <c r="P370" s="51" t="n">
        <f aca="false">F370-H370</f>
        <v>160634</v>
      </c>
      <c r="Q370" s="51" t="n">
        <f aca="false">F370-H370-J370</f>
        <v>97108</v>
      </c>
      <c r="R370" s="51" t="n">
        <f aca="false">G370-I370-K370</f>
        <v>107733</v>
      </c>
      <c r="S370" s="51" t="n">
        <f aca="false">R370-Q370</f>
        <v>10625</v>
      </c>
      <c r="T370" s="52" t="n">
        <f aca="false">IF(Q370=0,0,S370/Q370)</f>
        <v>0.109414260411089</v>
      </c>
      <c r="U370" s="51" t="str">
        <f aca="false">IF(AND(Q370&gt;0,T370&lt;-0.15),"ADVERSE","")</f>
        <v/>
      </c>
    </row>
    <row r="371" customFormat="false" ht="15" hidden="false" customHeight="false" outlineLevel="0" collapsed="false">
      <c r="A371" s="47" t="s">
        <v>134</v>
      </c>
      <c r="B371" s="47" t="s">
        <v>136</v>
      </c>
      <c r="C371" s="48" t="n">
        <v>45170</v>
      </c>
      <c r="D371" s="47" t="s">
        <v>34</v>
      </c>
      <c r="E371" s="47" t="s">
        <v>44</v>
      </c>
      <c r="F371" s="49" t="n">
        <v>449089</v>
      </c>
      <c r="G371" s="49" t="n">
        <v>440538</v>
      </c>
      <c r="H371" s="49" t="n">
        <v>280456</v>
      </c>
      <c r="I371" s="49" t="n">
        <v>269011</v>
      </c>
      <c r="J371" s="49" t="n">
        <v>66690</v>
      </c>
      <c r="K371" s="49" t="n">
        <v>63700</v>
      </c>
      <c r="L371" s="50" t="n">
        <v>21.7</v>
      </c>
      <c r="M371" s="51" t="n">
        <f aca="false">G371-F371</f>
        <v>-8551</v>
      </c>
      <c r="N371" s="52" t="n">
        <f aca="false">IF(F371=0,0,M371/F371)</f>
        <v>-0.0190407692016505</v>
      </c>
      <c r="O371" s="51" t="n">
        <f aca="false">G371-I371</f>
        <v>171527</v>
      </c>
      <c r="P371" s="51" t="n">
        <f aca="false">F371-H371</f>
        <v>168633</v>
      </c>
      <c r="Q371" s="51" t="n">
        <f aca="false">F371-H371-J371</f>
        <v>101943</v>
      </c>
      <c r="R371" s="51" t="n">
        <f aca="false">G371-I371-K371</f>
        <v>107827</v>
      </c>
      <c r="S371" s="51" t="n">
        <f aca="false">R371-Q371</f>
        <v>5884</v>
      </c>
      <c r="T371" s="52" t="n">
        <f aca="false">IF(Q371=0,0,S371/Q371)</f>
        <v>0.057718528981882</v>
      </c>
      <c r="U371" s="51" t="str">
        <f aca="false">IF(AND(Q371&gt;0,T371&lt;-0.15),"ADVERSE","")</f>
        <v/>
      </c>
    </row>
    <row r="372" customFormat="false" ht="15" hidden="false" customHeight="false" outlineLevel="0" collapsed="false">
      <c r="A372" s="47" t="s">
        <v>134</v>
      </c>
      <c r="B372" s="47" t="s">
        <v>137</v>
      </c>
      <c r="C372" s="48" t="n">
        <v>45200</v>
      </c>
      <c r="D372" s="47" t="s">
        <v>34</v>
      </c>
      <c r="E372" s="47" t="s">
        <v>44</v>
      </c>
      <c r="F372" s="49" t="n">
        <v>461093</v>
      </c>
      <c r="G372" s="49" t="n">
        <v>448331</v>
      </c>
      <c r="H372" s="49" t="n">
        <v>287952</v>
      </c>
      <c r="I372" s="49" t="n">
        <v>279937</v>
      </c>
      <c r="J372" s="49" t="n">
        <v>68472</v>
      </c>
      <c r="K372" s="49" t="n">
        <v>66363</v>
      </c>
      <c r="L372" s="50" t="n">
        <v>22.5</v>
      </c>
      <c r="M372" s="51" t="n">
        <f aca="false">G372-F372</f>
        <v>-12762</v>
      </c>
      <c r="N372" s="52" t="n">
        <f aca="false">IF(F372=0,0,M372/F372)</f>
        <v>-0.0276777136065826</v>
      </c>
      <c r="O372" s="51" t="n">
        <f aca="false">G372-I372</f>
        <v>168394</v>
      </c>
      <c r="P372" s="51" t="n">
        <f aca="false">F372-H372</f>
        <v>173141</v>
      </c>
      <c r="Q372" s="51" t="n">
        <f aca="false">F372-H372-J372</f>
        <v>104669</v>
      </c>
      <c r="R372" s="51" t="n">
        <f aca="false">G372-I372-K372</f>
        <v>102031</v>
      </c>
      <c r="S372" s="51" t="n">
        <f aca="false">R372-Q372</f>
        <v>-2638</v>
      </c>
      <c r="T372" s="52" t="n">
        <f aca="false">IF(Q372=0,0,S372/Q372)</f>
        <v>-0.0252032597999408</v>
      </c>
      <c r="U372" s="51" t="str">
        <f aca="false">IF(AND(Q372&gt;0,T372&lt;-0.15),"ADVERSE","")</f>
        <v/>
      </c>
    </row>
    <row r="373" customFormat="false" ht="15" hidden="false" customHeight="false" outlineLevel="0" collapsed="false">
      <c r="A373" s="47" t="s">
        <v>134</v>
      </c>
      <c r="B373" s="47" t="s">
        <v>137</v>
      </c>
      <c r="C373" s="48" t="n">
        <v>45231</v>
      </c>
      <c r="D373" s="47" t="s">
        <v>34</v>
      </c>
      <c r="E373" s="47" t="s">
        <v>44</v>
      </c>
      <c r="F373" s="49" t="n">
        <v>456451</v>
      </c>
      <c r="G373" s="49" t="n">
        <v>443898</v>
      </c>
      <c r="H373" s="49" t="n">
        <v>285054</v>
      </c>
      <c r="I373" s="49" t="n">
        <v>278887</v>
      </c>
      <c r="J373" s="49" t="n">
        <v>67783</v>
      </c>
      <c r="K373" s="49" t="n">
        <v>64365</v>
      </c>
      <c r="L373" s="50" t="n">
        <v>21.8</v>
      </c>
      <c r="M373" s="51" t="n">
        <f aca="false">G373-F373</f>
        <v>-12553</v>
      </c>
      <c r="N373" s="52" t="n">
        <f aca="false">IF(F373=0,0,M373/F373)</f>
        <v>-0.0275013090123584</v>
      </c>
      <c r="O373" s="51" t="n">
        <f aca="false">G373-I373</f>
        <v>165011</v>
      </c>
      <c r="P373" s="51" t="n">
        <f aca="false">F373-H373</f>
        <v>171397</v>
      </c>
      <c r="Q373" s="51" t="n">
        <f aca="false">F373-H373-J373</f>
        <v>103614</v>
      </c>
      <c r="R373" s="51" t="n">
        <f aca="false">G373-I373-K373</f>
        <v>100646</v>
      </c>
      <c r="S373" s="51" t="n">
        <f aca="false">R373-Q373</f>
        <v>-2968</v>
      </c>
      <c r="T373" s="52" t="n">
        <f aca="false">IF(Q373=0,0,S373/Q373)</f>
        <v>-0.0286447777327388</v>
      </c>
      <c r="U373" s="51" t="str">
        <f aca="false">IF(AND(Q373&gt;0,T373&lt;-0.15),"ADVERSE","")</f>
        <v/>
      </c>
    </row>
    <row r="374" customFormat="false" ht="15" hidden="false" customHeight="false" outlineLevel="0" collapsed="false">
      <c r="A374" s="47" t="s">
        <v>134</v>
      </c>
      <c r="B374" s="47" t="s">
        <v>137</v>
      </c>
      <c r="C374" s="48" t="n">
        <v>45261</v>
      </c>
      <c r="D374" s="47" t="s">
        <v>34</v>
      </c>
      <c r="E374" s="47" t="s">
        <v>44</v>
      </c>
      <c r="F374" s="49" t="n">
        <v>452195</v>
      </c>
      <c r="G374" s="49" t="n">
        <v>466304</v>
      </c>
      <c r="H374" s="49" t="n">
        <v>282396</v>
      </c>
      <c r="I374" s="49" t="n">
        <v>293910</v>
      </c>
      <c r="J374" s="49" t="n">
        <v>67151</v>
      </c>
      <c r="K374" s="49" t="n">
        <v>68670</v>
      </c>
      <c r="L374" s="50" t="n">
        <v>21.8</v>
      </c>
      <c r="M374" s="51" t="n">
        <f aca="false">G374-F374</f>
        <v>14109</v>
      </c>
      <c r="N374" s="52" t="n">
        <f aca="false">IF(F374=0,0,M374/F374)</f>
        <v>0.0312011411006314</v>
      </c>
      <c r="O374" s="51" t="n">
        <f aca="false">G374-I374</f>
        <v>172394</v>
      </c>
      <c r="P374" s="51" t="n">
        <f aca="false">F374-H374</f>
        <v>169799</v>
      </c>
      <c r="Q374" s="51" t="n">
        <f aca="false">F374-H374-J374</f>
        <v>102648</v>
      </c>
      <c r="R374" s="51" t="n">
        <f aca="false">G374-I374-K374</f>
        <v>103724</v>
      </c>
      <c r="S374" s="51" t="n">
        <f aca="false">R374-Q374</f>
        <v>1076</v>
      </c>
      <c r="T374" s="52" t="n">
        <f aca="false">IF(Q374=0,0,S374/Q374)</f>
        <v>0.0104824253760424</v>
      </c>
      <c r="U374" s="51" t="str">
        <f aca="false">IF(AND(Q374&gt;0,T374&lt;-0.15),"ADVERSE","")</f>
        <v/>
      </c>
    </row>
    <row r="375" customFormat="false" ht="15" hidden="false" customHeight="false" outlineLevel="0" collapsed="false">
      <c r="A375" s="47" t="s">
        <v>134</v>
      </c>
      <c r="B375" s="47" t="s">
        <v>138</v>
      </c>
      <c r="C375" s="48" t="n">
        <v>45292</v>
      </c>
      <c r="D375" s="47" t="s">
        <v>34</v>
      </c>
      <c r="E375" s="47" t="s">
        <v>44</v>
      </c>
      <c r="F375" s="49" t="n">
        <v>442248</v>
      </c>
      <c r="G375" s="49" t="n">
        <v>470704</v>
      </c>
      <c r="H375" s="49" t="n">
        <v>276184</v>
      </c>
      <c r="I375" s="49" t="n">
        <v>297533</v>
      </c>
      <c r="J375" s="49" t="n">
        <v>65674</v>
      </c>
      <c r="K375" s="49" t="n">
        <v>68539</v>
      </c>
      <c r="L375" s="50" t="n">
        <v>21.9</v>
      </c>
      <c r="M375" s="51" t="n">
        <f aca="false">G375-F375</f>
        <v>28456</v>
      </c>
      <c r="N375" s="52" t="n">
        <f aca="false">IF(F375=0,0,M375/F375)</f>
        <v>0.0643439879886399</v>
      </c>
      <c r="O375" s="51" t="n">
        <f aca="false">G375-I375</f>
        <v>173171</v>
      </c>
      <c r="P375" s="51" t="n">
        <f aca="false">F375-H375</f>
        <v>166064</v>
      </c>
      <c r="Q375" s="51" t="n">
        <f aca="false">F375-H375-J375</f>
        <v>100390</v>
      </c>
      <c r="R375" s="51" t="n">
        <f aca="false">G375-I375-K375</f>
        <v>104632</v>
      </c>
      <c r="S375" s="51" t="n">
        <f aca="false">R375-Q375</f>
        <v>4242</v>
      </c>
      <c r="T375" s="52" t="n">
        <f aca="false">IF(Q375=0,0,S375/Q375)</f>
        <v>0.0422552047016635</v>
      </c>
      <c r="U375" s="51" t="str">
        <f aca="false">IF(AND(Q375&gt;0,T375&lt;-0.15),"ADVERSE","")</f>
        <v/>
      </c>
    </row>
    <row r="376" customFormat="false" ht="15" hidden="false" customHeight="false" outlineLevel="0" collapsed="false">
      <c r="A376" s="47" t="s">
        <v>134</v>
      </c>
      <c r="B376" s="47" t="s">
        <v>138</v>
      </c>
      <c r="C376" s="48" t="n">
        <v>45323</v>
      </c>
      <c r="D376" s="47" t="s">
        <v>34</v>
      </c>
      <c r="E376" s="47" t="s">
        <v>44</v>
      </c>
      <c r="F376" s="49" t="n">
        <v>447636</v>
      </c>
      <c r="G376" s="49" t="n">
        <v>465620</v>
      </c>
      <c r="H376" s="49" t="n">
        <v>279549</v>
      </c>
      <c r="I376" s="49" t="n">
        <v>286097</v>
      </c>
      <c r="J376" s="49" t="n">
        <v>66474</v>
      </c>
      <c r="K376" s="49" t="n">
        <v>67116</v>
      </c>
      <c r="L376" s="50" t="n">
        <v>22</v>
      </c>
      <c r="M376" s="51" t="n">
        <f aca="false">G376-F376</f>
        <v>17984</v>
      </c>
      <c r="N376" s="52" t="n">
        <f aca="false">IF(F376=0,0,M376/F376)</f>
        <v>0.040175499736393</v>
      </c>
      <c r="O376" s="51" t="n">
        <f aca="false">G376-I376</f>
        <v>179523</v>
      </c>
      <c r="P376" s="51" t="n">
        <f aca="false">F376-H376</f>
        <v>168087</v>
      </c>
      <c r="Q376" s="51" t="n">
        <f aca="false">F376-H376-J376</f>
        <v>101613</v>
      </c>
      <c r="R376" s="51" t="n">
        <f aca="false">G376-I376-K376</f>
        <v>112407</v>
      </c>
      <c r="S376" s="51" t="n">
        <f aca="false">R376-Q376</f>
        <v>10794</v>
      </c>
      <c r="T376" s="52" t="n">
        <f aca="false">IF(Q376=0,0,S376/Q376)</f>
        <v>0.106226565498509</v>
      </c>
      <c r="U376" s="51" t="str">
        <f aca="false">IF(AND(Q376&gt;0,T376&lt;-0.15),"ADVERSE","")</f>
        <v/>
      </c>
    </row>
    <row r="377" customFormat="false" ht="15" hidden="false" customHeight="false" outlineLevel="0" collapsed="false">
      <c r="A377" s="47" t="s">
        <v>134</v>
      </c>
      <c r="B377" s="47" t="s">
        <v>138</v>
      </c>
      <c r="C377" s="48" t="n">
        <v>45352</v>
      </c>
      <c r="D377" s="47" t="s">
        <v>34</v>
      </c>
      <c r="E377" s="47" t="s">
        <v>44</v>
      </c>
      <c r="F377" s="49" t="n">
        <v>489079</v>
      </c>
      <c r="G377" s="49" t="n">
        <v>512633</v>
      </c>
      <c r="H377" s="49" t="n">
        <v>305430</v>
      </c>
      <c r="I377" s="49" t="n">
        <v>316964</v>
      </c>
      <c r="J377" s="49" t="n">
        <v>72628</v>
      </c>
      <c r="K377" s="49" t="n">
        <v>76617</v>
      </c>
      <c r="L377" s="50" t="n">
        <v>22.1</v>
      </c>
      <c r="M377" s="51" t="n">
        <f aca="false">G377-F377</f>
        <v>23554</v>
      </c>
      <c r="N377" s="52" t="n">
        <f aca="false">IF(F377=0,0,M377/F377)</f>
        <v>0.0481599087264021</v>
      </c>
      <c r="O377" s="51" t="n">
        <f aca="false">G377-I377</f>
        <v>195669</v>
      </c>
      <c r="P377" s="51" t="n">
        <f aca="false">F377-H377</f>
        <v>183649</v>
      </c>
      <c r="Q377" s="51" t="n">
        <f aca="false">F377-H377-J377</f>
        <v>111021</v>
      </c>
      <c r="R377" s="51" t="n">
        <f aca="false">G377-I377-K377</f>
        <v>119052</v>
      </c>
      <c r="S377" s="51" t="n">
        <f aca="false">R377-Q377</f>
        <v>8031</v>
      </c>
      <c r="T377" s="52" t="n">
        <f aca="false">IF(Q377=0,0,S377/Q377)</f>
        <v>0.0723376658470019</v>
      </c>
      <c r="U377" s="51" t="str">
        <f aca="false">IF(AND(Q377&gt;0,T377&lt;-0.15),"ADVERSE","")</f>
        <v/>
      </c>
    </row>
    <row r="378" customFormat="false" ht="15" hidden="false" customHeight="false" outlineLevel="0" collapsed="false">
      <c r="A378" s="47" t="s">
        <v>139</v>
      </c>
      <c r="B378" s="47" t="s">
        <v>135</v>
      </c>
      <c r="C378" s="48" t="n">
        <v>45383</v>
      </c>
      <c r="D378" s="47" t="s">
        <v>34</v>
      </c>
      <c r="E378" s="47" t="s">
        <v>44</v>
      </c>
      <c r="F378" s="49" t="n">
        <v>465929</v>
      </c>
      <c r="G378" s="49" t="n">
        <v>433275</v>
      </c>
      <c r="H378" s="49" t="n">
        <v>290973</v>
      </c>
      <c r="I378" s="49" t="n">
        <v>269342</v>
      </c>
      <c r="J378" s="49" t="n">
        <v>69190</v>
      </c>
      <c r="K378" s="49" t="n">
        <v>64419</v>
      </c>
      <c r="L378" s="50" t="n">
        <v>21.9</v>
      </c>
      <c r="M378" s="51" t="n">
        <f aca="false">G378-F378</f>
        <v>-32654</v>
      </c>
      <c r="N378" s="52" t="n">
        <f aca="false">IF(F378=0,0,M378/F378)</f>
        <v>-0.0700836393527769</v>
      </c>
      <c r="O378" s="51" t="n">
        <f aca="false">G378-I378</f>
        <v>163933</v>
      </c>
      <c r="P378" s="51" t="n">
        <f aca="false">F378-H378</f>
        <v>174956</v>
      </c>
      <c r="Q378" s="51" t="n">
        <f aca="false">F378-H378-J378</f>
        <v>105766</v>
      </c>
      <c r="R378" s="51" t="n">
        <f aca="false">G378-I378-K378</f>
        <v>99514</v>
      </c>
      <c r="S378" s="51" t="n">
        <f aca="false">R378-Q378</f>
        <v>-6252</v>
      </c>
      <c r="T378" s="52" t="n">
        <f aca="false">IF(Q378=0,0,S378/Q378)</f>
        <v>-0.0591116237732353</v>
      </c>
      <c r="U378" s="51" t="str">
        <f aca="false">IF(AND(Q378&gt;0,T378&lt;-0.15),"ADVERSE","")</f>
        <v/>
      </c>
    </row>
    <row r="379" customFormat="false" ht="15" hidden="false" customHeight="false" outlineLevel="0" collapsed="false">
      <c r="A379" s="47" t="s">
        <v>139</v>
      </c>
      <c r="B379" s="47" t="s">
        <v>135</v>
      </c>
      <c r="C379" s="48" t="n">
        <v>45413</v>
      </c>
      <c r="D379" s="47" t="s">
        <v>34</v>
      </c>
      <c r="E379" s="47" t="s">
        <v>44</v>
      </c>
      <c r="F379" s="49" t="n">
        <v>462123</v>
      </c>
      <c r="G379" s="49" t="n">
        <v>463620</v>
      </c>
      <c r="H379" s="49" t="n">
        <v>288596</v>
      </c>
      <c r="I379" s="49" t="n">
        <v>286643</v>
      </c>
      <c r="J379" s="49" t="n">
        <v>68625</v>
      </c>
      <c r="K379" s="49" t="n">
        <v>74511</v>
      </c>
      <c r="L379" s="50" t="n">
        <v>22.1</v>
      </c>
      <c r="M379" s="51" t="n">
        <f aca="false">G379-F379</f>
        <v>1497</v>
      </c>
      <c r="N379" s="52" t="n">
        <f aca="false">IF(F379=0,0,M379/F379)</f>
        <v>0.00323939730331535</v>
      </c>
      <c r="O379" s="51" t="n">
        <f aca="false">G379-I379</f>
        <v>176977</v>
      </c>
      <c r="P379" s="51" t="n">
        <f aca="false">F379-H379</f>
        <v>173527</v>
      </c>
      <c r="Q379" s="51" t="n">
        <f aca="false">F379-H379-J379</f>
        <v>104902</v>
      </c>
      <c r="R379" s="51" t="n">
        <f aca="false">G379-I379-K379</f>
        <v>102466</v>
      </c>
      <c r="S379" s="51" t="n">
        <f aca="false">R379-Q379</f>
        <v>-2436</v>
      </c>
      <c r="T379" s="52" t="n">
        <f aca="false">IF(Q379=0,0,S379/Q379)</f>
        <v>-0.0232216735619912</v>
      </c>
      <c r="U379" s="51" t="str">
        <f aca="false">IF(AND(Q379&gt;0,T379&lt;-0.15),"ADVERSE","")</f>
        <v/>
      </c>
    </row>
    <row r="380" customFormat="false" ht="15" hidden="false" customHeight="false" outlineLevel="0" collapsed="false">
      <c r="A380" s="47" t="s">
        <v>139</v>
      </c>
      <c r="B380" s="47" t="s">
        <v>135</v>
      </c>
      <c r="C380" s="48" t="n">
        <v>45444</v>
      </c>
      <c r="D380" s="47" t="s">
        <v>34</v>
      </c>
      <c r="E380" s="47" t="s">
        <v>44</v>
      </c>
      <c r="F380" s="49" t="n">
        <v>481914</v>
      </c>
      <c r="G380" s="49" t="n">
        <v>446306</v>
      </c>
      <c r="H380" s="49" t="n">
        <v>300955</v>
      </c>
      <c r="I380" s="49" t="n">
        <v>283743</v>
      </c>
      <c r="J380" s="49" t="n">
        <v>71564</v>
      </c>
      <c r="K380" s="49" t="n">
        <v>64181</v>
      </c>
      <c r="L380" s="50" t="n">
        <v>22.2</v>
      </c>
      <c r="M380" s="51" t="n">
        <f aca="false">G380-F380</f>
        <v>-35608</v>
      </c>
      <c r="N380" s="52" t="n">
        <f aca="false">IF(F380=0,0,M380/F380)</f>
        <v>-0.0738887021335757</v>
      </c>
      <c r="O380" s="51" t="n">
        <f aca="false">G380-I380</f>
        <v>162563</v>
      </c>
      <c r="P380" s="51" t="n">
        <f aca="false">F380-H380</f>
        <v>180959</v>
      </c>
      <c r="Q380" s="51" t="n">
        <f aca="false">F380-H380-J380</f>
        <v>109395</v>
      </c>
      <c r="R380" s="51" t="n">
        <f aca="false">G380-I380-K380</f>
        <v>98382</v>
      </c>
      <c r="S380" s="51" t="n">
        <f aca="false">R380-Q380</f>
        <v>-11013</v>
      </c>
      <c r="T380" s="52" t="n">
        <f aca="false">IF(Q380=0,0,S380/Q380)</f>
        <v>-0.100671877142465</v>
      </c>
      <c r="U380" s="51" t="str">
        <f aca="false">IF(AND(Q380&gt;0,T380&lt;-0.15),"ADVERSE","")</f>
        <v/>
      </c>
    </row>
    <row r="381" customFormat="false" ht="15" hidden="false" customHeight="false" outlineLevel="0" collapsed="false">
      <c r="A381" s="47" t="s">
        <v>139</v>
      </c>
      <c r="B381" s="47" t="s">
        <v>136</v>
      </c>
      <c r="C381" s="48" t="n">
        <v>45474</v>
      </c>
      <c r="D381" s="47" t="s">
        <v>34</v>
      </c>
      <c r="E381" s="47" t="s">
        <v>44</v>
      </c>
      <c r="F381" s="49" t="n">
        <v>481570</v>
      </c>
      <c r="G381" s="49" t="n">
        <v>472329</v>
      </c>
      <c r="H381" s="49" t="n">
        <v>300741</v>
      </c>
      <c r="I381" s="49" t="n">
        <v>289706</v>
      </c>
      <c r="J381" s="49" t="n">
        <v>71513</v>
      </c>
      <c r="K381" s="49" t="n">
        <v>67587</v>
      </c>
      <c r="L381" s="50" t="n">
        <v>23.1</v>
      </c>
      <c r="M381" s="51" t="n">
        <f aca="false">G381-F381</f>
        <v>-9241</v>
      </c>
      <c r="N381" s="52" t="n">
        <f aca="false">IF(F381=0,0,M381/F381)</f>
        <v>-0.019189318271487</v>
      </c>
      <c r="O381" s="51" t="n">
        <f aca="false">G381-I381</f>
        <v>182623</v>
      </c>
      <c r="P381" s="51" t="n">
        <f aca="false">F381-H381</f>
        <v>180829</v>
      </c>
      <c r="Q381" s="51" t="n">
        <f aca="false">F381-H381-J381</f>
        <v>109316</v>
      </c>
      <c r="R381" s="51" t="n">
        <f aca="false">G381-I381-K381</f>
        <v>115036</v>
      </c>
      <c r="S381" s="51" t="n">
        <f aca="false">R381-Q381</f>
        <v>5720</v>
      </c>
      <c r="T381" s="52" t="n">
        <f aca="false">IF(Q381=0,0,S381/Q381)</f>
        <v>0.0523253686560064</v>
      </c>
      <c r="U381" s="51" t="str">
        <f aca="false">IF(AND(Q381&gt;0,T381&lt;-0.15),"ADVERSE","")</f>
        <v/>
      </c>
    </row>
    <row r="382" customFormat="false" ht="15" hidden="false" customHeight="false" outlineLevel="0" collapsed="false">
      <c r="A382" s="47" t="s">
        <v>139</v>
      </c>
      <c r="B382" s="47" t="s">
        <v>136</v>
      </c>
      <c r="C382" s="48" t="n">
        <v>45505</v>
      </c>
      <c r="D382" s="47" t="s">
        <v>34</v>
      </c>
      <c r="E382" s="47" t="s">
        <v>44</v>
      </c>
      <c r="F382" s="49" t="n">
        <v>464676</v>
      </c>
      <c r="G382" s="49" t="n">
        <v>448655</v>
      </c>
      <c r="H382" s="49" t="n">
        <v>290190</v>
      </c>
      <c r="I382" s="49" t="n">
        <v>282918</v>
      </c>
      <c r="J382" s="49" t="n">
        <v>69004</v>
      </c>
      <c r="K382" s="49" t="n">
        <v>65803</v>
      </c>
      <c r="L382" s="50" t="n">
        <v>22.2</v>
      </c>
      <c r="M382" s="51" t="n">
        <f aca="false">G382-F382</f>
        <v>-16021</v>
      </c>
      <c r="N382" s="52" t="n">
        <f aca="false">IF(F382=0,0,M382/F382)</f>
        <v>-0.0344777866728645</v>
      </c>
      <c r="O382" s="51" t="n">
        <f aca="false">G382-I382</f>
        <v>165737</v>
      </c>
      <c r="P382" s="51" t="n">
        <f aca="false">F382-H382</f>
        <v>174486</v>
      </c>
      <c r="Q382" s="51" t="n">
        <f aca="false">F382-H382-J382</f>
        <v>105482</v>
      </c>
      <c r="R382" s="51" t="n">
        <f aca="false">G382-I382-K382</f>
        <v>99934</v>
      </c>
      <c r="S382" s="51" t="n">
        <f aca="false">R382-Q382</f>
        <v>-5548</v>
      </c>
      <c r="T382" s="52" t="n">
        <f aca="false">IF(Q382=0,0,S382/Q382)</f>
        <v>-0.0525966515614038</v>
      </c>
      <c r="U382" s="51" t="str">
        <f aca="false">IF(AND(Q382&gt;0,T382&lt;-0.15),"ADVERSE","")</f>
        <v/>
      </c>
    </row>
    <row r="383" customFormat="false" ht="15" hidden="false" customHeight="false" outlineLevel="0" collapsed="false">
      <c r="A383" s="47" t="s">
        <v>139</v>
      </c>
      <c r="B383" s="47" t="s">
        <v>136</v>
      </c>
      <c r="C383" s="48" t="n">
        <v>45536</v>
      </c>
      <c r="D383" s="47" t="s">
        <v>34</v>
      </c>
      <c r="E383" s="47" t="s">
        <v>44</v>
      </c>
      <c r="F383" s="49" t="n">
        <v>481927</v>
      </c>
      <c r="G383" s="49" t="n">
        <v>452403</v>
      </c>
      <c r="H383" s="49" t="n">
        <v>300964</v>
      </c>
      <c r="I383" s="49" t="n">
        <v>283207</v>
      </c>
      <c r="J383" s="49" t="n">
        <v>71566</v>
      </c>
      <c r="K383" s="49" t="n">
        <v>70689</v>
      </c>
      <c r="L383" s="50" t="n">
        <v>22.4</v>
      </c>
      <c r="M383" s="51" t="n">
        <f aca="false">G383-F383</f>
        <v>-29524</v>
      </c>
      <c r="N383" s="52" t="n">
        <f aca="false">IF(F383=0,0,M383/F383)</f>
        <v>-0.0612623903620258</v>
      </c>
      <c r="O383" s="51" t="n">
        <f aca="false">G383-I383</f>
        <v>169196</v>
      </c>
      <c r="P383" s="51" t="n">
        <f aca="false">F383-H383</f>
        <v>180963</v>
      </c>
      <c r="Q383" s="51" t="n">
        <f aca="false">F383-H383-J383</f>
        <v>109397</v>
      </c>
      <c r="R383" s="51" t="n">
        <f aca="false">G383-I383-K383</f>
        <v>98507</v>
      </c>
      <c r="S383" s="51" t="n">
        <f aca="false">R383-Q383</f>
        <v>-10890</v>
      </c>
      <c r="T383" s="52" t="n">
        <f aca="false">IF(Q383=0,0,S383/Q383)</f>
        <v>-0.0995456913809337</v>
      </c>
      <c r="U383" s="51" t="str">
        <f aca="false">IF(AND(Q383&gt;0,T383&lt;-0.15),"ADVERSE","")</f>
        <v/>
      </c>
    </row>
    <row r="384" customFormat="false" ht="15" hidden="false" customHeight="false" outlineLevel="0" collapsed="false">
      <c r="A384" s="47" t="s">
        <v>139</v>
      </c>
      <c r="B384" s="47" t="s">
        <v>137</v>
      </c>
      <c r="C384" s="48" t="n">
        <v>45566</v>
      </c>
      <c r="D384" s="47" t="s">
        <v>34</v>
      </c>
      <c r="E384" s="47" t="s">
        <v>44</v>
      </c>
      <c r="F384" s="49" t="n">
        <v>497296</v>
      </c>
      <c r="G384" s="49" t="n">
        <v>507884</v>
      </c>
      <c r="H384" s="49" t="n">
        <v>310561</v>
      </c>
      <c r="I384" s="49" t="n">
        <v>314952</v>
      </c>
      <c r="J384" s="49" t="n">
        <v>73848</v>
      </c>
      <c r="K384" s="49" t="n">
        <v>77337</v>
      </c>
      <c r="L384" s="50" t="n">
        <v>22.7</v>
      </c>
      <c r="M384" s="51" t="n">
        <f aca="false">G384-F384</f>
        <v>10588</v>
      </c>
      <c r="N384" s="52" t="n">
        <f aca="false">IF(F384=0,0,M384/F384)</f>
        <v>0.0212911424986326</v>
      </c>
      <c r="O384" s="51" t="n">
        <f aca="false">G384-I384</f>
        <v>192932</v>
      </c>
      <c r="P384" s="51" t="n">
        <f aca="false">F384-H384</f>
        <v>186735</v>
      </c>
      <c r="Q384" s="51" t="n">
        <f aca="false">F384-H384-J384</f>
        <v>112887</v>
      </c>
      <c r="R384" s="51" t="n">
        <f aca="false">G384-I384-K384</f>
        <v>115595</v>
      </c>
      <c r="S384" s="51" t="n">
        <f aca="false">R384-Q384</f>
        <v>2708</v>
      </c>
      <c r="T384" s="52" t="n">
        <f aca="false">IF(Q384=0,0,S384/Q384)</f>
        <v>0.0239885903602718</v>
      </c>
      <c r="U384" s="51" t="str">
        <f aca="false">IF(AND(Q384&gt;0,T384&lt;-0.15),"ADVERSE","")</f>
        <v/>
      </c>
    </row>
    <row r="385" customFormat="false" ht="15" hidden="false" customHeight="false" outlineLevel="0" collapsed="false">
      <c r="A385" s="47" t="s">
        <v>139</v>
      </c>
      <c r="B385" s="47" t="s">
        <v>137</v>
      </c>
      <c r="C385" s="48" t="n">
        <v>45597</v>
      </c>
      <c r="D385" s="47" t="s">
        <v>34</v>
      </c>
      <c r="E385" s="47" t="s">
        <v>44</v>
      </c>
      <c r="F385" s="49" t="n">
        <v>490774</v>
      </c>
      <c r="G385" s="49" t="n">
        <v>487625</v>
      </c>
      <c r="H385" s="49" t="n">
        <v>306488</v>
      </c>
      <c r="I385" s="49" t="n">
        <v>304072</v>
      </c>
      <c r="J385" s="49" t="n">
        <v>72880</v>
      </c>
      <c r="K385" s="49" t="n">
        <v>72344</v>
      </c>
      <c r="L385" s="50" t="n">
        <v>22.9</v>
      </c>
      <c r="M385" s="51" t="n">
        <f aca="false">G385-F385</f>
        <v>-3149</v>
      </c>
      <c r="N385" s="52" t="n">
        <f aca="false">IF(F385=0,0,M385/F385)</f>
        <v>-0.00641639532656579</v>
      </c>
      <c r="O385" s="51" t="n">
        <f aca="false">G385-I385</f>
        <v>183553</v>
      </c>
      <c r="P385" s="51" t="n">
        <f aca="false">F385-H385</f>
        <v>184286</v>
      </c>
      <c r="Q385" s="51" t="n">
        <f aca="false">F385-H385-J385</f>
        <v>111406</v>
      </c>
      <c r="R385" s="51" t="n">
        <f aca="false">G385-I385-K385</f>
        <v>111209</v>
      </c>
      <c r="S385" s="51" t="n">
        <f aca="false">R385-Q385</f>
        <v>-197</v>
      </c>
      <c r="T385" s="52" t="n">
        <f aca="false">IF(Q385=0,0,S385/Q385)</f>
        <v>-0.0017683069134517</v>
      </c>
      <c r="U385" s="51" t="str">
        <f aca="false">IF(AND(Q385&gt;0,T385&lt;-0.15),"ADVERSE","")</f>
        <v/>
      </c>
    </row>
    <row r="386" customFormat="false" ht="15" hidden="false" customHeight="false" outlineLevel="0" collapsed="false">
      <c r="A386" s="47" t="s">
        <v>139</v>
      </c>
      <c r="B386" s="47" t="s">
        <v>137</v>
      </c>
      <c r="C386" s="48" t="n">
        <v>45627</v>
      </c>
      <c r="D386" s="47" t="s">
        <v>34</v>
      </c>
      <c r="E386" s="47" t="s">
        <v>44</v>
      </c>
      <c r="F386" s="49" t="n">
        <v>491614</v>
      </c>
      <c r="G386" s="49" t="n">
        <v>496851</v>
      </c>
      <c r="H386" s="49" t="n">
        <v>307013</v>
      </c>
      <c r="I386" s="49" t="n">
        <v>313198</v>
      </c>
      <c r="J386" s="49" t="n">
        <v>73005</v>
      </c>
      <c r="K386" s="49" t="n">
        <v>77593</v>
      </c>
      <c r="L386" s="50" t="n">
        <v>23.2</v>
      </c>
      <c r="M386" s="51" t="n">
        <f aca="false">G386-F386</f>
        <v>5237</v>
      </c>
      <c r="N386" s="52" t="n">
        <f aca="false">IF(F386=0,0,M386/F386)</f>
        <v>0.0106526665229225</v>
      </c>
      <c r="O386" s="51" t="n">
        <f aca="false">G386-I386</f>
        <v>183653</v>
      </c>
      <c r="P386" s="51" t="n">
        <f aca="false">F386-H386</f>
        <v>184601</v>
      </c>
      <c r="Q386" s="51" t="n">
        <f aca="false">F386-H386-J386</f>
        <v>111596</v>
      </c>
      <c r="R386" s="51" t="n">
        <f aca="false">G386-I386-K386</f>
        <v>106060</v>
      </c>
      <c r="S386" s="51" t="n">
        <f aca="false">R386-Q386</f>
        <v>-5536</v>
      </c>
      <c r="T386" s="52" t="n">
        <f aca="false">IF(Q386=0,0,S386/Q386)</f>
        <v>-0.0496075128140794</v>
      </c>
      <c r="U386" s="51" t="str">
        <f aca="false">IF(AND(Q386&gt;0,T386&lt;-0.15),"ADVERSE","")</f>
        <v/>
      </c>
    </row>
    <row r="387" customFormat="false" ht="15" hidden="false" customHeight="false" outlineLevel="0" collapsed="false">
      <c r="A387" s="47" t="s">
        <v>139</v>
      </c>
      <c r="B387" s="47" t="s">
        <v>138</v>
      </c>
      <c r="C387" s="48" t="n">
        <v>45658</v>
      </c>
      <c r="D387" s="47" t="s">
        <v>34</v>
      </c>
      <c r="E387" s="47" t="s">
        <v>44</v>
      </c>
      <c r="F387" s="49" t="n">
        <v>470067</v>
      </c>
      <c r="G387" s="49" t="n">
        <v>456754</v>
      </c>
      <c r="H387" s="49" t="n">
        <v>293557</v>
      </c>
      <c r="I387" s="49" t="n">
        <v>285786</v>
      </c>
      <c r="J387" s="49" t="n">
        <v>69805</v>
      </c>
      <c r="K387" s="49" t="n">
        <v>72447</v>
      </c>
      <c r="L387" s="50" t="n">
        <v>22.4</v>
      </c>
      <c r="M387" s="51" t="n">
        <f aca="false">G387-F387</f>
        <v>-13313</v>
      </c>
      <c r="N387" s="52" t="n">
        <f aca="false">IF(F387=0,0,M387/F387)</f>
        <v>-0.0283214945954513</v>
      </c>
      <c r="O387" s="51" t="n">
        <f aca="false">G387-I387</f>
        <v>170968</v>
      </c>
      <c r="P387" s="51" t="n">
        <f aca="false">F387-H387</f>
        <v>176510</v>
      </c>
      <c r="Q387" s="51" t="n">
        <f aca="false">F387-H387-J387</f>
        <v>106705</v>
      </c>
      <c r="R387" s="51" t="n">
        <f aca="false">G387-I387-K387</f>
        <v>98521</v>
      </c>
      <c r="S387" s="51" t="n">
        <f aca="false">R387-Q387</f>
        <v>-8184</v>
      </c>
      <c r="T387" s="52" t="n">
        <f aca="false">IF(Q387=0,0,S387/Q387)</f>
        <v>-0.0766974368586289</v>
      </c>
      <c r="U387" s="51" t="str">
        <f aca="false">IF(AND(Q387&gt;0,T387&lt;-0.15),"ADVERSE","")</f>
        <v/>
      </c>
    </row>
    <row r="388" customFormat="false" ht="15" hidden="false" customHeight="false" outlineLevel="0" collapsed="false">
      <c r="A388" s="47" t="s">
        <v>139</v>
      </c>
      <c r="B388" s="47" t="s">
        <v>138</v>
      </c>
      <c r="C388" s="48" t="n">
        <v>45689</v>
      </c>
      <c r="D388" s="47" t="s">
        <v>34</v>
      </c>
      <c r="E388" s="47" t="s">
        <v>44</v>
      </c>
      <c r="F388" s="49" t="n">
        <v>483540</v>
      </c>
      <c r="G388" s="49" t="n">
        <v>453989</v>
      </c>
      <c r="H388" s="49" t="n">
        <v>301971</v>
      </c>
      <c r="I388" s="49" t="n">
        <v>281468</v>
      </c>
      <c r="J388" s="49" t="n">
        <v>71806</v>
      </c>
      <c r="K388" s="49" t="n">
        <v>70607</v>
      </c>
      <c r="L388" s="50" t="n">
        <v>22.9</v>
      </c>
      <c r="M388" s="51" t="n">
        <f aca="false">G388-F388</f>
        <v>-29551</v>
      </c>
      <c r="N388" s="52" t="n">
        <f aca="false">IF(F388=0,0,M388/F388)</f>
        <v>-0.0611138685527568</v>
      </c>
      <c r="O388" s="51" t="n">
        <f aca="false">G388-I388</f>
        <v>172521</v>
      </c>
      <c r="P388" s="51" t="n">
        <f aca="false">F388-H388</f>
        <v>181569</v>
      </c>
      <c r="Q388" s="51" t="n">
        <f aca="false">F388-H388-J388</f>
        <v>109763</v>
      </c>
      <c r="R388" s="51" t="n">
        <f aca="false">G388-I388-K388</f>
        <v>101914</v>
      </c>
      <c r="S388" s="51" t="n">
        <f aca="false">R388-Q388</f>
        <v>-7849</v>
      </c>
      <c r="T388" s="52" t="n">
        <f aca="false">IF(Q388=0,0,S388/Q388)</f>
        <v>-0.0715086140138298</v>
      </c>
      <c r="U388" s="51" t="str">
        <f aca="false">IF(AND(Q388&gt;0,T388&lt;-0.15),"ADVERSE","")</f>
        <v/>
      </c>
    </row>
    <row r="389" customFormat="false" ht="15" hidden="false" customHeight="false" outlineLevel="0" collapsed="false">
      <c r="A389" s="47" t="s">
        <v>139</v>
      </c>
      <c r="B389" s="47" t="s">
        <v>138</v>
      </c>
      <c r="C389" s="48" t="n">
        <v>45717</v>
      </c>
      <c r="D389" s="47" t="s">
        <v>34</v>
      </c>
      <c r="E389" s="47" t="s">
        <v>44</v>
      </c>
      <c r="F389" s="49" t="n">
        <v>527230</v>
      </c>
      <c r="G389" s="49" t="n">
        <v>525305</v>
      </c>
      <c r="H389" s="49" t="n">
        <v>329255</v>
      </c>
      <c r="I389" s="49" t="n">
        <v>329724</v>
      </c>
      <c r="J389" s="49" t="n">
        <v>78294</v>
      </c>
      <c r="K389" s="49" t="n">
        <v>74862</v>
      </c>
      <c r="L389" s="50" t="n">
        <v>22.8</v>
      </c>
      <c r="M389" s="51" t="n">
        <f aca="false">G389-F389</f>
        <v>-1925</v>
      </c>
      <c r="N389" s="52" t="n">
        <f aca="false">IF(F389=0,0,M389/F389)</f>
        <v>-0.00365115793866055</v>
      </c>
      <c r="O389" s="51" t="n">
        <f aca="false">G389-I389</f>
        <v>195581</v>
      </c>
      <c r="P389" s="51" t="n">
        <f aca="false">F389-H389</f>
        <v>197975</v>
      </c>
      <c r="Q389" s="51" t="n">
        <f aca="false">F389-H389-J389</f>
        <v>119681</v>
      </c>
      <c r="R389" s="51" t="n">
        <f aca="false">G389-I389-K389</f>
        <v>120719</v>
      </c>
      <c r="S389" s="51" t="n">
        <f aca="false">R389-Q389</f>
        <v>1038</v>
      </c>
      <c r="T389" s="52" t="n">
        <f aca="false">IF(Q389=0,0,S389/Q389)</f>
        <v>0.00867305587353047</v>
      </c>
      <c r="U389" s="51" t="str">
        <f aca="false">IF(AND(Q389&gt;0,T389&lt;-0.15),"ADVERSE","")</f>
        <v/>
      </c>
    </row>
    <row r="390" customFormat="false" ht="15" hidden="false" customHeight="false" outlineLevel="0" collapsed="false">
      <c r="A390" s="47" t="s">
        <v>3</v>
      </c>
      <c r="B390" s="47" t="s">
        <v>135</v>
      </c>
      <c r="C390" s="48" t="n">
        <v>45748</v>
      </c>
      <c r="D390" s="47" t="s">
        <v>34</v>
      </c>
      <c r="E390" s="47" t="s">
        <v>44</v>
      </c>
      <c r="F390" s="49" t="n">
        <v>504474</v>
      </c>
      <c r="G390" s="49" t="n">
        <v>450024</v>
      </c>
      <c r="H390" s="49" t="n">
        <v>315044</v>
      </c>
      <c r="I390" s="49" t="n">
        <v>279042</v>
      </c>
      <c r="J390" s="49" t="n">
        <v>74914</v>
      </c>
      <c r="K390" s="49" t="n">
        <v>71841</v>
      </c>
      <c r="L390" s="50" t="n">
        <v>22.7</v>
      </c>
      <c r="M390" s="51" t="n">
        <f aca="false">G390-F390</f>
        <v>-54450</v>
      </c>
      <c r="N390" s="52" t="n">
        <f aca="false">IF(F390=0,0,M390/F390)</f>
        <v>-0.107934204736022</v>
      </c>
      <c r="O390" s="51" t="n">
        <f aca="false">G390-I390</f>
        <v>170982</v>
      </c>
      <c r="P390" s="51" t="n">
        <f aca="false">F390-H390</f>
        <v>189430</v>
      </c>
      <c r="Q390" s="51" t="n">
        <f aca="false">F390-H390-J390</f>
        <v>114516</v>
      </c>
      <c r="R390" s="51" t="n">
        <f aca="false">G390-I390-K390</f>
        <v>99141</v>
      </c>
      <c r="S390" s="51" t="n">
        <f aca="false">R390-Q390</f>
        <v>-15375</v>
      </c>
      <c r="T390" s="52" t="n">
        <f aca="false">IF(Q390=0,0,S390/Q390)</f>
        <v>-0.13426071465996</v>
      </c>
      <c r="U390" s="51" t="str">
        <f aca="false">IF(AND(Q390&gt;0,T390&lt;-0.15),"ADVERSE","")</f>
        <v/>
      </c>
    </row>
    <row r="391" customFormat="false" ht="15" hidden="false" customHeight="false" outlineLevel="0" collapsed="false">
      <c r="A391" s="47" t="s">
        <v>3</v>
      </c>
      <c r="B391" s="47" t="s">
        <v>135</v>
      </c>
      <c r="C391" s="48" t="n">
        <v>45778</v>
      </c>
      <c r="D391" s="47" t="s">
        <v>34</v>
      </c>
      <c r="E391" s="47" t="s">
        <v>44</v>
      </c>
      <c r="F391" s="49" t="n">
        <v>512338</v>
      </c>
      <c r="G391" s="49" t="n">
        <v>510405</v>
      </c>
      <c r="H391" s="49" t="n">
        <v>319955</v>
      </c>
      <c r="I391" s="49" t="n">
        <v>314569</v>
      </c>
      <c r="J391" s="49" t="n">
        <v>76082</v>
      </c>
      <c r="K391" s="49" t="n">
        <v>74802</v>
      </c>
      <c r="L391" s="50" t="n">
        <v>22.6</v>
      </c>
      <c r="M391" s="51" t="n">
        <f aca="false">G391-F391</f>
        <v>-1933</v>
      </c>
      <c r="N391" s="52" t="n">
        <f aca="false">IF(F391=0,0,M391/F391)</f>
        <v>-0.00377289992153617</v>
      </c>
      <c r="O391" s="51" t="n">
        <f aca="false">G391-I391</f>
        <v>195836</v>
      </c>
      <c r="P391" s="51" t="n">
        <f aca="false">F391-H391</f>
        <v>192383</v>
      </c>
      <c r="Q391" s="51" t="n">
        <f aca="false">F391-H391-J391</f>
        <v>116301</v>
      </c>
      <c r="R391" s="51" t="n">
        <f aca="false">G391-I391-K391</f>
        <v>121034</v>
      </c>
      <c r="S391" s="51" t="n">
        <f aca="false">R391-Q391</f>
        <v>4733</v>
      </c>
      <c r="T391" s="52" t="n">
        <f aca="false">IF(Q391=0,0,S391/Q391)</f>
        <v>0.0406961247108795</v>
      </c>
      <c r="U391" s="51" t="str">
        <f aca="false">IF(AND(Q391&gt;0,T391&lt;-0.15),"ADVERSE","")</f>
        <v/>
      </c>
    </row>
    <row r="392" customFormat="false" ht="15" hidden="false" customHeight="false" outlineLevel="0" collapsed="false">
      <c r="A392" s="47" t="s">
        <v>3</v>
      </c>
      <c r="B392" s="47" t="s">
        <v>135</v>
      </c>
      <c r="C392" s="48" t="n">
        <v>45809</v>
      </c>
      <c r="D392" s="47" t="s">
        <v>34</v>
      </c>
      <c r="E392" s="47" t="s">
        <v>44</v>
      </c>
      <c r="F392" s="49" t="n">
        <v>512887</v>
      </c>
      <c r="G392" s="49" t="n">
        <v>497500</v>
      </c>
      <c r="H392" s="49" t="n">
        <v>320298</v>
      </c>
      <c r="I392" s="49" t="n">
        <v>309511</v>
      </c>
      <c r="J392" s="49" t="n">
        <v>76164</v>
      </c>
      <c r="K392" s="49" t="n">
        <v>80081</v>
      </c>
      <c r="L392" s="50" t="n">
        <v>23.3</v>
      </c>
      <c r="M392" s="51" t="n">
        <f aca="false">G392-F392</f>
        <v>-15387</v>
      </c>
      <c r="N392" s="52" t="n">
        <f aca="false">IF(F392=0,0,M392/F392)</f>
        <v>-0.030000760401414</v>
      </c>
      <c r="O392" s="51" t="n">
        <f aca="false">G392-I392</f>
        <v>187989</v>
      </c>
      <c r="P392" s="51" t="n">
        <f aca="false">F392-H392</f>
        <v>192589</v>
      </c>
      <c r="Q392" s="51" t="n">
        <f aca="false">F392-H392-J392</f>
        <v>116425</v>
      </c>
      <c r="R392" s="51" t="n">
        <f aca="false">G392-I392-K392</f>
        <v>107908</v>
      </c>
      <c r="S392" s="51" t="n">
        <f aca="false">R392-Q392</f>
        <v>-8517</v>
      </c>
      <c r="T392" s="52" t="n">
        <f aca="false">IF(Q392=0,0,S392/Q392)</f>
        <v>-0.0731543912389951</v>
      </c>
      <c r="U392" s="51" t="str">
        <f aca="false">IF(AND(Q392&gt;0,T392&lt;-0.15),"ADVERSE","")</f>
        <v/>
      </c>
    </row>
    <row r="393" customFormat="false" ht="15" hidden="false" customHeight="false" outlineLevel="0" collapsed="false">
      <c r="A393" s="47" t="s">
        <v>3</v>
      </c>
      <c r="B393" s="47" t="s">
        <v>136</v>
      </c>
      <c r="C393" s="48" t="n">
        <v>45839</v>
      </c>
      <c r="D393" s="47" t="s">
        <v>34</v>
      </c>
      <c r="E393" s="47" t="s">
        <v>44</v>
      </c>
      <c r="F393" s="49" t="n">
        <v>520631</v>
      </c>
      <c r="G393" s="49" t="n">
        <v>511982</v>
      </c>
      <c r="H393" s="49" t="n">
        <v>325134</v>
      </c>
      <c r="I393" s="49" t="n">
        <v>322417</v>
      </c>
      <c r="J393" s="49" t="n">
        <v>77314</v>
      </c>
      <c r="K393" s="49" t="n">
        <v>82816</v>
      </c>
      <c r="L393" s="50" t="n">
        <v>23.6</v>
      </c>
      <c r="M393" s="51" t="n">
        <f aca="false">G393-F393</f>
        <v>-8649</v>
      </c>
      <c r="N393" s="52" t="n">
        <f aca="false">IF(F393=0,0,M393/F393)</f>
        <v>-0.0166125336370673</v>
      </c>
      <c r="O393" s="51" t="n">
        <f aca="false">G393-I393</f>
        <v>189565</v>
      </c>
      <c r="P393" s="51" t="n">
        <f aca="false">F393-H393</f>
        <v>195497</v>
      </c>
      <c r="Q393" s="51" t="n">
        <f aca="false">F393-H393-J393</f>
        <v>118183</v>
      </c>
      <c r="R393" s="51" t="n">
        <f aca="false">G393-I393-K393</f>
        <v>106749</v>
      </c>
      <c r="S393" s="51" t="n">
        <f aca="false">R393-Q393</f>
        <v>-11434</v>
      </c>
      <c r="T393" s="52" t="n">
        <f aca="false">IF(Q393=0,0,S393/Q393)</f>
        <v>-0.0967482632865979</v>
      </c>
      <c r="U393" s="51" t="str">
        <f aca="false">IF(AND(Q393&gt;0,T393&lt;-0.15),"ADVERSE","")</f>
        <v/>
      </c>
    </row>
    <row r="394" customFormat="false" ht="15" hidden="false" customHeight="false" outlineLevel="0" collapsed="false">
      <c r="A394" s="47" t="s">
        <v>3</v>
      </c>
      <c r="B394" s="47" t="s">
        <v>136</v>
      </c>
      <c r="C394" s="48" t="n">
        <v>45870</v>
      </c>
      <c r="D394" s="47" t="s">
        <v>34</v>
      </c>
      <c r="E394" s="47" t="s">
        <v>44</v>
      </c>
      <c r="F394" s="49" t="n">
        <v>503125</v>
      </c>
      <c r="G394" s="49" t="n">
        <v>495490</v>
      </c>
      <c r="H394" s="49" t="n">
        <v>314202</v>
      </c>
      <c r="I394" s="49" t="n">
        <v>299756</v>
      </c>
      <c r="J394" s="49" t="n">
        <v>74714</v>
      </c>
      <c r="K394" s="49" t="n">
        <v>79189</v>
      </c>
      <c r="L394" s="50" t="n">
        <v>23.9</v>
      </c>
      <c r="M394" s="51" t="n">
        <f aca="false">G394-F394</f>
        <v>-7635</v>
      </c>
      <c r="N394" s="52" t="n">
        <f aca="false">IF(F394=0,0,M394/F394)</f>
        <v>-0.0151751552795031</v>
      </c>
      <c r="O394" s="51" t="n">
        <f aca="false">G394-I394</f>
        <v>195734</v>
      </c>
      <c r="P394" s="51" t="n">
        <f aca="false">F394-H394</f>
        <v>188923</v>
      </c>
      <c r="Q394" s="51" t="n">
        <f aca="false">F394-H394-J394</f>
        <v>114209</v>
      </c>
      <c r="R394" s="51" t="n">
        <f aca="false">G394-I394-K394</f>
        <v>116545</v>
      </c>
      <c r="S394" s="51" t="n">
        <f aca="false">R394-Q394</f>
        <v>2336</v>
      </c>
      <c r="T394" s="52" t="n">
        <f aca="false">IF(Q394=0,0,S394/Q394)</f>
        <v>0.0204537295659712</v>
      </c>
      <c r="U394" s="51" t="str">
        <f aca="false">IF(AND(Q394&gt;0,T394&lt;-0.15),"ADVERSE","")</f>
        <v/>
      </c>
    </row>
    <row r="395" customFormat="false" ht="15" hidden="false" customHeight="false" outlineLevel="0" collapsed="false">
      <c r="A395" s="47" t="s">
        <v>3</v>
      </c>
      <c r="B395" s="47" t="s">
        <v>136</v>
      </c>
      <c r="C395" s="48" t="n">
        <v>45901</v>
      </c>
      <c r="D395" s="47" t="s">
        <v>34</v>
      </c>
      <c r="E395" s="47" t="s">
        <v>44</v>
      </c>
      <c r="F395" s="49" t="n">
        <v>518887</v>
      </c>
      <c r="G395" s="49" t="n">
        <v>480078</v>
      </c>
      <c r="H395" s="49" t="n">
        <v>324045</v>
      </c>
      <c r="I395" s="49" t="n">
        <v>300485</v>
      </c>
      <c r="J395" s="49" t="n">
        <v>77055</v>
      </c>
      <c r="K395" s="49" t="n">
        <v>78795</v>
      </c>
      <c r="L395" s="50" t="n">
        <v>23.7</v>
      </c>
      <c r="M395" s="51" t="n">
        <f aca="false">G395-F395</f>
        <v>-38809</v>
      </c>
      <c r="N395" s="52" t="n">
        <f aca="false">IF(F395=0,0,M395/F395)</f>
        <v>-0.0747927776182483</v>
      </c>
      <c r="O395" s="51" t="n">
        <f aca="false">G395-I395</f>
        <v>179593</v>
      </c>
      <c r="P395" s="51" t="n">
        <f aca="false">F395-H395</f>
        <v>194842</v>
      </c>
      <c r="Q395" s="51" t="n">
        <f aca="false">F395-H395-J395</f>
        <v>117787</v>
      </c>
      <c r="R395" s="51" t="n">
        <f aca="false">G395-I395-K395</f>
        <v>100798</v>
      </c>
      <c r="S395" s="51" t="n">
        <f aca="false">R395-Q395</f>
        <v>-16989</v>
      </c>
      <c r="T395" s="52" t="n">
        <f aca="false">IF(Q395=0,0,S395/Q395)</f>
        <v>-0.144234932547734</v>
      </c>
      <c r="U395" s="51" t="str">
        <f aca="false">IF(AND(Q395&gt;0,T395&lt;-0.15),"ADVERSE","")</f>
        <v/>
      </c>
    </row>
    <row r="396" customFormat="false" ht="15" hidden="false" customHeight="false" outlineLevel="0" collapsed="false">
      <c r="A396" s="47" t="s">
        <v>3</v>
      </c>
      <c r="B396" s="47" t="s">
        <v>137</v>
      </c>
      <c r="C396" s="48" t="n">
        <v>45931</v>
      </c>
      <c r="D396" s="47" t="s">
        <v>34</v>
      </c>
      <c r="E396" s="47" t="s">
        <v>44</v>
      </c>
      <c r="F396" s="49" t="n">
        <v>539369</v>
      </c>
      <c r="G396" s="49" t="n">
        <v>489164</v>
      </c>
      <c r="H396" s="49" t="n">
        <v>336836</v>
      </c>
      <c r="I396" s="49" t="n">
        <v>303296</v>
      </c>
      <c r="J396" s="49" t="n">
        <v>80096</v>
      </c>
      <c r="K396" s="49" t="n">
        <v>78802</v>
      </c>
      <c r="L396" s="50" t="n">
        <v>23.8</v>
      </c>
      <c r="M396" s="51" t="n">
        <f aca="false">G396-F396</f>
        <v>-50205</v>
      </c>
      <c r="N396" s="52" t="n">
        <f aca="false">IF(F396=0,0,M396/F396)</f>
        <v>-0.0930809890816862</v>
      </c>
      <c r="O396" s="51" t="n">
        <f aca="false">G396-I396</f>
        <v>185868</v>
      </c>
      <c r="P396" s="51" t="n">
        <f aca="false">F396-H396</f>
        <v>202533</v>
      </c>
      <c r="Q396" s="51" t="n">
        <f aca="false">F396-H396-J396</f>
        <v>122437</v>
      </c>
      <c r="R396" s="51" t="n">
        <f aca="false">G396-I396-K396</f>
        <v>107066</v>
      </c>
      <c r="S396" s="51" t="n">
        <f aca="false">R396-Q396</f>
        <v>-15371</v>
      </c>
      <c r="T396" s="52" t="n">
        <f aca="false">IF(Q396=0,0,S396/Q396)</f>
        <v>-0.12554211553697</v>
      </c>
      <c r="U396" s="51" t="str">
        <f aca="false">IF(AND(Q396&gt;0,T396&lt;-0.15),"ADVERSE","")</f>
        <v/>
      </c>
    </row>
    <row r="397" customFormat="false" ht="15" hidden="false" customHeight="false" outlineLevel="0" collapsed="false">
      <c r="A397" s="47" t="s">
        <v>3</v>
      </c>
      <c r="B397" s="47" t="s">
        <v>137</v>
      </c>
      <c r="C397" s="48" t="n">
        <v>45962</v>
      </c>
      <c r="D397" s="47" t="s">
        <v>34</v>
      </c>
      <c r="E397" s="47" t="s">
        <v>44</v>
      </c>
      <c r="F397" s="49" t="n">
        <v>535141</v>
      </c>
      <c r="G397" s="49" t="n">
        <v>491777</v>
      </c>
      <c r="H397" s="49" t="n">
        <v>334196</v>
      </c>
      <c r="I397" s="49" t="n">
        <v>308274</v>
      </c>
      <c r="J397" s="49" t="n">
        <v>79468</v>
      </c>
      <c r="K397" s="49" t="n">
        <v>76895</v>
      </c>
      <c r="L397" s="50" t="n">
        <v>23.3</v>
      </c>
      <c r="M397" s="51" t="n">
        <f aca="false">G397-F397</f>
        <v>-43364</v>
      </c>
      <c r="N397" s="52" t="n">
        <f aca="false">IF(F397=0,0,M397/F397)</f>
        <v>-0.0810328492864497</v>
      </c>
      <c r="O397" s="51" t="n">
        <f aca="false">G397-I397</f>
        <v>183503</v>
      </c>
      <c r="P397" s="51" t="n">
        <f aca="false">F397-H397</f>
        <v>200945</v>
      </c>
      <c r="Q397" s="51" t="n">
        <f aca="false">F397-H397-J397</f>
        <v>121477</v>
      </c>
      <c r="R397" s="51" t="n">
        <f aca="false">G397-I397-K397</f>
        <v>106608</v>
      </c>
      <c r="S397" s="51" t="n">
        <f aca="false">R397-Q397</f>
        <v>-14869</v>
      </c>
      <c r="T397" s="52" t="n">
        <f aca="false">IF(Q397=0,0,S397/Q397)</f>
        <v>-0.122401771528767</v>
      </c>
      <c r="U397" s="51" t="str">
        <f aca="false">IF(AND(Q397&gt;0,T397&lt;-0.15),"ADVERSE","")</f>
        <v/>
      </c>
    </row>
    <row r="398" customFormat="false" ht="15" hidden="false" customHeight="false" outlineLevel="0" collapsed="false">
      <c r="A398" s="47" t="s">
        <v>3</v>
      </c>
      <c r="B398" s="47" t="s">
        <v>137</v>
      </c>
      <c r="C398" s="48" t="n">
        <v>45992</v>
      </c>
      <c r="D398" s="47" t="s">
        <v>34</v>
      </c>
      <c r="E398" s="47" t="s">
        <v>44</v>
      </c>
      <c r="F398" s="49" t="n">
        <v>535146</v>
      </c>
      <c r="G398" s="49" t="n">
        <v>491676</v>
      </c>
      <c r="H398" s="49" t="n">
        <v>334199</v>
      </c>
      <c r="I398" s="49" t="n">
        <v>305701</v>
      </c>
      <c r="J398" s="49" t="n">
        <v>79469</v>
      </c>
      <c r="K398" s="49" t="n">
        <v>77172</v>
      </c>
      <c r="L398" s="50" t="n">
        <v>23.4</v>
      </c>
      <c r="M398" s="51" t="n">
        <f aca="false">G398-F398</f>
        <v>-43470</v>
      </c>
      <c r="N398" s="52" t="n">
        <f aca="false">IF(F398=0,0,M398/F398)</f>
        <v>-0.0812301689632362</v>
      </c>
      <c r="O398" s="51" t="n">
        <f aca="false">G398-I398</f>
        <v>185975</v>
      </c>
      <c r="P398" s="51" t="n">
        <f aca="false">F398-H398</f>
        <v>200947</v>
      </c>
      <c r="Q398" s="51" t="n">
        <f aca="false">F398-H398-J398</f>
        <v>121478</v>
      </c>
      <c r="R398" s="51" t="n">
        <f aca="false">G398-I398-K398</f>
        <v>108803</v>
      </c>
      <c r="S398" s="51" t="n">
        <f aca="false">R398-Q398</f>
        <v>-12675</v>
      </c>
      <c r="T398" s="52" t="n">
        <f aca="false">IF(Q398=0,0,S398/Q398)</f>
        <v>-0.104339880472184</v>
      </c>
      <c r="U398" s="51" t="str">
        <f aca="false">IF(AND(Q398&gt;0,T398&lt;-0.15),"ADVERSE","")</f>
        <v/>
      </c>
    </row>
    <row r="399" customFormat="false" ht="15" hidden="false" customHeight="false" outlineLevel="0" collapsed="false">
      <c r="A399" s="47" t="s">
        <v>3</v>
      </c>
      <c r="B399" s="47" t="s">
        <v>138</v>
      </c>
      <c r="C399" s="48" t="n">
        <v>46023</v>
      </c>
      <c r="D399" s="47" t="s">
        <v>34</v>
      </c>
      <c r="E399" s="47" t="s">
        <v>44</v>
      </c>
      <c r="F399" s="49" t="n">
        <v>516211</v>
      </c>
      <c r="G399" s="49" t="n">
        <v>496751</v>
      </c>
      <c r="H399" s="49" t="n">
        <v>322374</v>
      </c>
      <c r="I399" s="49" t="n">
        <v>311307</v>
      </c>
      <c r="J399" s="49" t="n">
        <v>76657</v>
      </c>
      <c r="K399" s="49" t="n">
        <v>78838</v>
      </c>
      <c r="L399" s="50" t="n">
        <v>23.6</v>
      </c>
      <c r="M399" s="51" t="n">
        <f aca="false">G399-F399</f>
        <v>-19460</v>
      </c>
      <c r="N399" s="52" t="n">
        <f aca="false">IF(F399=0,0,M399/F399)</f>
        <v>-0.0376977631239939</v>
      </c>
      <c r="O399" s="51" t="n">
        <f aca="false">G399-I399</f>
        <v>185444</v>
      </c>
      <c r="P399" s="51" t="n">
        <f aca="false">F399-H399</f>
        <v>193837</v>
      </c>
      <c r="Q399" s="51" t="n">
        <f aca="false">F399-H399-J399</f>
        <v>117180</v>
      </c>
      <c r="R399" s="51" t="n">
        <f aca="false">G399-I399-K399</f>
        <v>106606</v>
      </c>
      <c r="S399" s="51" t="n">
        <f aca="false">R399-Q399</f>
        <v>-10574</v>
      </c>
      <c r="T399" s="52" t="n">
        <f aca="false">IF(Q399=0,0,S399/Q399)</f>
        <v>-0.0902372418501451</v>
      </c>
      <c r="U399" s="51" t="str">
        <f aca="false">IF(AND(Q399&gt;0,T399&lt;-0.15),"ADVERSE","")</f>
        <v/>
      </c>
    </row>
    <row r="400" customFormat="false" ht="15" hidden="false" customHeight="false" outlineLevel="0" collapsed="false">
      <c r="A400" s="47" t="s">
        <v>3</v>
      </c>
      <c r="B400" s="47" t="s">
        <v>138</v>
      </c>
      <c r="C400" s="48" t="n">
        <v>46054</v>
      </c>
      <c r="D400" s="47" t="s">
        <v>34</v>
      </c>
      <c r="E400" s="47" t="s">
        <v>44</v>
      </c>
      <c r="F400" s="49" t="n">
        <v>526814</v>
      </c>
      <c r="G400" s="49" t="n">
        <v>479187</v>
      </c>
      <c r="H400" s="49" t="n">
        <v>328995</v>
      </c>
      <c r="I400" s="49" t="n">
        <v>298116</v>
      </c>
      <c r="J400" s="49" t="n">
        <v>78232</v>
      </c>
      <c r="K400" s="49" t="n">
        <v>78477</v>
      </c>
      <c r="L400" s="50" t="n">
        <v>23.5</v>
      </c>
      <c r="M400" s="51" t="n">
        <f aca="false">G400-F400</f>
        <v>-47627</v>
      </c>
      <c r="N400" s="52" t="n">
        <f aca="false">IF(F400=0,0,M400/F400)</f>
        <v>-0.0904057219436082</v>
      </c>
      <c r="O400" s="51" t="n">
        <f aca="false">G400-I400</f>
        <v>181071</v>
      </c>
      <c r="P400" s="51" t="n">
        <f aca="false">F400-H400</f>
        <v>197819</v>
      </c>
      <c r="Q400" s="51" t="n">
        <f aca="false">F400-H400-J400</f>
        <v>119587</v>
      </c>
      <c r="R400" s="51" t="n">
        <f aca="false">G400-I400-K400</f>
        <v>102594</v>
      </c>
      <c r="S400" s="51" t="n">
        <f aca="false">R400-Q400</f>
        <v>-16993</v>
      </c>
      <c r="T400" s="52" t="n">
        <f aca="false">IF(Q400=0,0,S400/Q400)</f>
        <v>-0.142097385167284</v>
      </c>
      <c r="U400" s="51" t="str">
        <f aca="false">IF(AND(Q400&gt;0,T400&lt;-0.15),"ADVERSE","")</f>
        <v/>
      </c>
    </row>
    <row r="401" customFormat="false" ht="15" hidden="false" customHeight="false" outlineLevel="0" collapsed="false">
      <c r="A401" s="47" t="s">
        <v>3</v>
      </c>
      <c r="B401" s="47" t="s">
        <v>138</v>
      </c>
      <c r="C401" s="48" t="n">
        <v>46082</v>
      </c>
      <c r="D401" s="47" t="s">
        <v>34</v>
      </c>
      <c r="E401" s="47" t="s">
        <v>44</v>
      </c>
      <c r="F401" s="49" t="n">
        <v>580427</v>
      </c>
      <c r="G401" s="49" t="n">
        <v>550378</v>
      </c>
      <c r="H401" s="49" t="n">
        <v>362476</v>
      </c>
      <c r="I401" s="49" t="n">
        <v>346671</v>
      </c>
      <c r="J401" s="49" t="n">
        <v>86193</v>
      </c>
      <c r="K401" s="49" t="n">
        <v>89263</v>
      </c>
      <c r="L401" s="50" t="n">
        <v>23.8</v>
      </c>
      <c r="M401" s="51" t="n">
        <f aca="false">G401-F401</f>
        <v>-30049</v>
      </c>
      <c r="N401" s="52" t="n">
        <f aca="false">IF(F401=0,0,M401/F401)</f>
        <v>-0.0517705068854481</v>
      </c>
      <c r="O401" s="51" t="n">
        <f aca="false">G401-I401</f>
        <v>203707</v>
      </c>
      <c r="P401" s="51" t="n">
        <f aca="false">F401-H401</f>
        <v>217951</v>
      </c>
      <c r="Q401" s="51" t="n">
        <f aca="false">F401-H401-J401</f>
        <v>131758</v>
      </c>
      <c r="R401" s="51" t="n">
        <f aca="false">G401-I401-K401</f>
        <v>114444</v>
      </c>
      <c r="S401" s="51" t="n">
        <f aca="false">R401-Q401</f>
        <v>-17314</v>
      </c>
      <c r="T401" s="52" t="n">
        <f aca="false">IF(Q401=0,0,S401/Q401)</f>
        <v>-0.131407580564368</v>
      </c>
      <c r="U401" s="51" t="str">
        <f aca="false">IF(AND(Q401&gt;0,T401&lt;-0.15),"ADVERSE","")</f>
        <v/>
      </c>
    </row>
    <row r="402" customFormat="false" ht="15" hidden="false" customHeight="false" outlineLevel="0" collapsed="false">
      <c r="A402" s="47" t="s">
        <v>134</v>
      </c>
      <c r="B402" s="47" t="s">
        <v>135</v>
      </c>
      <c r="C402" s="48" t="n">
        <v>45017</v>
      </c>
      <c r="D402" s="47" t="s">
        <v>34</v>
      </c>
      <c r="E402" s="47" t="s">
        <v>45</v>
      </c>
      <c r="F402" s="49" t="n">
        <v>216739</v>
      </c>
      <c r="G402" s="49" t="n">
        <v>222894</v>
      </c>
      <c r="H402" s="49" t="n">
        <v>135354</v>
      </c>
      <c r="I402" s="49" t="n">
        <v>136374</v>
      </c>
      <c r="J402" s="49" t="n">
        <v>32186</v>
      </c>
      <c r="K402" s="49" t="n">
        <v>32955</v>
      </c>
      <c r="L402" s="50" t="n">
        <v>10.5</v>
      </c>
      <c r="M402" s="51" t="n">
        <f aca="false">G402-F402</f>
        <v>6155</v>
      </c>
      <c r="N402" s="52" t="n">
        <f aca="false">IF(F402=0,0,M402/F402)</f>
        <v>0.0283982116739489</v>
      </c>
      <c r="O402" s="51" t="n">
        <f aca="false">G402-I402</f>
        <v>86520</v>
      </c>
      <c r="P402" s="51" t="n">
        <f aca="false">F402-H402</f>
        <v>81385</v>
      </c>
      <c r="Q402" s="51" t="n">
        <f aca="false">F402-H402-J402</f>
        <v>49199</v>
      </c>
      <c r="R402" s="51" t="n">
        <f aca="false">G402-I402-K402</f>
        <v>53565</v>
      </c>
      <c r="S402" s="51" t="n">
        <f aca="false">R402-Q402</f>
        <v>4366</v>
      </c>
      <c r="T402" s="52" t="n">
        <f aca="false">IF(Q402=0,0,S402/Q402)</f>
        <v>0.0887416410902661</v>
      </c>
      <c r="U402" s="51" t="str">
        <f aca="false">IF(AND(Q402&gt;0,T402&lt;-0.15),"ADVERSE","")</f>
        <v/>
      </c>
    </row>
    <row r="403" customFormat="false" ht="15" hidden="false" customHeight="false" outlineLevel="0" collapsed="false">
      <c r="A403" s="47" t="s">
        <v>134</v>
      </c>
      <c r="B403" s="47" t="s">
        <v>135</v>
      </c>
      <c r="C403" s="48" t="n">
        <v>45047</v>
      </c>
      <c r="D403" s="47" t="s">
        <v>34</v>
      </c>
      <c r="E403" s="47" t="s">
        <v>45</v>
      </c>
      <c r="F403" s="49" t="n">
        <v>214776</v>
      </c>
      <c r="G403" s="49" t="n">
        <v>203965</v>
      </c>
      <c r="H403" s="49" t="n">
        <v>134127</v>
      </c>
      <c r="I403" s="49" t="n">
        <v>128152</v>
      </c>
      <c r="J403" s="49" t="n">
        <v>31894</v>
      </c>
      <c r="K403" s="49" t="n">
        <v>29752</v>
      </c>
      <c r="L403" s="50" t="n">
        <v>10.8</v>
      </c>
      <c r="M403" s="51" t="n">
        <f aca="false">G403-F403</f>
        <v>-10811</v>
      </c>
      <c r="N403" s="52" t="n">
        <f aca="false">IF(F403=0,0,M403/F403)</f>
        <v>-0.0503361641896674</v>
      </c>
      <c r="O403" s="51" t="n">
        <f aca="false">G403-I403</f>
        <v>75813</v>
      </c>
      <c r="P403" s="51" t="n">
        <f aca="false">F403-H403</f>
        <v>80649</v>
      </c>
      <c r="Q403" s="51" t="n">
        <f aca="false">F403-H403-J403</f>
        <v>48755</v>
      </c>
      <c r="R403" s="51" t="n">
        <f aca="false">G403-I403-K403</f>
        <v>46061</v>
      </c>
      <c r="S403" s="51" t="n">
        <f aca="false">R403-Q403</f>
        <v>-2694</v>
      </c>
      <c r="T403" s="52" t="n">
        <f aca="false">IF(Q403=0,0,S403/Q403)</f>
        <v>-0.0552558711926982</v>
      </c>
      <c r="U403" s="51" t="str">
        <f aca="false">IF(AND(Q403&gt;0,T403&lt;-0.15),"ADVERSE","")</f>
        <v/>
      </c>
    </row>
    <row r="404" customFormat="false" ht="15" hidden="false" customHeight="false" outlineLevel="0" collapsed="false">
      <c r="A404" s="47" t="s">
        <v>134</v>
      </c>
      <c r="B404" s="47" t="s">
        <v>135</v>
      </c>
      <c r="C404" s="48" t="n">
        <v>45078</v>
      </c>
      <c r="D404" s="47" t="s">
        <v>34</v>
      </c>
      <c r="E404" s="47" t="s">
        <v>45</v>
      </c>
      <c r="F404" s="49" t="n">
        <v>220635</v>
      </c>
      <c r="G404" s="49" t="n">
        <v>228058</v>
      </c>
      <c r="H404" s="49" t="n">
        <v>137786</v>
      </c>
      <c r="I404" s="49" t="n">
        <v>141604</v>
      </c>
      <c r="J404" s="49" t="n">
        <v>32764</v>
      </c>
      <c r="K404" s="49" t="n">
        <v>35109</v>
      </c>
      <c r="L404" s="50" t="n">
        <v>11</v>
      </c>
      <c r="M404" s="51" t="n">
        <f aca="false">G404-F404</f>
        <v>7423</v>
      </c>
      <c r="N404" s="52" t="n">
        <f aca="false">IF(F404=0,0,M404/F404)</f>
        <v>0.0336438008475537</v>
      </c>
      <c r="O404" s="51" t="n">
        <f aca="false">G404-I404</f>
        <v>86454</v>
      </c>
      <c r="P404" s="51" t="n">
        <f aca="false">F404-H404</f>
        <v>82849</v>
      </c>
      <c r="Q404" s="51" t="n">
        <f aca="false">F404-H404-J404</f>
        <v>50085</v>
      </c>
      <c r="R404" s="51" t="n">
        <f aca="false">G404-I404-K404</f>
        <v>51345</v>
      </c>
      <c r="S404" s="51" t="n">
        <f aca="false">R404-Q404</f>
        <v>1260</v>
      </c>
      <c r="T404" s="52" t="n">
        <f aca="false">IF(Q404=0,0,S404/Q404)</f>
        <v>0.0251572327044025</v>
      </c>
      <c r="U404" s="51" t="str">
        <f aca="false">IF(AND(Q404&gt;0,T404&lt;-0.15),"ADVERSE","")</f>
        <v/>
      </c>
    </row>
    <row r="405" customFormat="false" ht="15" hidden="false" customHeight="false" outlineLevel="0" collapsed="false">
      <c r="A405" s="47" t="s">
        <v>134</v>
      </c>
      <c r="B405" s="47" t="s">
        <v>136</v>
      </c>
      <c r="C405" s="48" t="n">
        <v>45108</v>
      </c>
      <c r="D405" s="47" t="s">
        <v>34</v>
      </c>
      <c r="E405" s="47" t="s">
        <v>45</v>
      </c>
      <c r="F405" s="49" t="n">
        <v>225515</v>
      </c>
      <c r="G405" s="49" t="n">
        <v>210524</v>
      </c>
      <c r="H405" s="49" t="n">
        <v>140834</v>
      </c>
      <c r="I405" s="49" t="n">
        <v>129617</v>
      </c>
      <c r="J405" s="49" t="n">
        <v>33489</v>
      </c>
      <c r="K405" s="49" t="n">
        <v>32637</v>
      </c>
      <c r="L405" s="50" t="n">
        <v>10.9</v>
      </c>
      <c r="M405" s="51" t="n">
        <f aca="false">G405-F405</f>
        <v>-14991</v>
      </c>
      <c r="N405" s="52" t="n">
        <f aca="false">IF(F405=0,0,M405/F405)</f>
        <v>-0.0664745138904286</v>
      </c>
      <c r="O405" s="51" t="n">
        <f aca="false">G405-I405</f>
        <v>80907</v>
      </c>
      <c r="P405" s="51" t="n">
        <f aca="false">F405-H405</f>
        <v>84681</v>
      </c>
      <c r="Q405" s="51" t="n">
        <f aca="false">F405-H405-J405</f>
        <v>51192</v>
      </c>
      <c r="R405" s="51" t="n">
        <f aca="false">G405-I405-K405</f>
        <v>48270</v>
      </c>
      <c r="S405" s="51" t="n">
        <f aca="false">R405-Q405</f>
        <v>-2922</v>
      </c>
      <c r="T405" s="52" t="n">
        <f aca="false">IF(Q405=0,0,S405/Q405)</f>
        <v>-0.057079231129864</v>
      </c>
      <c r="U405" s="51" t="str">
        <f aca="false">IF(AND(Q405&gt;0,T405&lt;-0.15),"ADVERSE","")</f>
        <v/>
      </c>
    </row>
    <row r="406" customFormat="false" ht="15" hidden="false" customHeight="false" outlineLevel="0" collapsed="false">
      <c r="A406" s="47" t="s">
        <v>134</v>
      </c>
      <c r="B406" s="47" t="s">
        <v>136</v>
      </c>
      <c r="C406" s="48" t="n">
        <v>45139</v>
      </c>
      <c r="D406" s="47" t="s">
        <v>34</v>
      </c>
      <c r="E406" s="47" t="s">
        <v>45</v>
      </c>
      <c r="F406" s="49" t="n">
        <v>215398</v>
      </c>
      <c r="G406" s="49" t="n">
        <v>215734</v>
      </c>
      <c r="H406" s="49" t="n">
        <v>134516</v>
      </c>
      <c r="I406" s="49" t="n">
        <v>134796</v>
      </c>
      <c r="J406" s="49" t="n">
        <v>31987</v>
      </c>
      <c r="K406" s="49" t="n">
        <v>32513</v>
      </c>
      <c r="L406" s="50" t="n">
        <v>10.8</v>
      </c>
      <c r="M406" s="51" t="n">
        <f aca="false">G406-F406</f>
        <v>336</v>
      </c>
      <c r="N406" s="52" t="n">
        <f aca="false">IF(F406=0,0,M406/F406)</f>
        <v>0.00155990306316679</v>
      </c>
      <c r="O406" s="51" t="n">
        <f aca="false">G406-I406</f>
        <v>80938</v>
      </c>
      <c r="P406" s="51" t="n">
        <f aca="false">F406-H406</f>
        <v>80882</v>
      </c>
      <c r="Q406" s="51" t="n">
        <f aca="false">F406-H406-J406</f>
        <v>48895</v>
      </c>
      <c r="R406" s="51" t="n">
        <f aca="false">G406-I406-K406</f>
        <v>48425</v>
      </c>
      <c r="S406" s="51" t="n">
        <f aca="false">R406-Q406</f>
        <v>-470</v>
      </c>
      <c r="T406" s="52" t="n">
        <f aca="false">IF(Q406=0,0,S406/Q406)</f>
        <v>-0.0096124348092852</v>
      </c>
      <c r="U406" s="51" t="str">
        <f aca="false">IF(AND(Q406&gt;0,T406&lt;-0.15),"ADVERSE","")</f>
        <v/>
      </c>
    </row>
    <row r="407" customFormat="false" ht="15" hidden="false" customHeight="false" outlineLevel="0" collapsed="false">
      <c r="A407" s="47" t="s">
        <v>134</v>
      </c>
      <c r="B407" s="47" t="s">
        <v>136</v>
      </c>
      <c r="C407" s="48" t="n">
        <v>45170</v>
      </c>
      <c r="D407" s="47" t="s">
        <v>34</v>
      </c>
      <c r="E407" s="47" t="s">
        <v>45</v>
      </c>
      <c r="F407" s="49" t="n">
        <v>218522</v>
      </c>
      <c r="G407" s="49" t="n">
        <v>233184</v>
      </c>
      <c r="H407" s="49" t="n">
        <v>136467</v>
      </c>
      <c r="I407" s="49" t="n">
        <v>144802</v>
      </c>
      <c r="J407" s="49" t="n">
        <v>32450</v>
      </c>
      <c r="K407" s="49" t="n">
        <v>35888</v>
      </c>
      <c r="L407" s="50" t="n">
        <v>10.8</v>
      </c>
      <c r="M407" s="51" t="n">
        <f aca="false">G407-F407</f>
        <v>14662</v>
      </c>
      <c r="N407" s="52" t="n">
        <f aca="false">IF(F407=0,0,M407/F407)</f>
        <v>0.0670962191449831</v>
      </c>
      <c r="O407" s="51" t="n">
        <f aca="false">G407-I407</f>
        <v>88382</v>
      </c>
      <c r="P407" s="51" t="n">
        <f aca="false">F407-H407</f>
        <v>82055</v>
      </c>
      <c r="Q407" s="51" t="n">
        <f aca="false">F407-H407-J407</f>
        <v>49605</v>
      </c>
      <c r="R407" s="51" t="n">
        <f aca="false">G407-I407-K407</f>
        <v>52494</v>
      </c>
      <c r="S407" s="51" t="n">
        <f aca="false">R407-Q407</f>
        <v>2889</v>
      </c>
      <c r="T407" s="52" t="n">
        <f aca="false">IF(Q407=0,0,S407/Q407)</f>
        <v>0.0582400967644391</v>
      </c>
      <c r="U407" s="51" t="str">
        <f aca="false">IF(AND(Q407&gt;0,T407&lt;-0.15),"ADVERSE","")</f>
        <v/>
      </c>
    </row>
    <row r="408" customFormat="false" ht="15" hidden="false" customHeight="false" outlineLevel="0" collapsed="false">
      <c r="A408" s="47" t="s">
        <v>134</v>
      </c>
      <c r="B408" s="47" t="s">
        <v>137</v>
      </c>
      <c r="C408" s="48" t="n">
        <v>45200</v>
      </c>
      <c r="D408" s="47" t="s">
        <v>34</v>
      </c>
      <c r="E408" s="47" t="s">
        <v>45</v>
      </c>
      <c r="F408" s="49" t="n">
        <v>229262</v>
      </c>
      <c r="G408" s="49" t="n">
        <v>229901</v>
      </c>
      <c r="H408" s="49" t="n">
        <v>143174</v>
      </c>
      <c r="I408" s="49" t="n">
        <v>145438</v>
      </c>
      <c r="J408" s="49" t="n">
        <v>34045</v>
      </c>
      <c r="K408" s="49" t="n">
        <v>35443</v>
      </c>
      <c r="L408" s="50" t="n">
        <v>10.7</v>
      </c>
      <c r="M408" s="51" t="n">
        <f aca="false">G408-F408</f>
        <v>639</v>
      </c>
      <c r="N408" s="52" t="n">
        <f aca="false">IF(F408=0,0,M408/F408)</f>
        <v>0.00278720415943331</v>
      </c>
      <c r="O408" s="51" t="n">
        <f aca="false">G408-I408</f>
        <v>84463</v>
      </c>
      <c r="P408" s="51" t="n">
        <f aca="false">F408-H408</f>
        <v>86088</v>
      </c>
      <c r="Q408" s="51" t="n">
        <f aca="false">F408-H408-J408</f>
        <v>52043</v>
      </c>
      <c r="R408" s="51" t="n">
        <f aca="false">G408-I408-K408</f>
        <v>49020</v>
      </c>
      <c r="S408" s="51" t="n">
        <f aca="false">R408-Q408</f>
        <v>-3023</v>
      </c>
      <c r="T408" s="52" t="n">
        <f aca="false">IF(Q408=0,0,S408/Q408)</f>
        <v>-0.0580865822492939</v>
      </c>
      <c r="U408" s="51" t="str">
        <f aca="false">IF(AND(Q408&gt;0,T408&lt;-0.15),"ADVERSE","")</f>
        <v/>
      </c>
    </row>
    <row r="409" customFormat="false" ht="15" hidden="false" customHeight="false" outlineLevel="0" collapsed="false">
      <c r="A409" s="47" t="s">
        <v>134</v>
      </c>
      <c r="B409" s="47" t="s">
        <v>137</v>
      </c>
      <c r="C409" s="48" t="n">
        <v>45231</v>
      </c>
      <c r="D409" s="47" t="s">
        <v>34</v>
      </c>
      <c r="E409" s="47" t="s">
        <v>45</v>
      </c>
      <c r="F409" s="49" t="n">
        <v>228062</v>
      </c>
      <c r="G409" s="49" t="n">
        <v>221417</v>
      </c>
      <c r="H409" s="49" t="n">
        <v>142425</v>
      </c>
      <c r="I409" s="49" t="n">
        <v>138141</v>
      </c>
      <c r="J409" s="49" t="n">
        <v>33867</v>
      </c>
      <c r="K409" s="49" t="n">
        <v>34417</v>
      </c>
      <c r="L409" s="50" t="n">
        <v>10.9</v>
      </c>
      <c r="M409" s="51" t="n">
        <f aca="false">G409-F409</f>
        <v>-6645</v>
      </c>
      <c r="N409" s="52" t="n">
        <f aca="false">IF(F409=0,0,M409/F409)</f>
        <v>-0.0291368136734748</v>
      </c>
      <c r="O409" s="51" t="n">
        <f aca="false">G409-I409</f>
        <v>83276</v>
      </c>
      <c r="P409" s="51" t="n">
        <f aca="false">F409-H409</f>
        <v>85637</v>
      </c>
      <c r="Q409" s="51" t="n">
        <f aca="false">F409-H409-J409</f>
        <v>51770</v>
      </c>
      <c r="R409" s="51" t="n">
        <f aca="false">G409-I409-K409</f>
        <v>48859</v>
      </c>
      <c r="S409" s="51" t="n">
        <f aca="false">R409-Q409</f>
        <v>-2911</v>
      </c>
      <c r="T409" s="52" t="n">
        <f aca="false">IF(Q409=0,0,S409/Q409)</f>
        <v>-0.0562294765308094</v>
      </c>
      <c r="U409" s="51" t="str">
        <f aca="false">IF(AND(Q409&gt;0,T409&lt;-0.15),"ADVERSE","")</f>
        <v/>
      </c>
    </row>
    <row r="410" customFormat="false" ht="15" hidden="false" customHeight="false" outlineLevel="0" collapsed="false">
      <c r="A410" s="47" t="s">
        <v>134</v>
      </c>
      <c r="B410" s="47" t="s">
        <v>137</v>
      </c>
      <c r="C410" s="48" t="n">
        <v>45261</v>
      </c>
      <c r="D410" s="47" t="s">
        <v>34</v>
      </c>
      <c r="E410" s="47" t="s">
        <v>45</v>
      </c>
      <c r="F410" s="49" t="n">
        <v>230003</v>
      </c>
      <c r="G410" s="49" t="n">
        <v>237504</v>
      </c>
      <c r="H410" s="49" t="n">
        <v>143637</v>
      </c>
      <c r="I410" s="49" t="n">
        <v>146791</v>
      </c>
      <c r="J410" s="49" t="n">
        <v>34155</v>
      </c>
      <c r="K410" s="49" t="n">
        <v>35870</v>
      </c>
      <c r="L410" s="50" t="n">
        <v>11.1</v>
      </c>
      <c r="M410" s="51" t="n">
        <f aca="false">G410-F410</f>
        <v>7501</v>
      </c>
      <c r="N410" s="52" t="n">
        <f aca="false">IF(F410=0,0,M410/F410)</f>
        <v>0.0326126180962857</v>
      </c>
      <c r="O410" s="51" t="n">
        <f aca="false">G410-I410</f>
        <v>90713</v>
      </c>
      <c r="P410" s="51" t="n">
        <f aca="false">F410-H410</f>
        <v>86366</v>
      </c>
      <c r="Q410" s="51" t="n">
        <f aca="false">F410-H410-J410</f>
        <v>52211</v>
      </c>
      <c r="R410" s="51" t="n">
        <f aca="false">G410-I410-K410</f>
        <v>54843</v>
      </c>
      <c r="S410" s="51" t="n">
        <f aca="false">R410-Q410</f>
        <v>2632</v>
      </c>
      <c r="T410" s="52" t="n">
        <f aca="false">IF(Q410=0,0,S410/Q410)</f>
        <v>0.0504108329662332</v>
      </c>
      <c r="U410" s="51" t="str">
        <f aca="false">IF(AND(Q410&gt;0,T410&lt;-0.15),"ADVERSE","")</f>
        <v/>
      </c>
    </row>
    <row r="411" customFormat="false" ht="15" hidden="false" customHeight="false" outlineLevel="0" collapsed="false">
      <c r="A411" s="47" t="s">
        <v>134</v>
      </c>
      <c r="B411" s="47" t="s">
        <v>138</v>
      </c>
      <c r="C411" s="48" t="n">
        <v>45292</v>
      </c>
      <c r="D411" s="47" t="s">
        <v>34</v>
      </c>
      <c r="E411" s="47" t="s">
        <v>45</v>
      </c>
      <c r="F411" s="49" t="n">
        <v>221023</v>
      </c>
      <c r="G411" s="49" t="n">
        <v>222923</v>
      </c>
      <c r="H411" s="49" t="n">
        <v>138029</v>
      </c>
      <c r="I411" s="49" t="n">
        <v>138521</v>
      </c>
      <c r="J411" s="49" t="n">
        <v>32822</v>
      </c>
      <c r="K411" s="49" t="n">
        <v>32708</v>
      </c>
      <c r="L411" s="50" t="n">
        <v>11</v>
      </c>
      <c r="M411" s="51" t="n">
        <f aca="false">G411-F411</f>
        <v>1900</v>
      </c>
      <c r="N411" s="52" t="n">
        <f aca="false">IF(F411=0,0,M411/F411)</f>
        <v>0.00859639042090642</v>
      </c>
      <c r="O411" s="51" t="n">
        <f aca="false">G411-I411</f>
        <v>84402</v>
      </c>
      <c r="P411" s="51" t="n">
        <f aca="false">F411-H411</f>
        <v>82994</v>
      </c>
      <c r="Q411" s="51" t="n">
        <f aca="false">F411-H411-J411</f>
        <v>50172</v>
      </c>
      <c r="R411" s="51" t="n">
        <f aca="false">G411-I411-K411</f>
        <v>51694</v>
      </c>
      <c r="S411" s="51" t="n">
        <f aca="false">R411-Q411</f>
        <v>1522</v>
      </c>
      <c r="T411" s="52" t="n">
        <f aca="false">IF(Q411=0,0,S411/Q411)</f>
        <v>0.0303356453798932</v>
      </c>
      <c r="U411" s="51" t="str">
        <f aca="false">IF(AND(Q411&gt;0,T411&lt;-0.15),"ADVERSE","")</f>
        <v/>
      </c>
    </row>
    <row r="412" customFormat="false" ht="15" hidden="false" customHeight="false" outlineLevel="0" collapsed="false">
      <c r="A412" s="47" t="s">
        <v>134</v>
      </c>
      <c r="B412" s="47" t="s">
        <v>138</v>
      </c>
      <c r="C412" s="48" t="n">
        <v>45323</v>
      </c>
      <c r="D412" s="47" t="s">
        <v>34</v>
      </c>
      <c r="E412" s="47" t="s">
        <v>45</v>
      </c>
      <c r="F412" s="49" t="n">
        <v>221451</v>
      </c>
      <c r="G412" s="49" t="n">
        <v>232153</v>
      </c>
      <c r="H412" s="49" t="n">
        <v>138296</v>
      </c>
      <c r="I412" s="49" t="n">
        <v>144846</v>
      </c>
      <c r="J412" s="49" t="n">
        <v>32885</v>
      </c>
      <c r="K412" s="49" t="n">
        <v>37344</v>
      </c>
      <c r="L412" s="50" t="n">
        <v>11</v>
      </c>
      <c r="M412" s="51" t="n">
        <f aca="false">G412-F412</f>
        <v>10702</v>
      </c>
      <c r="N412" s="52" t="n">
        <f aca="false">IF(F412=0,0,M412/F412)</f>
        <v>0.048326717874383</v>
      </c>
      <c r="O412" s="51" t="n">
        <f aca="false">G412-I412</f>
        <v>87307</v>
      </c>
      <c r="P412" s="51" t="n">
        <f aca="false">F412-H412</f>
        <v>83155</v>
      </c>
      <c r="Q412" s="51" t="n">
        <f aca="false">F412-H412-J412</f>
        <v>50270</v>
      </c>
      <c r="R412" s="51" t="n">
        <f aca="false">G412-I412-K412</f>
        <v>49963</v>
      </c>
      <c r="S412" s="51" t="n">
        <f aca="false">R412-Q412</f>
        <v>-307</v>
      </c>
      <c r="T412" s="52" t="n">
        <f aca="false">IF(Q412=0,0,S412/Q412)</f>
        <v>-0.00610702208076388</v>
      </c>
      <c r="U412" s="51" t="str">
        <f aca="false">IF(AND(Q412&gt;0,T412&lt;-0.15),"ADVERSE","")</f>
        <v/>
      </c>
    </row>
    <row r="413" customFormat="false" ht="15" hidden="false" customHeight="false" outlineLevel="0" collapsed="false">
      <c r="A413" s="47" t="s">
        <v>134</v>
      </c>
      <c r="B413" s="47" t="s">
        <v>138</v>
      </c>
      <c r="C413" s="48" t="n">
        <v>45352</v>
      </c>
      <c r="D413" s="47" t="s">
        <v>34</v>
      </c>
      <c r="E413" s="47" t="s">
        <v>45</v>
      </c>
      <c r="F413" s="49" t="n">
        <v>245395</v>
      </c>
      <c r="G413" s="49" t="n">
        <v>245089</v>
      </c>
      <c r="H413" s="49" t="n">
        <v>153249</v>
      </c>
      <c r="I413" s="49" t="n">
        <v>154327</v>
      </c>
      <c r="J413" s="49" t="n">
        <v>36441</v>
      </c>
      <c r="K413" s="49" t="n">
        <v>36550</v>
      </c>
      <c r="L413" s="50" t="n">
        <v>11</v>
      </c>
      <c r="M413" s="51" t="n">
        <f aca="false">G413-F413</f>
        <v>-306</v>
      </c>
      <c r="N413" s="52" t="n">
        <f aca="false">IF(F413=0,0,M413/F413)</f>
        <v>-0.00124696917215102</v>
      </c>
      <c r="O413" s="51" t="n">
        <f aca="false">G413-I413</f>
        <v>90762</v>
      </c>
      <c r="P413" s="51" t="n">
        <f aca="false">F413-H413</f>
        <v>92146</v>
      </c>
      <c r="Q413" s="51" t="n">
        <f aca="false">F413-H413-J413</f>
        <v>55705</v>
      </c>
      <c r="R413" s="51" t="n">
        <f aca="false">G413-I413-K413</f>
        <v>54212</v>
      </c>
      <c r="S413" s="51" t="n">
        <f aca="false">R413-Q413</f>
        <v>-1493</v>
      </c>
      <c r="T413" s="52" t="n">
        <f aca="false">IF(Q413=0,0,S413/Q413)</f>
        <v>-0.0268019028812494</v>
      </c>
      <c r="U413" s="51" t="str">
        <f aca="false">IF(AND(Q413&gt;0,T413&lt;-0.15),"ADVERSE","")</f>
        <v/>
      </c>
    </row>
    <row r="414" customFormat="false" ht="15" hidden="false" customHeight="false" outlineLevel="0" collapsed="false">
      <c r="A414" s="47" t="s">
        <v>139</v>
      </c>
      <c r="B414" s="47" t="s">
        <v>135</v>
      </c>
      <c r="C414" s="48" t="n">
        <v>45383</v>
      </c>
      <c r="D414" s="47" t="s">
        <v>34</v>
      </c>
      <c r="E414" s="47" t="s">
        <v>45</v>
      </c>
      <c r="F414" s="49" t="n">
        <v>231033</v>
      </c>
      <c r="G414" s="49" t="n">
        <v>243144</v>
      </c>
      <c r="H414" s="49" t="n">
        <v>144280</v>
      </c>
      <c r="I414" s="49" t="n">
        <v>149357</v>
      </c>
      <c r="J414" s="49" t="n">
        <v>34308</v>
      </c>
      <c r="K414" s="49" t="n">
        <v>38115</v>
      </c>
      <c r="L414" s="50" t="n">
        <v>11.3</v>
      </c>
      <c r="M414" s="51" t="n">
        <f aca="false">G414-F414</f>
        <v>12111</v>
      </c>
      <c r="N414" s="52" t="n">
        <f aca="false">IF(F414=0,0,M414/F414)</f>
        <v>0.0524210827024711</v>
      </c>
      <c r="O414" s="51" t="n">
        <f aca="false">G414-I414</f>
        <v>93787</v>
      </c>
      <c r="P414" s="51" t="n">
        <f aca="false">F414-H414</f>
        <v>86753</v>
      </c>
      <c r="Q414" s="51" t="n">
        <f aca="false">F414-H414-J414</f>
        <v>52445</v>
      </c>
      <c r="R414" s="51" t="n">
        <f aca="false">G414-I414-K414</f>
        <v>55672</v>
      </c>
      <c r="S414" s="51" t="n">
        <f aca="false">R414-Q414</f>
        <v>3227</v>
      </c>
      <c r="T414" s="52" t="n">
        <f aca="false">IF(Q414=0,0,S414/Q414)</f>
        <v>0.061531127848222</v>
      </c>
      <c r="U414" s="51" t="str">
        <f aca="false">IF(AND(Q414&gt;0,T414&lt;-0.15),"ADVERSE","")</f>
        <v/>
      </c>
    </row>
    <row r="415" customFormat="false" ht="15" hidden="false" customHeight="false" outlineLevel="0" collapsed="false">
      <c r="A415" s="47" t="s">
        <v>139</v>
      </c>
      <c r="B415" s="47" t="s">
        <v>135</v>
      </c>
      <c r="C415" s="48" t="n">
        <v>45413</v>
      </c>
      <c r="D415" s="47" t="s">
        <v>34</v>
      </c>
      <c r="E415" s="47" t="s">
        <v>45</v>
      </c>
      <c r="F415" s="49" t="n">
        <v>234265</v>
      </c>
      <c r="G415" s="49" t="n">
        <v>221730</v>
      </c>
      <c r="H415" s="49" t="n">
        <v>146298</v>
      </c>
      <c r="I415" s="49" t="n">
        <v>139265</v>
      </c>
      <c r="J415" s="49" t="n">
        <v>34788</v>
      </c>
      <c r="K415" s="49" t="n">
        <v>33145</v>
      </c>
      <c r="L415" s="50" t="n">
        <v>11.2</v>
      </c>
      <c r="M415" s="51" t="n">
        <f aca="false">G415-F415</f>
        <v>-12535</v>
      </c>
      <c r="N415" s="52" t="n">
        <f aca="false">IF(F415=0,0,M415/F415)</f>
        <v>-0.0535077796512497</v>
      </c>
      <c r="O415" s="51" t="n">
        <f aca="false">G415-I415</f>
        <v>82465</v>
      </c>
      <c r="P415" s="51" t="n">
        <f aca="false">F415-H415</f>
        <v>87967</v>
      </c>
      <c r="Q415" s="51" t="n">
        <f aca="false">F415-H415-J415</f>
        <v>53179</v>
      </c>
      <c r="R415" s="51" t="n">
        <f aca="false">G415-I415-K415</f>
        <v>49320</v>
      </c>
      <c r="S415" s="51" t="n">
        <f aca="false">R415-Q415</f>
        <v>-3859</v>
      </c>
      <c r="T415" s="52" t="n">
        <f aca="false">IF(Q415=0,0,S415/Q415)</f>
        <v>-0.0725662385528122</v>
      </c>
      <c r="U415" s="51" t="str">
        <f aca="false">IF(AND(Q415&gt;0,T415&lt;-0.15),"ADVERSE","")</f>
        <v/>
      </c>
    </row>
    <row r="416" customFormat="false" ht="15" hidden="false" customHeight="false" outlineLevel="0" collapsed="false">
      <c r="A416" s="47" t="s">
        <v>139</v>
      </c>
      <c r="B416" s="47" t="s">
        <v>135</v>
      </c>
      <c r="C416" s="48" t="n">
        <v>45444</v>
      </c>
      <c r="D416" s="47" t="s">
        <v>34</v>
      </c>
      <c r="E416" s="47" t="s">
        <v>45</v>
      </c>
      <c r="F416" s="49" t="n">
        <v>240067</v>
      </c>
      <c r="G416" s="49" t="n">
        <v>250391</v>
      </c>
      <c r="H416" s="49" t="n">
        <v>149922</v>
      </c>
      <c r="I416" s="49" t="n">
        <v>157752</v>
      </c>
      <c r="J416" s="49" t="n">
        <v>35650</v>
      </c>
      <c r="K416" s="49" t="n">
        <v>38403</v>
      </c>
      <c r="L416" s="50" t="n">
        <v>11.1</v>
      </c>
      <c r="M416" s="51" t="n">
        <f aca="false">G416-F416</f>
        <v>10324</v>
      </c>
      <c r="N416" s="52" t="n">
        <f aca="false">IF(F416=0,0,M416/F416)</f>
        <v>0.0430046611987487</v>
      </c>
      <c r="O416" s="51" t="n">
        <f aca="false">G416-I416</f>
        <v>92639</v>
      </c>
      <c r="P416" s="51" t="n">
        <f aca="false">F416-H416</f>
        <v>90145</v>
      </c>
      <c r="Q416" s="51" t="n">
        <f aca="false">F416-H416-J416</f>
        <v>54495</v>
      </c>
      <c r="R416" s="51" t="n">
        <f aca="false">G416-I416-K416</f>
        <v>54236</v>
      </c>
      <c r="S416" s="51" t="n">
        <f aca="false">R416-Q416</f>
        <v>-259</v>
      </c>
      <c r="T416" s="52" t="n">
        <f aca="false">IF(Q416=0,0,S416/Q416)</f>
        <v>-0.00475272960822094</v>
      </c>
      <c r="U416" s="51" t="str">
        <f aca="false">IF(AND(Q416&gt;0,T416&lt;-0.15),"ADVERSE","")</f>
        <v/>
      </c>
    </row>
    <row r="417" customFormat="false" ht="15" hidden="false" customHeight="false" outlineLevel="0" collapsed="false">
      <c r="A417" s="47" t="s">
        <v>139</v>
      </c>
      <c r="B417" s="47" t="s">
        <v>136</v>
      </c>
      <c r="C417" s="48" t="n">
        <v>45474</v>
      </c>
      <c r="D417" s="47" t="s">
        <v>34</v>
      </c>
      <c r="E417" s="47" t="s">
        <v>45</v>
      </c>
      <c r="F417" s="49" t="n">
        <v>241683</v>
      </c>
      <c r="G417" s="49" t="n">
        <v>235942</v>
      </c>
      <c r="H417" s="49" t="n">
        <v>150931</v>
      </c>
      <c r="I417" s="49" t="n">
        <v>145886</v>
      </c>
      <c r="J417" s="49" t="n">
        <v>35890</v>
      </c>
      <c r="K417" s="49" t="n">
        <v>36203</v>
      </c>
      <c r="L417" s="50" t="n">
        <v>11.4</v>
      </c>
      <c r="M417" s="51" t="n">
        <f aca="false">G417-F417</f>
        <v>-5741</v>
      </c>
      <c r="N417" s="52" t="n">
        <f aca="false">IF(F417=0,0,M417/F417)</f>
        <v>-0.0237542566088637</v>
      </c>
      <c r="O417" s="51" t="n">
        <f aca="false">G417-I417</f>
        <v>90056</v>
      </c>
      <c r="P417" s="51" t="n">
        <f aca="false">F417-H417</f>
        <v>90752</v>
      </c>
      <c r="Q417" s="51" t="n">
        <f aca="false">F417-H417-J417</f>
        <v>54862</v>
      </c>
      <c r="R417" s="51" t="n">
        <f aca="false">G417-I417-K417</f>
        <v>53853</v>
      </c>
      <c r="S417" s="51" t="n">
        <f aca="false">R417-Q417</f>
        <v>-1009</v>
      </c>
      <c r="T417" s="52" t="n">
        <f aca="false">IF(Q417=0,0,S417/Q417)</f>
        <v>-0.0183916007436842</v>
      </c>
      <c r="U417" s="51" t="str">
        <f aca="false">IF(AND(Q417&gt;0,T417&lt;-0.15),"ADVERSE","")</f>
        <v/>
      </c>
    </row>
    <row r="418" customFormat="false" ht="15" hidden="false" customHeight="false" outlineLevel="0" collapsed="false">
      <c r="A418" s="47" t="s">
        <v>139</v>
      </c>
      <c r="B418" s="47" t="s">
        <v>136</v>
      </c>
      <c r="C418" s="48" t="n">
        <v>45505</v>
      </c>
      <c r="D418" s="47" t="s">
        <v>34</v>
      </c>
      <c r="E418" s="47" t="s">
        <v>45</v>
      </c>
      <c r="F418" s="49" t="n">
        <v>231945</v>
      </c>
      <c r="G418" s="49" t="n">
        <v>229415</v>
      </c>
      <c r="H418" s="49" t="n">
        <v>144850</v>
      </c>
      <c r="I418" s="49" t="n">
        <v>142018</v>
      </c>
      <c r="J418" s="49" t="n">
        <v>34444</v>
      </c>
      <c r="K418" s="49" t="n">
        <v>36671</v>
      </c>
      <c r="L418" s="50" t="n">
        <v>11.1</v>
      </c>
      <c r="M418" s="51" t="n">
        <f aca="false">G418-F418</f>
        <v>-2530</v>
      </c>
      <c r="N418" s="52" t="n">
        <f aca="false">IF(F418=0,0,M418/F418)</f>
        <v>-0.0109077583047705</v>
      </c>
      <c r="O418" s="51" t="n">
        <f aca="false">G418-I418</f>
        <v>87397</v>
      </c>
      <c r="P418" s="51" t="n">
        <f aca="false">F418-H418</f>
        <v>87095</v>
      </c>
      <c r="Q418" s="51" t="n">
        <f aca="false">F418-H418-J418</f>
        <v>52651</v>
      </c>
      <c r="R418" s="51" t="n">
        <f aca="false">G418-I418-K418</f>
        <v>50726</v>
      </c>
      <c r="S418" s="51" t="n">
        <f aca="false">R418-Q418</f>
        <v>-1925</v>
      </c>
      <c r="T418" s="52" t="n">
        <f aca="false">IF(Q418=0,0,S418/Q418)</f>
        <v>-0.0365615088032516</v>
      </c>
      <c r="U418" s="51" t="str">
        <f aca="false">IF(AND(Q418&gt;0,T418&lt;-0.15),"ADVERSE","")</f>
        <v/>
      </c>
    </row>
    <row r="419" customFormat="false" ht="15" hidden="false" customHeight="false" outlineLevel="0" collapsed="false">
      <c r="A419" s="47" t="s">
        <v>139</v>
      </c>
      <c r="B419" s="47" t="s">
        <v>136</v>
      </c>
      <c r="C419" s="48" t="n">
        <v>45536</v>
      </c>
      <c r="D419" s="47" t="s">
        <v>34</v>
      </c>
      <c r="E419" s="47" t="s">
        <v>45</v>
      </c>
      <c r="F419" s="49" t="n">
        <v>236414</v>
      </c>
      <c r="G419" s="49" t="n">
        <v>225769</v>
      </c>
      <c r="H419" s="49" t="n">
        <v>147640</v>
      </c>
      <c r="I419" s="49" t="n">
        <v>140333</v>
      </c>
      <c r="J419" s="49" t="n">
        <v>35107</v>
      </c>
      <c r="K419" s="49" t="n">
        <v>35573</v>
      </c>
      <c r="L419" s="50" t="n">
        <v>11.5</v>
      </c>
      <c r="M419" s="51" t="n">
        <f aca="false">G419-F419</f>
        <v>-10645</v>
      </c>
      <c r="N419" s="52" t="n">
        <f aca="false">IF(F419=0,0,M419/F419)</f>
        <v>-0.0450269442588002</v>
      </c>
      <c r="O419" s="51" t="n">
        <f aca="false">G419-I419</f>
        <v>85436</v>
      </c>
      <c r="P419" s="51" t="n">
        <f aca="false">F419-H419</f>
        <v>88774</v>
      </c>
      <c r="Q419" s="51" t="n">
        <f aca="false">F419-H419-J419</f>
        <v>53667</v>
      </c>
      <c r="R419" s="51" t="n">
        <f aca="false">G419-I419-K419</f>
        <v>49863</v>
      </c>
      <c r="S419" s="51" t="n">
        <f aca="false">R419-Q419</f>
        <v>-3804</v>
      </c>
      <c r="T419" s="52" t="n">
        <f aca="false">IF(Q419=0,0,S419/Q419)</f>
        <v>-0.0708815473195819</v>
      </c>
      <c r="U419" s="51" t="str">
        <f aca="false">IF(AND(Q419&gt;0,T419&lt;-0.15),"ADVERSE","")</f>
        <v/>
      </c>
    </row>
    <row r="420" customFormat="false" ht="15" hidden="false" customHeight="false" outlineLevel="0" collapsed="false">
      <c r="A420" s="47" t="s">
        <v>139</v>
      </c>
      <c r="B420" s="47" t="s">
        <v>137</v>
      </c>
      <c r="C420" s="48" t="n">
        <v>45566</v>
      </c>
      <c r="D420" s="47" t="s">
        <v>34</v>
      </c>
      <c r="E420" s="47" t="s">
        <v>45</v>
      </c>
      <c r="F420" s="49" t="n">
        <v>246743</v>
      </c>
      <c r="G420" s="49" t="n">
        <v>248944</v>
      </c>
      <c r="H420" s="49" t="n">
        <v>154091</v>
      </c>
      <c r="I420" s="49" t="n">
        <v>157327</v>
      </c>
      <c r="J420" s="49" t="n">
        <v>36641</v>
      </c>
      <c r="K420" s="49" t="n">
        <v>37123</v>
      </c>
      <c r="L420" s="50" t="n">
        <v>11.4</v>
      </c>
      <c r="M420" s="51" t="n">
        <f aca="false">G420-F420</f>
        <v>2201</v>
      </c>
      <c r="N420" s="52" t="n">
        <f aca="false">IF(F420=0,0,M420/F420)</f>
        <v>0.00892021252882554</v>
      </c>
      <c r="O420" s="51" t="n">
        <f aca="false">G420-I420</f>
        <v>91617</v>
      </c>
      <c r="P420" s="51" t="n">
        <f aca="false">F420-H420</f>
        <v>92652</v>
      </c>
      <c r="Q420" s="51" t="n">
        <f aca="false">F420-H420-J420</f>
        <v>56011</v>
      </c>
      <c r="R420" s="51" t="n">
        <f aca="false">G420-I420-K420</f>
        <v>54494</v>
      </c>
      <c r="S420" s="51" t="n">
        <f aca="false">R420-Q420</f>
        <v>-1517</v>
      </c>
      <c r="T420" s="52" t="n">
        <f aca="false">IF(Q420=0,0,S420/Q420)</f>
        <v>-0.0270839656496045</v>
      </c>
      <c r="U420" s="51" t="str">
        <f aca="false">IF(AND(Q420&gt;0,T420&lt;-0.15),"ADVERSE","")</f>
        <v/>
      </c>
    </row>
    <row r="421" customFormat="false" ht="15" hidden="false" customHeight="false" outlineLevel="0" collapsed="false">
      <c r="A421" s="47" t="s">
        <v>139</v>
      </c>
      <c r="B421" s="47" t="s">
        <v>137</v>
      </c>
      <c r="C421" s="48" t="n">
        <v>45597</v>
      </c>
      <c r="D421" s="47" t="s">
        <v>34</v>
      </c>
      <c r="E421" s="47" t="s">
        <v>45</v>
      </c>
      <c r="F421" s="49" t="n">
        <v>247018</v>
      </c>
      <c r="G421" s="49" t="n">
        <v>261033</v>
      </c>
      <c r="H421" s="49" t="n">
        <v>154263</v>
      </c>
      <c r="I421" s="49" t="n">
        <v>160414</v>
      </c>
      <c r="J421" s="49" t="n">
        <v>36682</v>
      </c>
      <c r="K421" s="49" t="n">
        <v>42233</v>
      </c>
      <c r="L421" s="50" t="n">
        <v>11.3</v>
      </c>
      <c r="M421" s="51" t="n">
        <f aca="false">G421-F421</f>
        <v>14015</v>
      </c>
      <c r="N421" s="52" t="n">
        <f aca="false">IF(F421=0,0,M421/F421)</f>
        <v>0.0567367560258767</v>
      </c>
      <c r="O421" s="51" t="n">
        <f aca="false">G421-I421</f>
        <v>100619</v>
      </c>
      <c r="P421" s="51" t="n">
        <f aca="false">F421-H421</f>
        <v>92755</v>
      </c>
      <c r="Q421" s="51" t="n">
        <f aca="false">F421-H421-J421</f>
        <v>56073</v>
      </c>
      <c r="R421" s="51" t="n">
        <f aca="false">G421-I421-K421</f>
        <v>58386</v>
      </c>
      <c r="S421" s="51" t="n">
        <f aca="false">R421-Q421</f>
        <v>2313</v>
      </c>
      <c r="T421" s="52" t="n">
        <f aca="false">IF(Q421=0,0,S421/Q421)</f>
        <v>0.0412497993686801</v>
      </c>
      <c r="U421" s="51" t="str">
        <f aca="false">IF(AND(Q421&gt;0,T421&lt;-0.15),"ADVERSE","")</f>
        <v/>
      </c>
    </row>
    <row r="422" customFormat="false" ht="15" hidden="false" customHeight="false" outlineLevel="0" collapsed="false">
      <c r="A422" s="47" t="s">
        <v>139</v>
      </c>
      <c r="B422" s="47" t="s">
        <v>137</v>
      </c>
      <c r="C422" s="48" t="n">
        <v>45627</v>
      </c>
      <c r="D422" s="47" t="s">
        <v>34</v>
      </c>
      <c r="E422" s="47" t="s">
        <v>45</v>
      </c>
      <c r="F422" s="49" t="n">
        <v>240118</v>
      </c>
      <c r="G422" s="49" t="n">
        <v>237349</v>
      </c>
      <c r="H422" s="49" t="n">
        <v>149953</v>
      </c>
      <c r="I422" s="49" t="n">
        <v>149885</v>
      </c>
      <c r="J422" s="49" t="n">
        <v>35657</v>
      </c>
      <c r="K422" s="49" t="n">
        <v>37199</v>
      </c>
      <c r="L422" s="50" t="n">
        <v>11.4</v>
      </c>
      <c r="M422" s="51" t="n">
        <f aca="false">G422-F422</f>
        <v>-2769</v>
      </c>
      <c r="N422" s="52" t="n">
        <f aca="false">IF(F422=0,0,M422/F422)</f>
        <v>-0.0115318301834931</v>
      </c>
      <c r="O422" s="51" t="n">
        <f aca="false">G422-I422</f>
        <v>87464</v>
      </c>
      <c r="P422" s="51" t="n">
        <f aca="false">F422-H422</f>
        <v>90165</v>
      </c>
      <c r="Q422" s="51" t="n">
        <f aca="false">F422-H422-J422</f>
        <v>54508</v>
      </c>
      <c r="R422" s="51" t="n">
        <f aca="false">G422-I422-K422</f>
        <v>50265</v>
      </c>
      <c r="S422" s="51" t="n">
        <f aca="false">R422-Q422</f>
        <v>-4243</v>
      </c>
      <c r="T422" s="52" t="n">
        <f aca="false">IF(Q422=0,0,S422/Q422)</f>
        <v>-0.0778417846921553</v>
      </c>
      <c r="U422" s="51" t="str">
        <f aca="false">IF(AND(Q422&gt;0,T422&lt;-0.15),"ADVERSE","")</f>
        <v/>
      </c>
    </row>
    <row r="423" customFormat="false" ht="15" hidden="false" customHeight="false" outlineLevel="0" collapsed="false">
      <c r="A423" s="47" t="s">
        <v>139</v>
      </c>
      <c r="B423" s="47" t="s">
        <v>138</v>
      </c>
      <c r="C423" s="48" t="n">
        <v>45658</v>
      </c>
      <c r="D423" s="47" t="s">
        <v>34</v>
      </c>
      <c r="E423" s="47" t="s">
        <v>45</v>
      </c>
      <c r="F423" s="49" t="n">
        <v>237216</v>
      </c>
      <c r="G423" s="49" t="n">
        <v>241616</v>
      </c>
      <c r="H423" s="49" t="n">
        <v>148141</v>
      </c>
      <c r="I423" s="49" t="n">
        <v>153765</v>
      </c>
      <c r="J423" s="49" t="n">
        <v>35227</v>
      </c>
      <c r="K423" s="49" t="n">
        <v>37479</v>
      </c>
      <c r="L423" s="50" t="n">
        <v>11.7</v>
      </c>
      <c r="M423" s="51" t="n">
        <f aca="false">G423-F423</f>
        <v>4400</v>
      </c>
      <c r="N423" s="52" t="n">
        <f aca="false">IF(F423=0,0,M423/F423)</f>
        <v>0.0185484958856064</v>
      </c>
      <c r="O423" s="51" t="n">
        <f aca="false">G423-I423</f>
        <v>87851</v>
      </c>
      <c r="P423" s="51" t="n">
        <f aca="false">F423-H423</f>
        <v>89075</v>
      </c>
      <c r="Q423" s="51" t="n">
        <f aca="false">F423-H423-J423</f>
        <v>53848</v>
      </c>
      <c r="R423" s="51" t="n">
        <f aca="false">G423-I423-K423</f>
        <v>50372</v>
      </c>
      <c r="S423" s="51" t="n">
        <f aca="false">R423-Q423</f>
        <v>-3476</v>
      </c>
      <c r="T423" s="52" t="n">
        <f aca="false">IF(Q423=0,0,S423/Q423)</f>
        <v>-0.0645520725003714</v>
      </c>
      <c r="U423" s="51" t="str">
        <f aca="false">IF(AND(Q423&gt;0,T423&lt;-0.15),"ADVERSE","")</f>
        <v/>
      </c>
    </row>
    <row r="424" customFormat="false" ht="15" hidden="false" customHeight="false" outlineLevel="0" collapsed="false">
      <c r="A424" s="47" t="s">
        <v>139</v>
      </c>
      <c r="B424" s="47" t="s">
        <v>138</v>
      </c>
      <c r="C424" s="48" t="n">
        <v>45689</v>
      </c>
      <c r="D424" s="47" t="s">
        <v>34</v>
      </c>
      <c r="E424" s="47" t="s">
        <v>45</v>
      </c>
      <c r="F424" s="49" t="n">
        <v>238967</v>
      </c>
      <c r="G424" s="49" t="n">
        <v>222376</v>
      </c>
      <c r="H424" s="49" t="n">
        <v>149235</v>
      </c>
      <c r="I424" s="49" t="n">
        <v>140712</v>
      </c>
      <c r="J424" s="49" t="n">
        <v>35487</v>
      </c>
      <c r="K424" s="49" t="n">
        <v>33970</v>
      </c>
      <c r="L424" s="50" t="n">
        <v>11.3</v>
      </c>
      <c r="M424" s="51" t="n">
        <f aca="false">G424-F424</f>
        <v>-16591</v>
      </c>
      <c r="N424" s="52" t="n">
        <f aca="false">IF(F424=0,0,M424/F424)</f>
        <v>-0.0694279963342219</v>
      </c>
      <c r="O424" s="51" t="n">
        <f aca="false">G424-I424</f>
        <v>81664</v>
      </c>
      <c r="P424" s="51" t="n">
        <f aca="false">F424-H424</f>
        <v>89732</v>
      </c>
      <c r="Q424" s="51" t="n">
        <f aca="false">F424-H424-J424</f>
        <v>54245</v>
      </c>
      <c r="R424" s="51" t="n">
        <f aca="false">G424-I424-K424</f>
        <v>47694</v>
      </c>
      <c r="S424" s="51" t="n">
        <f aca="false">R424-Q424</f>
        <v>-6551</v>
      </c>
      <c r="T424" s="52" t="n">
        <f aca="false">IF(Q424=0,0,S424/Q424)</f>
        <v>-0.120766890957692</v>
      </c>
      <c r="U424" s="51" t="str">
        <f aca="false">IF(AND(Q424&gt;0,T424&lt;-0.15),"ADVERSE","")</f>
        <v/>
      </c>
    </row>
    <row r="425" customFormat="false" ht="15" hidden="false" customHeight="false" outlineLevel="0" collapsed="false">
      <c r="A425" s="47" t="s">
        <v>139</v>
      </c>
      <c r="B425" s="47" t="s">
        <v>138</v>
      </c>
      <c r="C425" s="48" t="n">
        <v>45717</v>
      </c>
      <c r="D425" s="47" t="s">
        <v>34</v>
      </c>
      <c r="E425" s="47" t="s">
        <v>45</v>
      </c>
      <c r="F425" s="49" t="n">
        <v>265693</v>
      </c>
      <c r="G425" s="49" t="n">
        <v>257379</v>
      </c>
      <c r="H425" s="49" t="n">
        <v>165925</v>
      </c>
      <c r="I425" s="49" t="n">
        <v>163397</v>
      </c>
      <c r="J425" s="49" t="n">
        <v>39455</v>
      </c>
      <c r="K425" s="49" t="n">
        <v>39163</v>
      </c>
      <c r="L425" s="50" t="n">
        <v>11.5</v>
      </c>
      <c r="M425" s="51" t="n">
        <f aca="false">G425-F425</f>
        <v>-8314</v>
      </c>
      <c r="N425" s="52" t="n">
        <f aca="false">IF(F425=0,0,M425/F425)</f>
        <v>-0.031291754016854</v>
      </c>
      <c r="O425" s="51" t="n">
        <f aca="false">G425-I425</f>
        <v>93982</v>
      </c>
      <c r="P425" s="51" t="n">
        <f aca="false">F425-H425</f>
        <v>99768</v>
      </c>
      <c r="Q425" s="51" t="n">
        <f aca="false">F425-H425-J425</f>
        <v>60313</v>
      </c>
      <c r="R425" s="51" t="n">
        <f aca="false">G425-I425-K425</f>
        <v>54819</v>
      </c>
      <c r="S425" s="51" t="n">
        <f aca="false">R425-Q425</f>
        <v>-5494</v>
      </c>
      <c r="T425" s="52" t="n">
        <f aca="false">IF(Q425=0,0,S425/Q425)</f>
        <v>-0.0910914728168057</v>
      </c>
      <c r="U425" s="51" t="str">
        <f aca="false">IF(AND(Q425&gt;0,T425&lt;-0.15),"ADVERSE","")</f>
        <v/>
      </c>
    </row>
    <row r="426" customFormat="false" ht="15" hidden="false" customHeight="false" outlineLevel="0" collapsed="false">
      <c r="A426" s="47" t="s">
        <v>3</v>
      </c>
      <c r="B426" s="47" t="s">
        <v>135</v>
      </c>
      <c r="C426" s="48" t="n">
        <v>45748</v>
      </c>
      <c r="D426" s="47" t="s">
        <v>34</v>
      </c>
      <c r="E426" s="47" t="s">
        <v>45</v>
      </c>
      <c r="F426" s="49" t="n">
        <v>254506</v>
      </c>
      <c r="G426" s="49" t="n">
        <v>247082</v>
      </c>
      <c r="H426" s="49" t="n">
        <v>158939</v>
      </c>
      <c r="I426" s="49" t="n">
        <v>158400</v>
      </c>
      <c r="J426" s="49" t="n">
        <v>37794</v>
      </c>
      <c r="K426" s="49" t="n">
        <v>38552</v>
      </c>
      <c r="L426" s="50" t="n">
        <v>11.6</v>
      </c>
      <c r="M426" s="51" t="n">
        <f aca="false">G426-F426</f>
        <v>-7424</v>
      </c>
      <c r="N426" s="52" t="n">
        <f aca="false">IF(F426=0,0,M426/F426)</f>
        <v>-0.0291702356722435</v>
      </c>
      <c r="O426" s="51" t="n">
        <f aca="false">G426-I426</f>
        <v>88682</v>
      </c>
      <c r="P426" s="51" t="n">
        <f aca="false">F426-H426</f>
        <v>95567</v>
      </c>
      <c r="Q426" s="51" t="n">
        <f aca="false">F426-H426-J426</f>
        <v>57773</v>
      </c>
      <c r="R426" s="51" t="n">
        <f aca="false">G426-I426-K426</f>
        <v>50130</v>
      </c>
      <c r="S426" s="51" t="n">
        <f aca="false">R426-Q426</f>
        <v>-7643</v>
      </c>
      <c r="T426" s="52" t="n">
        <f aca="false">IF(Q426=0,0,S426/Q426)</f>
        <v>-0.132293631973413</v>
      </c>
      <c r="U426" s="51" t="str">
        <f aca="false">IF(AND(Q426&gt;0,T426&lt;-0.15),"ADVERSE","")</f>
        <v/>
      </c>
    </row>
    <row r="427" customFormat="false" ht="15" hidden="false" customHeight="false" outlineLevel="0" collapsed="false">
      <c r="A427" s="47" t="s">
        <v>3</v>
      </c>
      <c r="B427" s="47" t="s">
        <v>135</v>
      </c>
      <c r="C427" s="48" t="n">
        <v>45778</v>
      </c>
      <c r="D427" s="47" t="s">
        <v>34</v>
      </c>
      <c r="E427" s="47" t="s">
        <v>45</v>
      </c>
      <c r="F427" s="49" t="n">
        <v>257434</v>
      </c>
      <c r="G427" s="49" t="n">
        <v>240040</v>
      </c>
      <c r="H427" s="49" t="n">
        <v>160768</v>
      </c>
      <c r="I427" s="49" t="n">
        <v>149189</v>
      </c>
      <c r="J427" s="49" t="n">
        <v>38229</v>
      </c>
      <c r="K427" s="49" t="n">
        <v>39340</v>
      </c>
      <c r="L427" s="50" t="n">
        <v>11.6</v>
      </c>
      <c r="M427" s="51" t="n">
        <f aca="false">G427-F427</f>
        <v>-17394</v>
      </c>
      <c r="N427" s="52" t="n">
        <f aca="false">IF(F427=0,0,M427/F427)</f>
        <v>-0.0675668326639061</v>
      </c>
      <c r="O427" s="51" t="n">
        <f aca="false">G427-I427</f>
        <v>90851</v>
      </c>
      <c r="P427" s="51" t="n">
        <f aca="false">F427-H427</f>
        <v>96666</v>
      </c>
      <c r="Q427" s="51" t="n">
        <f aca="false">F427-H427-J427</f>
        <v>58437</v>
      </c>
      <c r="R427" s="51" t="n">
        <f aca="false">G427-I427-K427</f>
        <v>51511</v>
      </c>
      <c r="S427" s="51" t="n">
        <f aca="false">R427-Q427</f>
        <v>-6926</v>
      </c>
      <c r="T427" s="52" t="n">
        <f aca="false">IF(Q427=0,0,S427/Q427)</f>
        <v>-0.118520800177969</v>
      </c>
      <c r="U427" s="51" t="str">
        <f aca="false">IF(AND(Q427&gt;0,T427&lt;-0.15),"ADVERSE","")</f>
        <v/>
      </c>
    </row>
    <row r="428" customFormat="false" ht="15" hidden="false" customHeight="false" outlineLevel="0" collapsed="false">
      <c r="A428" s="47" t="s">
        <v>3</v>
      </c>
      <c r="B428" s="47" t="s">
        <v>135</v>
      </c>
      <c r="C428" s="48" t="n">
        <v>45809</v>
      </c>
      <c r="D428" s="47" t="s">
        <v>34</v>
      </c>
      <c r="E428" s="47" t="s">
        <v>45</v>
      </c>
      <c r="F428" s="49" t="n">
        <v>254651</v>
      </c>
      <c r="G428" s="49" t="n">
        <v>243586</v>
      </c>
      <c r="H428" s="49" t="n">
        <v>159029</v>
      </c>
      <c r="I428" s="49" t="n">
        <v>152303</v>
      </c>
      <c r="J428" s="49" t="n">
        <v>37816</v>
      </c>
      <c r="K428" s="49" t="n">
        <v>41073</v>
      </c>
      <c r="L428" s="50" t="n">
        <v>11.5</v>
      </c>
      <c r="M428" s="51" t="n">
        <f aca="false">G428-F428</f>
        <v>-11065</v>
      </c>
      <c r="N428" s="52" t="n">
        <f aca="false">IF(F428=0,0,M428/F428)</f>
        <v>-0.0434516259508111</v>
      </c>
      <c r="O428" s="51" t="n">
        <f aca="false">G428-I428</f>
        <v>91283</v>
      </c>
      <c r="P428" s="51" t="n">
        <f aca="false">F428-H428</f>
        <v>95622</v>
      </c>
      <c r="Q428" s="51" t="n">
        <f aca="false">F428-H428-J428</f>
        <v>57806</v>
      </c>
      <c r="R428" s="51" t="n">
        <f aca="false">G428-I428-K428</f>
        <v>50210</v>
      </c>
      <c r="S428" s="51" t="n">
        <f aca="false">R428-Q428</f>
        <v>-7596</v>
      </c>
      <c r="T428" s="52" t="n">
        <f aca="false">IF(Q428=0,0,S428/Q428)</f>
        <v>-0.131405044459053</v>
      </c>
      <c r="U428" s="51" t="str">
        <f aca="false">IF(AND(Q428&gt;0,T428&lt;-0.15),"ADVERSE","")</f>
        <v/>
      </c>
    </row>
    <row r="429" customFormat="false" ht="15" hidden="false" customHeight="false" outlineLevel="0" collapsed="false">
      <c r="A429" s="47" t="s">
        <v>3</v>
      </c>
      <c r="B429" s="47" t="s">
        <v>136</v>
      </c>
      <c r="C429" s="48" t="n">
        <v>45839</v>
      </c>
      <c r="D429" s="47" t="s">
        <v>34</v>
      </c>
      <c r="E429" s="47" t="s">
        <v>45</v>
      </c>
      <c r="F429" s="49" t="n">
        <v>264891</v>
      </c>
      <c r="G429" s="49" t="n">
        <v>225293</v>
      </c>
      <c r="H429" s="49" t="n">
        <v>165424</v>
      </c>
      <c r="I429" s="49" t="n">
        <v>138793</v>
      </c>
      <c r="J429" s="49" t="n">
        <v>39336</v>
      </c>
      <c r="K429" s="49" t="n">
        <v>33293</v>
      </c>
      <c r="L429" s="50" t="n">
        <v>11.6</v>
      </c>
      <c r="M429" s="51" t="n">
        <f aca="false">G429-F429</f>
        <v>-39598</v>
      </c>
      <c r="N429" s="52" t="n">
        <f aca="false">IF(F429=0,0,M429/F429)</f>
        <v>-0.149487902571246</v>
      </c>
      <c r="O429" s="51" t="n">
        <f aca="false">G429-I429</f>
        <v>86500</v>
      </c>
      <c r="P429" s="51" t="n">
        <f aca="false">F429-H429</f>
        <v>99467</v>
      </c>
      <c r="Q429" s="51" t="n">
        <f aca="false">F429-H429-J429</f>
        <v>60131</v>
      </c>
      <c r="R429" s="51" t="n">
        <f aca="false">G429-I429-K429</f>
        <v>53207</v>
      </c>
      <c r="S429" s="51" t="n">
        <f aca="false">R429-Q429</f>
        <v>-6924</v>
      </c>
      <c r="T429" s="52" t="n">
        <f aca="false">IF(Q429=0,0,S429/Q429)</f>
        <v>-0.115148592240275</v>
      </c>
      <c r="U429" s="51" t="str">
        <f aca="false">IF(AND(Q429&gt;0,T429&lt;-0.15),"ADVERSE","")</f>
        <v/>
      </c>
    </row>
    <row r="430" customFormat="false" ht="15" hidden="false" customHeight="false" outlineLevel="0" collapsed="false">
      <c r="A430" s="47" t="s">
        <v>3</v>
      </c>
      <c r="B430" s="47" t="s">
        <v>136</v>
      </c>
      <c r="C430" s="48" t="n">
        <v>45870</v>
      </c>
      <c r="D430" s="47" t="s">
        <v>34</v>
      </c>
      <c r="E430" s="47" t="s">
        <v>45</v>
      </c>
      <c r="F430" s="49" t="n">
        <v>257800</v>
      </c>
      <c r="G430" s="49" t="n">
        <v>230543</v>
      </c>
      <c r="H430" s="49" t="n">
        <v>160996</v>
      </c>
      <c r="I430" s="49" t="n">
        <v>144580</v>
      </c>
      <c r="J430" s="49" t="n">
        <v>38283</v>
      </c>
      <c r="K430" s="49" t="n">
        <v>37352</v>
      </c>
      <c r="L430" s="50" t="n">
        <v>11.6</v>
      </c>
      <c r="M430" s="51" t="n">
        <f aca="false">G430-F430</f>
        <v>-27257</v>
      </c>
      <c r="N430" s="52" t="n">
        <f aca="false">IF(F430=0,0,M430/F430)</f>
        <v>-0.105729247478666</v>
      </c>
      <c r="O430" s="51" t="n">
        <f aca="false">G430-I430</f>
        <v>85963</v>
      </c>
      <c r="P430" s="51" t="n">
        <f aca="false">F430-H430</f>
        <v>96804</v>
      </c>
      <c r="Q430" s="51" t="n">
        <f aca="false">F430-H430-J430</f>
        <v>58521</v>
      </c>
      <c r="R430" s="51" t="n">
        <f aca="false">G430-I430-K430</f>
        <v>48611</v>
      </c>
      <c r="S430" s="51" t="n">
        <f aca="false">R430-Q430</f>
        <v>-9910</v>
      </c>
      <c r="T430" s="52" t="n">
        <f aca="false">IF(Q430=0,0,S430/Q430)</f>
        <v>-0.169340920353377</v>
      </c>
      <c r="U430" s="51" t="str">
        <f aca="false">IF(AND(Q430&gt;0,T430&lt;-0.15),"ADVERSE","")</f>
        <v>ADVERSE</v>
      </c>
    </row>
    <row r="431" customFormat="false" ht="15" hidden="false" customHeight="false" outlineLevel="0" collapsed="false">
      <c r="A431" s="47" t="s">
        <v>3</v>
      </c>
      <c r="B431" s="47" t="s">
        <v>136</v>
      </c>
      <c r="C431" s="48" t="n">
        <v>45901</v>
      </c>
      <c r="D431" s="47" t="s">
        <v>34</v>
      </c>
      <c r="E431" s="47" t="s">
        <v>45</v>
      </c>
      <c r="F431" s="49" t="n">
        <v>260283</v>
      </c>
      <c r="G431" s="49" t="n">
        <v>246712</v>
      </c>
      <c r="H431" s="49" t="n">
        <v>162547</v>
      </c>
      <c r="I431" s="49" t="n">
        <v>154775</v>
      </c>
      <c r="J431" s="49" t="n">
        <v>38652</v>
      </c>
      <c r="K431" s="49" t="n">
        <v>35698</v>
      </c>
      <c r="L431" s="50" t="n">
        <v>11.7</v>
      </c>
      <c r="M431" s="51" t="n">
        <f aca="false">G431-F431</f>
        <v>-13571</v>
      </c>
      <c r="N431" s="52" t="n">
        <f aca="false">IF(F431=0,0,M431/F431)</f>
        <v>-0.0521394021123162</v>
      </c>
      <c r="O431" s="51" t="n">
        <f aca="false">G431-I431</f>
        <v>91937</v>
      </c>
      <c r="P431" s="51" t="n">
        <f aca="false">F431-H431</f>
        <v>97736</v>
      </c>
      <c r="Q431" s="51" t="n">
        <f aca="false">F431-H431-J431</f>
        <v>59084</v>
      </c>
      <c r="R431" s="51" t="n">
        <f aca="false">G431-I431-K431</f>
        <v>56239</v>
      </c>
      <c r="S431" s="51" t="n">
        <f aca="false">R431-Q431</f>
        <v>-2845</v>
      </c>
      <c r="T431" s="52" t="n">
        <f aca="false">IF(Q431=0,0,S431/Q431)</f>
        <v>-0.0481517839008869</v>
      </c>
      <c r="U431" s="51" t="str">
        <f aca="false">IF(AND(Q431&gt;0,T431&lt;-0.15),"ADVERSE","")</f>
        <v/>
      </c>
    </row>
    <row r="432" customFormat="false" ht="15" hidden="false" customHeight="false" outlineLevel="0" collapsed="false">
      <c r="A432" s="47" t="s">
        <v>3</v>
      </c>
      <c r="B432" s="47" t="s">
        <v>137</v>
      </c>
      <c r="C432" s="48" t="n">
        <v>45931</v>
      </c>
      <c r="D432" s="47" t="s">
        <v>34</v>
      </c>
      <c r="E432" s="47" t="s">
        <v>45</v>
      </c>
      <c r="F432" s="49" t="n">
        <v>275644</v>
      </c>
      <c r="G432" s="49" t="n">
        <v>264969</v>
      </c>
      <c r="H432" s="49" t="n">
        <v>172140</v>
      </c>
      <c r="I432" s="49" t="n">
        <v>167373</v>
      </c>
      <c r="J432" s="49" t="n">
        <v>40933</v>
      </c>
      <c r="K432" s="49" t="n">
        <v>42097</v>
      </c>
      <c r="L432" s="50" t="n">
        <v>11.5</v>
      </c>
      <c r="M432" s="51" t="n">
        <f aca="false">G432-F432</f>
        <v>-10675</v>
      </c>
      <c r="N432" s="52" t="n">
        <f aca="false">IF(F432=0,0,M432/F432)</f>
        <v>-0.0387274890801178</v>
      </c>
      <c r="O432" s="51" t="n">
        <f aca="false">G432-I432</f>
        <v>97596</v>
      </c>
      <c r="P432" s="51" t="n">
        <f aca="false">F432-H432</f>
        <v>103504</v>
      </c>
      <c r="Q432" s="51" t="n">
        <f aca="false">F432-H432-J432</f>
        <v>62571</v>
      </c>
      <c r="R432" s="51" t="n">
        <f aca="false">G432-I432-K432</f>
        <v>55499</v>
      </c>
      <c r="S432" s="51" t="n">
        <f aca="false">R432-Q432</f>
        <v>-7072</v>
      </c>
      <c r="T432" s="52" t="n">
        <f aca="false">IF(Q432=0,0,S432/Q432)</f>
        <v>-0.11302360518451</v>
      </c>
      <c r="U432" s="51" t="str">
        <f aca="false">IF(AND(Q432&gt;0,T432&lt;-0.15),"ADVERSE","")</f>
        <v/>
      </c>
    </row>
    <row r="433" customFormat="false" ht="15" hidden="false" customHeight="false" outlineLevel="0" collapsed="false">
      <c r="A433" s="47" t="s">
        <v>3</v>
      </c>
      <c r="B433" s="47" t="s">
        <v>137</v>
      </c>
      <c r="C433" s="48" t="n">
        <v>45962</v>
      </c>
      <c r="D433" s="47" t="s">
        <v>34</v>
      </c>
      <c r="E433" s="47" t="s">
        <v>45</v>
      </c>
      <c r="F433" s="49" t="n">
        <v>264603</v>
      </c>
      <c r="G433" s="49" t="n">
        <v>255586</v>
      </c>
      <c r="H433" s="49" t="n">
        <v>165245</v>
      </c>
      <c r="I433" s="49" t="n">
        <v>157900</v>
      </c>
      <c r="J433" s="49" t="n">
        <v>39294</v>
      </c>
      <c r="K433" s="49" t="n">
        <v>40054</v>
      </c>
      <c r="L433" s="50" t="n">
        <v>11.8</v>
      </c>
      <c r="M433" s="51" t="n">
        <f aca="false">G433-F433</f>
        <v>-9017</v>
      </c>
      <c r="N433" s="52" t="n">
        <f aca="false">IF(F433=0,0,M433/F433)</f>
        <v>-0.0340774669977287</v>
      </c>
      <c r="O433" s="51" t="n">
        <f aca="false">G433-I433</f>
        <v>97686</v>
      </c>
      <c r="P433" s="51" t="n">
        <f aca="false">F433-H433</f>
        <v>99358</v>
      </c>
      <c r="Q433" s="51" t="n">
        <f aca="false">F433-H433-J433</f>
        <v>60064</v>
      </c>
      <c r="R433" s="51" t="n">
        <f aca="false">G433-I433-K433</f>
        <v>57632</v>
      </c>
      <c r="S433" s="51" t="n">
        <f aca="false">R433-Q433</f>
        <v>-2432</v>
      </c>
      <c r="T433" s="52" t="n">
        <f aca="false">IF(Q433=0,0,S433/Q433)</f>
        <v>-0.0404901438465637</v>
      </c>
      <c r="U433" s="51" t="str">
        <f aca="false">IF(AND(Q433&gt;0,T433&lt;-0.15),"ADVERSE","")</f>
        <v/>
      </c>
    </row>
    <row r="434" customFormat="false" ht="15" hidden="false" customHeight="false" outlineLevel="0" collapsed="false">
      <c r="A434" s="47" t="s">
        <v>3</v>
      </c>
      <c r="B434" s="47" t="s">
        <v>137</v>
      </c>
      <c r="C434" s="48" t="n">
        <v>45992</v>
      </c>
      <c r="D434" s="47" t="s">
        <v>34</v>
      </c>
      <c r="E434" s="47" t="s">
        <v>45</v>
      </c>
      <c r="F434" s="49" t="n">
        <v>265343</v>
      </c>
      <c r="G434" s="49" t="n">
        <v>257969</v>
      </c>
      <c r="H434" s="49" t="n">
        <v>165707</v>
      </c>
      <c r="I434" s="49" t="n">
        <v>158610</v>
      </c>
      <c r="J434" s="49" t="n">
        <v>39403</v>
      </c>
      <c r="K434" s="49" t="n">
        <v>39993</v>
      </c>
      <c r="L434" s="50" t="n">
        <v>11.7</v>
      </c>
      <c r="M434" s="51" t="n">
        <f aca="false">G434-F434</f>
        <v>-7374</v>
      </c>
      <c r="N434" s="52" t="n">
        <f aca="false">IF(F434=0,0,M434/F434)</f>
        <v>-0.0277904448204776</v>
      </c>
      <c r="O434" s="51" t="n">
        <f aca="false">G434-I434</f>
        <v>99359</v>
      </c>
      <c r="P434" s="51" t="n">
        <f aca="false">F434-H434</f>
        <v>99636</v>
      </c>
      <c r="Q434" s="51" t="n">
        <f aca="false">F434-H434-J434</f>
        <v>60233</v>
      </c>
      <c r="R434" s="51" t="n">
        <f aca="false">G434-I434-K434</f>
        <v>59366</v>
      </c>
      <c r="S434" s="51" t="n">
        <f aca="false">R434-Q434</f>
        <v>-867</v>
      </c>
      <c r="T434" s="52" t="n">
        <f aca="false">IF(Q434=0,0,S434/Q434)</f>
        <v>-0.0143941029004034</v>
      </c>
      <c r="U434" s="51" t="str">
        <f aca="false">IF(AND(Q434&gt;0,T434&lt;-0.15),"ADVERSE","")</f>
        <v/>
      </c>
    </row>
    <row r="435" customFormat="false" ht="15" hidden="false" customHeight="false" outlineLevel="0" collapsed="false">
      <c r="A435" s="47" t="s">
        <v>3</v>
      </c>
      <c r="B435" s="47" t="s">
        <v>138</v>
      </c>
      <c r="C435" s="48" t="n">
        <v>46023</v>
      </c>
      <c r="D435" s="47" t="s">
        <v>34</v>
      </c>
      <c r="E435" s="47" t="s">
        <v>45</v>
      </c>
      <c r="F435" s="49" t="n">
        <v>255740</v>
      </c>
      <c r="G435" s="49" t="n">
        <v>252912</v>
      </c>
      <c r="H435" s="49" t="n">
        <v>159710</v>
      </c>
      <c r="I435" s="49" t="n">
        <v>157054</v>
      </c>
      <c r="J435" s="49" t="n">
        <v>37977</v>
      </c>
      <c r="K435" s="49" t="n">
        <v>41331</v>
      </c>
      <c r="L435" s="50" t="n">
        <v>11.7</v>
      </c>
      <c r="M435" s="51" t="n">
        <f aca="false">G435-F435</f>
        <v>-2828</v>
      </c>
      <c r="N435" s="52" t="n">
        <f aca="false">IF(F435=0,0,M435/F435)</f>
        <v>-0.0110581058887933</v>
      </c>
      <c r="O435" s="51" t="n">
        <f aca="false">G435-I435</f>
        <v>95858</v>
      </c>
      <c r="P435" s="51" t="n">
        <f aca="false">F435-H435</f>
        <v>96030</v>
      </c>
      <c r="Q435" s="51" t="n">
        <f aca="false">F435-H435-J435</f>
        <v>58053</v>
      </c>
      <c r="R435" s="51" t="n">
        <f aca="false">G435-I435-K435</f>
        <v>54527</v>
      </c>
      <c r="S435" s="51" t="n">
        <f aca="false">R435-Q435</f>
        <v>-3526</v>
      </c>
      <c r="T435" s="52" t="n">
        <f aca="false">IF(Q435=0,0,S435/Q435)</f>
        <v>-0.0607376018465885</v>
      </c>
      <c r="U435" s="51" t="str">
        <f aca="false">IF(AND(Q435&gt;0,T435&lt;-0.15),"ADVERSE","")</f>
        <v/>
      </c>
    </row>
    <row r="436" customFormat="false" ht="15" hidden="false" customHeight="false" outlineLevel="0" collapsed="false">
      <c r="A436" s="47" t="s">
        <v>3</v>
      </c>
      <c r="B436" s="47" t="s">
        <v>138</v>
      </c>
      <c r="C436" s="48" t="n">
        <v>46054</v>
      </c>
      <c r="D436" s="47" t="s">
        <v>34</v>
      </c>
      <c r="E436" s="47" t="s">
        <v>45</v>
      </c>
      <c r="F436" s="49" t="n">
        <v>263790</v>
      </c>
      <c r="G436" s="49" t="n">
        <v>250469</v>
      </c>
      <c r="H436" s="49" t="n">
        <v>164737</v>
      </c>
      <c r="I436" s="49" t="n">
        <v>155833</v>
      </c>
      <c r="J436" s="49" t="n">
        <v>39173</v>
      </c>
      <c r="K436" s="49" t="n">
        <v>36913</v>
      </c>
      <c r="L436" s="50" t="n">
        <v>11.9</v>
      </c>
      <c r="M436" s="51" t="n">
        <f aca="false">G436-F436</f>
        <v>-13321</v>
      </c>
      <c r="N436" s="52" t="n">
        <f aca="false">IF(F436=0,0,M436/F436)</f>
        <v>-0.0504985025967626</v>
      </c>
      <c r="O436" s="51" t="n">
        <f aca="false">G436-I436</f>
        <v>94636</v>
      </c>
      <c r="P436" s="51" t="n">
        <f aca="false">F436-H436</f>
        <v>99053</v>
      </c>
      <c r="Q436" s="51" t="n">
        <f aca="false">F436-H436-J436</f>
        <v>59880</v>
      </c>
      <c r="R436" s="51" t="n">
        <f aca="false">G436-I436-K436</f>
        <v>57723</v>
      </c>
      <c r="S436" s="51" t="n">
        <f aca="false">R436-Q436</f>
        <v>-2157</v>
      </c>
      <c r="T436" s="52" t="n">
        <f aca="false">IF(Q436=0,0,S436/Q436)</f>
        <v>-0.0360220440881764</v>
      </c>
      <c r="U436" s="51" t="str">
        <f aca="false">IF(AND(Q436&gt;0,T436&lt;-0.15),"ADVERSE","")</f>
        <v/>
      </c>
    </row>
    <row r="437" customFormat="false" ht="15" hidden="false" customHeight="false" outlineLevel="0" collapsed="false">
      <c r="A437" s="47" t="s">
        <v>3</v>
      </c>
      <c r="B437" s="47" t="s">
        <v>138</v>
      </c>
      <c r="C437" s="48" t="n">
        <v>46082</v>
      </c>
      <c r="D437" s="47" t="s">
        <v>34</v>
      </c>
      <c r="E437" s="47" t="s">
        <v>45</v>
      </c>
      <c r="F437" s="49" t="n">
        <v>287663</v>
      </c>
      <c r="G437" s="49" t="n">
        <v>263538</v>
      </c>
      <c r="H437" s="49" t="n">
        <v>179646</v>
      </c>
      <c r="I437" s="49" t="n">
        <v>161612</v>
      </c>
      <c r="J437" s="49" t="n">
        <v>42718</v>
      </c>
      <c r="K437" s="49" t="n">
        <v>42449</v>
      </c>
      <c r="L437" s="50" t="n">
        <v>12.1</v>
      </c>
      <c r="M437" s="51" t="n">
        <f aca="false">G437-F437</f>
        <v>-24125</v>
      </c>
      <c r="N437" s="52" t="n">
        <f aca="false">IF(F437=0,0,M437/F437)</f>
        <v>-0.0838654953887014</v>
      </c>
      <c r="O437" s="51" t="n">
        <f aca="false">G437-I437</f>
        <v>101926</v>
      </c>
      <c r="P437" s="51" t="n">
        <f aca="false">F437-H437</f>
        <v>108017</v>
      </c>
      <c r="Q437" s="51" t="n">
        <f aca="false">F437-H437-J437</f>
        <v>65299</v>
      </c>
      <c r="R437" s="51" t="n">
        <f aca="false">G437-I437-K437</f>
        <v>59477</v>
      </c>
      <c r="S437" s="51" t="n">
        <f aca="false">R437-Q437</f>
        <v>-5822</v>
      </c>
      <c r="T437" s="52" t="n">
        <f aca="false">IF(Q437=0,0,S437/Q437)</f>
        <v>-0.0891590989142253</v>
      </c>
      <c r="U437" s="51" t="str">
        <f aca="false">IF(AND(Q437&gt;0,T437&lt;-0.15),"ADVERSE","")</f>
        <v/>
      </c>
    </row>
    <row r="438" customFormat="false" ht="15" hidden="false" customHeight="false" outlineLevel="0" collapsed="false">
      <c r="A438" s="47" t="s">
        <v>134</v>
      </c>
      <c r="B438" s="47" t="s">
        <v>135</v>
      </c>
      <c r="C438" s="48" t="n">
        <v>45017</v>
      </c>
      <c r="D438" s="47" t="s">
        <v>35</v>
      </c>
      <c r="E438" s="47" t="s">
        <v>40</v>
      </c>
      <c r="F438" s="49" t="n">
        <v>386733</v>
      </c>
      <c r="G438" s="49" t="n">
        <v>430246</v>
      </c>
      <c r="H438" s="49" t="n">
        <v>210576</v>
      </c>
      <c r="I438" s="49" t="n">
        <v>232050</v>
      </c>
      <c r="J438" s="49" t="n">
        <v>61297</v>
      </c>
      <c r="K438" s="49" t="n">
        <v>71147</v>
      </c>
      <c r="L438" s="50" t="n">
        <v>27.7</v>
      </c>
      <c r="M438" s="51" t="n">
        <f aca="false">G438-F438</f>
        <v>43513</v>
      </c>
      <c r="N438" s="52" t="n">
        <f aca="false">IF(F438=0,0,M438/F438)</f>
        <v>0.112514318664298</v>
      </c>
      <c r="O438" s="51" t="n">
        <f aca="false">G438-I438</f>
        <v>198196</v>
      </c>
      <c r="P438" s="51" t="n">
        <f aca="false">F438-H438</f>
        <v>176157</v>
      </c>
      <c r="Q438" s="51" t="n">
        <f aca="false">F438-H438-J438</f>
        <v>114860</v>
      </c>
      <c r="R438" s="51" t="n">
        <f aca="false">G438-I438-K438</f>
        <v>127049</v>
      </c>
      <c r="S438" s="51" t="n">
        <f aca="false">R438-Q438</f>
        <v>12189</v>
      </c>
      <c r="T438" s="52" t="n">
        <f aca="false">IF(Q438=0,0,S438/Q438)</f>
        <v>0.106120494515062</v>
      </c>
      <c r="U438" s="51" t="str">
        <f aca="false">IF(AND(Q438&gt;0,T438&lt;-0.15),"ADVERSE","")</f>
        <v/>
      </c>
    </row>
    <row r="439" customFormat="false" ht="15" hidden="false" customHeight="false" outlineLevel="0" collapsed="false">
      <c r="A439" s="47" t="s">
        <v>134</v>
      </c>
      <c r="B439" s="47" t="s">
        <v>135</v>
      </c>
      <c r="C439" s="48" t="n">
        <v>45047</v>
      </c>
      <c r="D439" s="47" t="s">
        <v>35</v>
      </c>
      <c r="E439" s="47" t="s">
        <v>40</v>
      </c>
      <c r="F439" s="49" t="n">
        <v>389145</v>
      </c>
      <c r="G439" s="49" t="n">
        <v>399002</v>
      </c>
      <c r="H439" s="49" t="n">
        <v>211890</v>
      </c>
      <c r="I439" s="49" t="n">
        <v>213804</v>
      </c>
      <c r="J439" s="49" t="n">
        <v>61680</v>
      </c>
      <c r="K439" s="49" t="n">
        <v>67268</v>
      </c>
      <c r="L439" s="50" t="n">
        <v>28.9</v>
      </c>
      <c r="M439" s="51" t="n">
        <f aca="false">G439-F439</f>
        <v>9857</v>
      </c>
      <c r="N439" s="52" t="n">
        <f aca="false">IF(F439=0,0,M439/F439)</f>
        <v>0.0253298898868031</v>
      </c>
      <c r="O439" s="51" t="n">
        <f aca="false">G439-I439</f>
        <v>185198</v>
      </c>
      <c r="P439" s="51" t="n">
        <f aca="false">F439-H439</f>
        <v>177255</v>
      </c>
      <c r="Q439" s="51" t="n">
        <f aca="false">F439-H439-J439</f>
        <v>115575</v>
      </c>
      <c r="R439" s="51" t="n">
        <f aca="false">G439-I439-K439</f>
        <v>117930</v>
      </c>
      <c r="S439" s="51" t="n">
        <f aca="false">R439-Q439</f>
        <v>2355</v>
      </c>
      <c r="T439" s="52" t="n">
        <f aca="false">IF(Q439=0,0,S439/Q439)</f>
        <v>0.0203763789746918</v>
      </c>
      <c r="U439" s="51" t="str">
        <f aca="false">IF(AND(Q439&gt;0,T439&lt;-0.15),"ADVERSE","")</f>
        <v/>
      </c>
    </row>
    <row r="440" customFormat="false" ht="15" hidden="false" customHeight="false" outlineLevel="0" collapsed="false">
      <c r="A440" s="47" t="s">
        <v>134</v>
      </c>
      <c r="B440" s="47" t="s">
        <v>135</v>
      </c>
      <c r="C440" s="48" t="n">
        <v>45078</v>
      </c>
      <c r="D440" s="47" t="s">
        <v>35</v>
      </c>
      <c r="E440" s="47" t="s">
        <v>40</v>
      </c>
      <c r="F440" s="49" t="n">
        <v>395399</v>
      </c>
      <c r="G440" s="49" t="n">
        <v>392890</v>
      </c>
      <c r="H440" s="49" t="n">
        <v>215295</v>
      </c>
      <c r="I440" s="49" t="n">
        <v>212067</v>
      </c>
      <c r="J440" s="49" t="n">
        <v>62671</v>
      </c>
      <c r="K440" s="49" t="n">
        <v>64031</v>
      </c>
      <c r="L440" s="50" t="n">
        <v>29.1</v>
      </c>
      <c r="M440" s="51" t="n">
        <f aca="false">G440-F440</f>
        <v>-2509</v>
      </c>
      <c r="N440" s="52" t="n">
        <f aca="false">IF(F440=0,0,M440/F440)</f>
        <v>-0.00634548898707382</v>
      </c>
      <c r="O440" s="51" t="n">
        <f aca="false">G440-I440</f>
        <v>180823</v>
      </c>
      <c r="P440" s="51" t="n">
        <f aca="false">F440-H440</f>
        <v>180104</v>
      </c>
      <c r="Q440" s="51" t="n">
        <f aca="false">F440-H440-J440</f>
        <v>117433</v>
      </c>
      <c r="R440" s="51" t="n">
        <f aca="false">G440-I440-K440</f>
        <v>116792</v>
      </c>
      <c r="S440" s="51" t="n">
        <f aca="false">R440-Q440</f>
        <v>-641</v>
      </c>
      <c r="T440" s="52" t="n">
        <f aca="false">IF(Q440=0,0,S440/Q440)</f>
        <v>-0.00545843161632591</v>
      </c>
      <c r="U440" s="51" t="str">
        <f aca="false">IF(AND(Q440&gt;0,T440&lt;-0.15),"ADVERSE","")</f>
        <v/>
      </c>
    </row>
    <row r="441" customFormat="false" ht="15" hidden="false" customHeight="false" outlineLevel="0" collapsed="false">
      <c r="A441" s="47" t="s">
        <v>134</v>
      </c>
      <c r="B441" s="47" t="s">
        <v>136</v>
      </c>
      <c r="C441" s="48" t="n">
        <v>45108</v>
      </c>
      <c r="D441" s="47" t="s">
        <v>35</v>
      </c>
      <c r="E441" s="47" t="s">
        <v>40</v>
      </c>
      <c r="F441" s="49" t="n">
        <v>415220</v>
      </c>
      <c r="G441" s="49" t="n">
        <v>456664</v>
      </c>
      <c r="H441" s="49" t="n">
        <v>226087</v>
      </c>
      <c r="I441" s="49" t="n">
        <v>244968</v>
      </c>
      <c r="J441" s="49" t="n">
        <v>65812</v>
      </c>
      <c r="K441" s="49" t="n">
        <v>74211</v>
      </c>
      <c r="L441" s="50" t="n">
        <v>28.6</v>
      </c>
      <c r="M441" s="51" t="n">
        <f aca="false">G441-F441</f>
        <v>41444</v>
      </c>
      <c r="N441" s="52" t="n">
        <f aca="false">IF(F441=0,0,M441/F441)</f>
        <v>0.099812147777082</v>
      </c>
      <c r="O441" s="51" t="n">
        <f aca="false">G441-I441</f>
        <v>211696</v>
      </c>
      <c r="P441" s="51" t="n">
        <f aca="false">F441-H441</f>
        <v>189133</v>
      </c>
      <c r="Q441" s="51" t="n">
        <f aca="false">F441-H441-J441</f>
        <v>123321</v>
      </c>
      <c r="R441" s="51" t="n">
        <f aca="false">G441-I441-K441</f>
        <v>137485</v>
      </c>
      <c r="S441" s="51" t="n">
        <f aca="false">R441-Q441</f>
        <v>14164</v>
      </c>
      <c r="T441" s="52" t="n">
        <f aca="false">IF(Q441=0,0,S441/Q441)</f>
        <v>0.114854728716115</v>
      </c>
      <c r="U441" s="51" t="str">
        <f aca="false">IF(AND(Q441&gt;0,T441&lt;-0.15),"ADVERSE","")</f>
        <v/>
      </c>
    </row>
    <row r="442" customFormat="false" ht="15" hidden="false" customHeight="false" outlineLevel="0" collapsed="false">
      <c r="A442" s="47" t="s">
        <v>134</v>
      </c>
      <c r="B442" s="47" t="s">
        <v>136</v>
      </c>
      <c r="C442" s="48" t="n">
        <v>45139</v>
      </c>
      <c r="D442" s="47" t="s">
        <v>35</v>
      </c>
      <c r="E442" s="47" t="s">
        <v>40</v>
      </c>
      <c r="F442" s="49" t="n">
        <v>397126</v>
      </c>
      <c r="G442" s="49" t="n">
        <v>411225</v>
      </c>
      <c r="H442" s="49" t="n">
        <v>216235</v>
      </c>
      <c r="I442" s="49" t="n">
        <v>221143</v>
      </c>
      <c r="J442" s="49" t="n">
        <v>62944</v>
      </c>
      <c r="K442" s="49" t="n">
        <v>64251</v>
      </c>
      <c r="L442" s="50" t="n">
        <v>29.1</v>
      </c>
      <c r="M442" s="51" t="n">
        <f aca="false">G442-F442</f>
        <v>14099</v>
      </c>
      <c r="N442" s="52" t="n">
        <f aca="false">IF(F442=0,0,M442/F442)</f>
        <v>0.0355025860809919</v>
      </c>
      <c r="O442" s="51" t="n">
        <f aca="false">G442-I442</f>
        <v>190082</v>
      </c>
      <c r="P442" s="51" t="n">
        <f aca="false">F442-H442</f>
        <v>180891</v>
      </c>
      <c r="Q442" s="51" t="n">
        <f aca="false">F442-H442-J442</f>
        <v>117947</v>
      </c>
      <c r="R442" s="51" t="n">
        <f aca="false">G442-I442-K442</f>
        <v>125831</v>
      </c>
      <c r="S442" s="51" t="n">
        <f aca="false">R442-Q442</f>
        <v>7884</v>
      </c>
      <c r="T442" s="52" t="n">
        <f aca="false">IF(Q442=0,0,S442/Q442)</f>
        <v>0.0668435822869594</v>
      </c>
      <c r="U442" s="51" t="str">
        <f aca="false">IF(AND(Q442&gt;0,T442&lt;-0.15),"ADVERSE","")</f>
        <v/>
      </c>
    </row>
    <row r="443" customFormat="false" ht="15" hidden="false" customHeight="false" outlineLevel="0" collapsed="false">
      <c r="A443" s="47" t="s">
        <v>134</v>
      </c>
      <c r="B443" s="47" t="s">
        <v>136</v>
      </c>
      <c r="C443" s="48" t="n">
        <v>45170</v>
      </c>
      <c r="D443" s="47" t="s">
        <v>35</v>
      </c>
      <c r="E443" s="47" t="s">
        <v>40</v>
      </c>
      <c r="F443" s="49" t="n">
        <v>418273</v>
      </c>
      <c r="G443" s="49" t="n">
        <v>465127</v>
      </c>
      <c r="H443" s="49" t="n">
        <v>227750</v>
      </c>
      <c r="I443" s="49" t="n">
        <v>254788</v>
      </c>
      <c r="J443" s="49" t="n">
        <v>66296</v>
      </c>
      <c r="K443" s="49" t="n">
        <v>74856</v>
      </c>
      <c r="L443" s="50" t="n">
        <v>30.4</v>
      </c>
      <c r="M443" s="51" t="n">
        <f aca="false">G443-F443</f>
        <v>46854</v>
      </c>
      <c r="N443" s="52" t="n">
        <f aca="false">IF(F443=0,0,M443/F443)</f>
        <v>0.112017749173387</v>
      </c>
      <c r="O443" s="51" t="n">
        <f aca="false">G443-I443</f>
        <v>210339</v>
      </c>
      <c r="P443" s="51" t="n">
        <f aca="false">F443-H443</f>
        <v>190523</v>
      </c>
      <c r="Q443" s="51" t="n">
        <f aca="false">F443-H443-J443</f>
        <v>124227</v>
      </c>
      <c r="R443" s="51" t="n">
        <f aca="false">G443-I443-K443</f>
        <v>135483</v>
      </c>
      <c r="S443" s="51" t="n">
        <f aca="false">R443-Q443</f>
        <v>11256</v>
      </c>
      <c r="T443" s="52" t="n">
        <f aca="false">IF(Q443=0,0,S443/Q443)</f>
        <v>0.0906083218623971</v>
      </c>
      <c r="U443" s="51" t="str">
        <f aca="false">IF(AND(Q443&gt;0,T443&lt;-0.15),"ADVERSE","")</f>
        <v/>
      </c>
    </row>
    <row r="444" customFormat="false" ht="15" hidden="false" customHeight="false" outlineLevel="0" collapsed="false">
      <c r="A444" s="47" t="s">
        <v>134</v>
      </c>
      <c r="B444" s="47" t="s">
        <v>137</v>
      </c>
      <c r="C444" s="48" t="n">
        <v>45200</v>
      </c>
      <c r="D444" s="47" t="s">
        <v>35</v>
      </c>
      <c r="E444" s="47" t="s">
        <v>40</v>
      </c>
      <c r="F444" s="49" t="n">
        <v>439968</v>
      </c>
      <c r="G444" s="49" t="n">
        <v>441857</v>
      </c>
      <c r="H444" s="49" t="n">
        <v>239563</v>
      </c>
      <c r="I444" s="49" t="n">
        <v>237790</v>
      </c>
      <c r="J444" s="49" t="n">
        <v>69735</v>
      </c>
      <c r="K444" s="49" t="n">
        <v>70329</v>
      </c>
      <c r="L444" s="50" t="n">
        <v>30.2</v>
      </c>
      <c r="M444" s="51" t="n">
        <f aca="false">G444-F444</f>
        <v>1889</v>
      </c>
      <c r="N444" s="52" t="n">
        <f aca="false">IF(F444=0,0,M444/F444)</f>
        <v>0.00429349407229617</v>
      </c>
      <c r="O444" s="51" t="n">
        <f aca="false">G444-I444</f>
        <v>204067</v>
      </c>
      <c r="P444" s="51" t="n">
        <f aca="false">F444-H444</f>
        <v>200405</v>
      </c>
      <c r="Q444" s="51" t="n">
        <f aca="false">F444-H444-J444</f>
        <v>130670</v>
      </c>
      <c r="R444" s="51" t="n">
        <f aca="false">G444-I444-K444</f>
        <v>133738</v>
      </c>
      <c r="S444" s="51" t="n">
        <f aca="false">R444-Q444</f>
        <v>3068</v>
      </c>
      <c r="T444" s="52" t="n">
        <f aca="false">IF(Q444=0,0,S444/Q444)</f>
        <v>0.0234789928828346</v>
      </c>
      <c r="U444" s="51" t="str">
        <f aca="false">IF(AND(Q444&gt;0,T444&lt;-0.15),"ADVERSE","")</f>
        <v/>
      </c>
    </row>
    <row r="445" customFormat="false" ht="15" hidden="false" customHeight="false" outlineLevel="0" collapsed="false">
      <c r="A445" s="47" t="s">
        <v>134</v>
      </c>
      <c r="B445" s="47" t="s">
        <v>137</v>
      </c>
      <c r="C445" s="48" t="n">
        <v>45231</v>
      </c>
      <c r="D445" s="47" t="s">
        <v>35</v>
      </c>
      <c r="E445" s="47" t="s">
        <v>40</v>
      </c>
      <c r="F445" s="49" t="n">
        <v>437071</v>
      </c>
      <c r="G445" s="49" t="n">
        <v>436929</v>
      </c>
      <c r="H445" s="49" t="n">
        <v>237985</v>
      </c>
      <c r="I445" s="49" t="n">
        <v>238146</v>
      </c>
      <c r="J445" s="49" t="n">
        <v>69276</v>
      </c>
      <c r="K445" s="49" t="n">
        <v>71231</v>
      </c>
      <c r="L445" s="50" t="n">
        <v>30.2</v>
      </c>
      <c r="M445" s="51" t="n">
        <f aca="false">G445-F445</f>
        <v>-142</v>
      </c>
      <c r="N445" s="52" t="n">
        <f aca="false">IF(F445=0,0,M445/F445)</f>
        <v>-0.000324890006429161</v>
      </c>
      <c r="O445" s="51" t="n">
        <f aca="false">G445-I445</f>
        <v>198783</v>
      </c>
      <c r="P445" s="51" t="n">
        <f aca="false">F445-H445</f>
        <v>199086</v>
      </c>
      <c r="Q445" s="51" t="n">
        <f aca="false">F445-H445-J445</f>
        <v>129810</v>
      </c>
      <c r="R445" s="51" t="n">
        <f aca="false">G445-I445-K445</f>
        <v>127552</v>
      </c>
      <c r="S445" s="51" t="n">
        <f aca="false">R445-Q445</f>
        <v>-2258</v>
      </c>
      <c r="T445" s="52" t="n">
        <f aca="false">IF(Q445=0,0,S445/Q445)</f>
        <v>-0.0173946537246745</v>
      </c>
      <c r="U445" s="51" t="str">
        <f aca="false">IF(AND(Q445&gt;0,T445&lt;-0.15),"ADVERSE","")</f>
        <v/>
      </c>
    </row>
    <row r="446" customFormat="false" ht="15" hidden="false" customHeight="false" outlineLevel="0" collapsed="false">
      <c r="A446" s="47" t="s">
        <v>134</v>
      </c>
      <c r="B446" s="47" t="s">
        <v>137</v>
      </c>
      <c r="C446" s="48" t="n">
        <v>45261</v>
      </c>
      <c r="D446" s="47" t="s">
        <v>35</v>
      </c>
      <c r="E446" s="47" t="s">
        <v>40</v>
      </c>
      <c r="F446" s="49" t="n">
        <v>444659</v>
      </c>
      <c r="G446" s="49" t="n">
        <v>500492</v>
      </c>
      <c r="H446" s="49" t="n">
        <v>242117</v>
      </c>
      <c r="I446" s="49" t="n">
        <v>263951</v>
      </c>
      <c r="J446" s="49" t="n">
        <v>70478</v>
      </c>
      <c r="K446" s="49" t="n">
        <v>80433</v>
      </c>
      <c r="L446" s="50" t="n">
        <v>30.9</v>
      </c>
      <c r="M446" s="51" t="n">
        <f aca="false">G446-F446</f>
        <v>55833</v>
      </c>
      <c r="N446" s="52" t="n">
        <f aca="false">IF(F446=0,0,M446/F446)</f>
        <v>0.125563634155611</v>
      </c>
      <c r="O446" s="51" t="n">
        <f aca="false">G446-I446</f>
        <v>236541</v>
      </c>
      <c r="P446" s="51" t="n">
        <f aca="false">F446-H446</f>
        <v>202542</v>
      </c>
      <c r="Q446" s="51" t="n">
        <f aca="false">F446-H446-J446</f>
        <v>132064</v>
      </c>
      <c r="R446" s="51" t="n">
        <f aca="false">G446-I446-K446</f>
        <v>156108</v>
      </c>
      <c r="S446" s="51" t="n">
        <f aca="false">R446-Q446</f>
        <v>24044</v>
      </c>
      <c r="T446" s="52" t="n">
        <f aca="false">IF(Q446=0,0,S446/Q446)</f>
        <v>0.182063242064454</v>
      </c>
      <c r="U446" s="51" t="str">
        <f aca="false">IF(AND(Q446&gt;0,T446&lt;-0.15),"ADVERSE","")</f>
        <v/>
      </c>
    </row>
    <row r="447" customFormat="false" ht="15" hidden="false" customHeight="false" outlineLevel="0" collapsed="false">
      <c r="A447" s="47" t="s">
        <v>134</v>
      </c>
      <c r="B447" s="47" t="s">
        <v>138</v>
      </c>
      <c r="C447" s="48" t="n">
        <v>45292</v>
      </c>
      <c r="D447" s="47" t="s">
        <v>35</v>
      </c>
      <c r="E447" s="47" t="s">
        <v>40</v>
      </c>
      <c r="F447" s="49" t="n">
        <v>435506</v>
      </c>
      <c r="G447" s="49" t="n">
        <v>453044</v>
      </c>
      <c r="H447" s="49" t="n">
        <v>237133</v>
      </c>
      <c r="I447" s="49" t="n">
        <v>236541</v>
      </c>
      <c r="J447" s="49" t="n">
        <v>69028</v>
      </c>
      <c r="K447" s="49" t="n">
        <v>69566</v>
      </c>
      <c r="L447" s="50" t="n">
        <v>31.7</v>
      </c>
      <c r="M447" s="51" t="n">
        <f aca="false">G447-F447</f>
        <v>17538</v>
      </c>
      <c r="N447" s="52" t="n">
        <f aca="false">IF(F447=0,0,M447/F447)</f>
        <v>0.0402703981116219</v>
      </c>
      <c r="O447" s="51" t="n">
        <f aca="false">G447-I447</f>
        <v>216503</v>
      </c>
      <c r="P447" s="51" t="n">
        <f aca="false">F447-H447</f>
        <v>198373</v>
      </c>
      <c r="Q447" s="51" t="n">
        <f aca="false">F447-H447-J447</f>
        <v>129345</v>
      </c>
      <c r="R447" s="51" t="n">
        <f aca="false">G447-I447-K447</f>
        <v>146937</v>
      </c>
      <c r="S447" s="51" t="n">
        <f aca="false">R447-Q447</f>
        <v>17592</v>
      </c>
      <c r="T447" s="52" t="n">
        <f aca="false">IF(Q447=0,0,S447/Q447)</f>
        <v>0.136008349762264</v>
      </c>
      <c r="U447" s="51" t="str">
        <f aca="false">IF(AND(Q447&gt;0,T447&lt;-0.15),"ADVERSE","")</f>
        <v/>
      </c>
    </row>
    <row r="448" customFormat="false" ht="15" hidden="false" customHeight="false" outlineLevel="0" collapsed="false">
      <c r="A448" s="47" t="s">
        <v>134</v>
      </c>
      <c r="B448" s="47" t="s">
        <v>138</v>
      </c>
      <c r="C448" s="48" t="n">
        <v>45323</v>
      </c>
      <c r="D448" s="47" t="s">
        <v>35</v>
      </c>
      <c r="E448" s="47" t="s">
        <v>40</v>
      </c>
      <c r="F448" s="49" t="n">
        <v>450361</v>
      </c>
      <c r="G448" s="49" t="n">
        <v>477743</v>
      </c>
      <c r="H448" s="49" t="n">
        <v>245221</v>
      </c>
      <c r="I448" s="49" t="n">
        <v>266695</v>
      </c>
      <c r="J448" s="49" t="n">
        <v>71382</v>
      </c>
      <c r="K448" s="49" t="n">
        <v>72759</v>
      </c>
      <c r="L448" s="50" t="n">
        <v>31.8</v>
      </c>
      <c r="M448" s="51" t="n">
        <f aca="false">G448-F448</f>
        <v>27382</v>
      </c>
      <c r="N448" s="52" t="n">
        <f aca="false">IF(F448=0,0,M448/F448)</f>
        <v>0.0608001136865759</v>
      </c>
      <c r="O448" s="51" t="n">
        <f aca="false">G448-I448</f>
        <v>211048</v>
      </c>
      <c r="P448" s="51" t="n">
        <f aca="false">F448-H448</f>
        <v>205140</v>
      </c>
      <c r="Q448" s="51" t="n">
        <f aca="false">F448-H448-J448</f>
        <v>133758</v>
      </c>
      <c r="R448" s="51" t="n">
        <f aca="false">G448-I448-K448</f>
        <v>138289</v>
      </c>
      <c r="S448" s="51" t="n">
        <f aca="false">R448-Q448</f>
        <v>4531</v>
      </c>
      <c r="T448" s="52" t="n">
        <f aca="false">IF(Q448=0,0,S448/Q448)</f>
        <v>0.0338746093691592</v>
      </c>
      <c r="U448" s="51" t="str">
        <f aca="false">IF(AND(Q448&gt;0,T448&lt;-0.15),"ADVERSE","")</f>
        <v/>
      </c>
    </row>
    <row r="449" customFormat="false" ht="15" hidden="false" customHeight="false" outlineLevel="0" collapsed="false">
      <c r="A449" s="47" t="s">
        <v>134</v>
      </c>
      <c r="B449" s="47" t="s">
        <v>138</v>
      </c>
      <c r="C449" s="48" t="n">
        <v>45352</v>
      </c>
      <c r="D449" s="47" t="s">
        <v>35</v>
      </c>
      <c r="E449" s="47" t="s">
        <v>40</v>
      </c>
      <c r="F449" s="49" t="n">
        <v>484203</v>
      </c>
      <c r="G449" s="49" t="n">
        <v>497223</v>
      </c>
      <c r="H449" s="49" t="n">
        <v>263649</v>
      </c>
      <c r="I449" s="49" t="n">
        <v>271209</v>
      </c>
      <c r="J449" s="49" t="n">
        <v>76746</v>
      </c>
      <c r="K449" s="49" t="n">
        <v>78163</v>
      </c>
      <c r="L449" s="50" t="n">
        <v>31.4</v>
      </c>
      <c r="M449" s="51" t="n">
        <f aca="false">G449-F449</f>
        <v>13020</v>
      </c>
      <c r="N449" s="52" t="n">
        <f aca="false">IF(F449=0,0,M449/F449)</f>
        <v>0.0268895483918935</v>
      </c>
      <c r="O449" s="51" t="n">
        <f aca="false">G449-I449</f>
        <v>226014</v>
      </c>
      <c r="P449" s="51" t="n">
        <f aca="false">F449-H449</f>
        <v>220554</v>
      </c>
      <c r="Q449" s="51" t="n">
        <f aca="false">F449-H449-J449</f>
        <v>143808</v>
      </c>
      <c r="R449" s="51" t="n">
        <f aca="false">G449-I449-K449</f>
        <v>147851</v>
      </c>
      <c r="S449" s="51" t="n">
        <f aca="false">R449-Q449</f>
        <v>4043</v>
      </c>
      <c r="T449" s="52" t="n">
        <f aca="false">IF(Q449=0,0,S449/Q449)</f>
        <v>0.0281138740542946</v>
      </c>
      <c r="U449" s="51" t="str">
        <f aca="false">IF(AND(Q449&gt;0,T449&lt;-0.15),"ADVERSE","")</f>
        <v/>
      </c>
    </row>
    <row r="450" customFormat="false" ht="15" hidden="false" customHeight="false" outlineLevel="0" collapsed="false">
      <c r="A450" s="47" t="s">
        <v>139</v>
      </c>
      <c r="B450" s="47" t="s">
        <v>135</v>
      </c>
      <c r="C450" s="48" t="n">
        <v>45383</v>
      </c>
      <c r="D450" s="47" t="s">
        <v>35</v>
      </c>
      <c r="E450" s="47" t="s">
        <v>40</v>
      </c>
      <c r="F450" s="49" t="n">
        <v>445901</v>
      </c>
      <c r="G450" s="49" t="n">
        <v>493026</v>
      </c>
      <c r="H450" s="49" t="n">
        <v>242793</v>
      </c>
      <c r="I450" s="49" t="n">
        <v>269550</v>
      </c>
      <c r="J450" s="49" t="n">
        <v>70675</v>
      </c>
      <c r="K450" s="49" t="n">
        <v>80319</v>
      </c>
      <c r="L450" s="50" t="n">
        <v>31.7</v>
      </c>
      <c r="M450" s="51" t="n">
        <f aca="false">G450-F450</f>
        <v>47125</v>
      </c>
      <c r="N450" s="52" t="n">
        <f aca="false">IF(F450=0,0,M450/F450)</f>
        <v>0.105684894180547</v>
      </c>
      <c r="O450" s="51" t="n">
        <f aca="false">G450-I450</f>
        <v>223476</v>
      </c>
      <c r="P450" s="51" t="n">
        <f aca="false">F450-H450</f>
        <v>203108</v>
      </c>
      <c r="Q450" s="51" t="n">
        <f aca="false">F450-H450-J450</f>
        <v>132433</v>
      </c>
      <c r="R450" s="51" t="n">
        <f aca="false">G450-I450-K450</f>
        <v>143157</v>
      </c>
      <c r="S450" s="51" t="n">
        <f aca="false">R450-Q450</f>
        <v>10724</v>
      </c>
      <c r="T450" s="52" t="n">
        <f aca="false">IF(Q450=0,0,S450/Q450)</f>
        <v>0.0809767958137322</v>
      </c>
      <c r="U450" s="51" t="str">
        <f aca="false">IF(AND(Q450&gt;0,T450&lt;-0.15),"ADVERSE","")</f>
        <v/>
      </c>
    </row>
    <row r="451" customFormat="false" ht="15" hidden="false" customHeight="false" outlineLevel="0" collapsed="false">
      <c r="A451" s="47" t="s">
        <v>139</v>
      </c>
      <c r="B451" s="47" t="s">
        <v>135</v>
      </c>
      <c r="C451" s="48" t="n">
        <v>45413</v>
      </c>
      <c r="D451" s="47" t="s">
        <v>35</v>
      </c>
      <c r="E451" s="47" t="s">
        <v>40</v>
      </c>
      <c r="F451" s="49" t="n">
        <v>455523</v>
      </c>
      <c r="G451" s="49" t="n">
        <v>476655</v>
      </c>
      <c r="H451" s="49" t="n">
        <v>248032</v>
      </c>
      <c r="I451" s="49" t="n">
        <v>253295</v>
      </c>
      <c r="J451" s="49" t="n">
        <v>72200</v>
      </c>
      <c r="K451" s="49" t="n">
        <v>74341</v>
      </c>
      <c r="L451" s="50" t="n">
        <v>31.6</v>
      </c>
      <c r="M451" s="51" t="n">
        <f aca="false">G451-F451</f>
        <v>21132</v>
      </c>
      <c r="N451" s="52" t="n">
        <f aca="false">IF(F451=0,0,M451/F451)</f>
        <v>0.0463906323061624</v>
      </c>
      <c r="O451" s="51" t="n">
        <f aca="false">G451-I451</f>
        <v>223360</v>
      </c>
      <c r="P451" s="51" t="n">
        <f aca="false">F451-H451</f>
        <v>207491</v>
      </c>
      <c r="Q451" s="51" t="n">
        <f aca="false">F451-H451-J451</f>
        <v>135291</v>
      </c>
      <c r="R451" s="51" t="n">
        <f aca="false">G451-I451-K451</f>
        <v>149019</v>
      </c>
      <c r="S451" s="51" t="n">
        <f aca="false">R451-Q451</f>
        <v>13728</v>
      </c>
      <c r="T451" s="52" t="n">
        <f aca="false">IF(Q451=0,0,S451/Q451)</f>
        <v>0.101470164312482</v>
      </c>
      <c r="U451" s="51" t="str">
        <f aca="false">IF(AND(Q451&gt;0,T451&lt;-0.15),"ADVERSE","")</f>
        <v/>
      </c>
    </row>
    <row r="452" customFormat="false" ht="15" hidden="false" customHeight="false" outlineLevel="0" collapsed="false">
      <c r="A452" s="47" t="s">
        <v>139</v>
      </c>
      <c r="B452" s="47" t="s">
        <v>135</v>
      </c>
      <c r="C452" s="48" t="n">
        <v>45444</v>
      </c>
      <c r="D452" s="47" t="s">
        <v>35</v>
      </c>
      <c r="E452" s="47" t="s">
        <v>40</v>
      </c>
      <c r="F452" s="49" t="n">
        <v>478750</v>
      </c>
      <c r="G452" s="49" t="n">
        <v>501440</v>
      </c>
      <c r="H452" s="49" t="n">
        <v>260679</v>
      </c>
      <c r="I452" s="49" t="n">
        <v>268355</v>
      </c>
      <c r="J452" s="49" t="n">
        <v>75882</v>
      </c>
      <c r="K452" s="49" t="n">
        <v>83921</v>
      </c>
      <c r="L452" s="50" t="n">
        <v>33.3</v>
      </c>
      <c r="M452" s="51" t="n">
        <f aca="false">G452-F452</f>
        <v>22690</v>
      </c>
      <c r="N452" s="52" t="n">
        <f aca="false">IF(F452=0,0,M452/F452)</f>
        <v>0.0473942558746736</v>
      </c>
      <c r="O452" s="51" t="n">
        <f aca="false">G452-I452</f>
        <v>233085</v>
      </c>
      <c r="P452" s="51" t="n">
        <f aca="false">F452-H452</f>
        <v>218071</v>
      </c>
      <c r="Q452" s="51" t="n">
        <f aca="false">F452-H452-J452</f>
        <v>142189</v>
      </c>
      <c r="R452" s="51" t="n">
        <f aca="false">G452-I452-K452</f>
        <v>149164</v>
      </c>
      <c r="S452" s="51" t="n">
        <f aca="false">R452-Q452</f>
        <v>6975</v>
      </c>
      <c r="T452" s="52" t="n">
        <f aca="false">IF(Q452=0,0,S452/Q452)</f>
        <v>0.0490544275576873</v>
      </c>
      <c r="U452" s="51" t="str">
        <f aca="false">IF(AND(Q452&gt;0,T452&lt;-0.15),"ADVERSE","")</f>
        <v/>
      </c>
    </row>
    <row r="453" customFormat="false" ht="15" hidden="false" customHeight="false" outlineLevel="0" collapsed="false">
      <c r="A453" s="47" t="s">
        <v>139</v>
      </c>
      <c r="B453" s="47" t="s">
        <v>136</v>
      </c>
      <c r="C453" s="48" t="n">
        <v>45474</v>
      </c>
      <c r="D453" s="47" t="s">
        <v>35</v>
      </c>
      <c r="E453" s="47" t="s">
        <v>40</v>
      </c>
      <c r="F453" s="49" t="n">
        <v>471224</v>
      </c>
      <c r="G453" s="49" t="n">
        <v>471104</v>
      </c>
      <c r="H453" s="49" t="n">
        <v>256582</v>
      </c>
      <c r="I453" s="49" t="n">
        <v>256672</v>
      </c>
      <c r="J453" s="49" t="n">
        <v>74689</v>
      </c>
      <c r="K453" s="49" t="n">
        <v>72585</v>
      </c>
      <c r="L453" s="50" t="n">
        <v>33.1</v>
      </c>
      <c r="M453" s="51" t="n">
        <f aca="false">G453-F453</f>
        <v>-120</v>
      </c>
      <c r="N453" s="52" t="n">
        <f aca="false">IF(F453=0,0,M453/F453)</f>
        <v>-0.000254655959798313</v>
      </c>
      <c r="O453" s="51" t="n">
        <f aca="false">G453-I453</f>
        <v>214432</v>
      </c>
      <c r="P453" s="51" t="n">
        <f aca="false">F453-H453</f>
        <v>214642</v>
      </c>
      <c r="Q453" s="51" t="n">
        <f aca="false">F453-H453-J453</f>
        <v>139953</v>
      </c>
      <c r="R453" s="51" t="n">
        <f aca="false">G453-I453-K453</f>
        <v>141847</v>
      </c>
      <c r="S453" s="51" t="n">
        <f aca="false">R453-Q453</f>
        <v>1894</v>
      </c>
      <c r="T453" s="52" t="n">
        <f aca="false">IF(Q453=0,0,S453/Q453)</f>
        <v>0.0135331146885026</v>
      </c>
      <c r="U453" s="51" t="str">
        <f aca="false">IF(AND(Q453&gt;0,T453&lt;-0.15),"ADVERSE","")</f>
        <v/>
      </c>
    </row>
    <row r="454" customFormat="false" ht="15" hidden="false" customHeight="false" outlineLevel="0" collapsed="false">
      <c r="A454" s="47" t="s">
        <v>139</v>
      </c>
      <c r="B454" s="47" t="s">
        <v>136</v>
      </c>
      <c r="C454" s="48" t="n">
        <v>45505</v>
      </c>
      <c r="D454" s="47" t="s">
        <v>35</v>
      </c>
      <c r="E454" s="47" t="s">
        <v>40</v>
      </c>
      <c r="F454" s="49" t="n">
        <v>468885</v>
      </c>
      <c r="G454" s="49" t="n">
        <v>519382</v>
      </c>
      <c r="H454" s="49" t="n">
        <v>255308</v>
      </c>
      <c r="I454" s="49" t="n">
        <v>282246</v>
      </c>
      <c r="J454" s="49" t="n">
        <v>74318</v>
      </c>
      <c r="K454" s="49" t="n">
        <v>84869</v>
      </c>
      <c r="L454" s="50" t="n">
        <v>33.5</v>
      </c>
      <c r="M454" s="51" t="n">
        <f aca="false">G454-F454</f>
        <v>50497</v>
      </c>
      <c r="N454" s="52" t="n">
        <f aca="false">IF(F454=0,0,M454/F454)</f>
        <v>0.107695916909263</v>
      </c>
      <c r="O454" s="51" t="n">
        <f aca="false">G454-I454</f>
        <v>237136</v>
      </c>
      <c r="P454" s="51" t="n">
        <f aca="false">F454-H454</f>
        <v>213577</v>
      </c>
      <c r="Q454" s="51" t="n">
        <f aca="false">F454-H454-J454</f>
        <v>139259</v>
      </c>
      <c r="R454" s="51" t="n">
        <f aca="false">G454-I454-K454</f>
        <v>152267</v>
      </c>
      <c r="S454" s="51" t="n">
        <f aca="false">R454-Q454</f>
        <v>13008</v>
      </c>
      <c r="T454" s="52" t="n">
        <f aca="false">IF(Q454=0,0,S454/Q454)</f>
        <v>0.0934086845374446</v>
      </c>
      <c r="U454" s="51" t="str">
        <f aca="false">IF(AND(Q454&gt;0,T454&lt;-0.15),"ADVERSE","")</f>
        <v/>
      </c>
    </row>
    <row r="455" customFormat="false" ht="15" hidden="false" customHeight="false" outlineLevel="0" collapsed="false">
      <c r="A455" s="47" t="s">
        <v>139</v>
      </c>
      <c r="B455" s="47" t="s">
        <v>136</v>
      </c>
      <c r="C455" s="48" t="n">
        <v>45536</v>
      </c>
      <c r="D455" s="47" t="s">
        <v>35</v>
      </c>
      <c r="E455" s="47" t="s">
        <v>40</v>
      </c>
      <c r="F455" s="49" t="n">
        <v>479142</v>
      </c>
      <c r="G455" s="49" t="n">
        <v>489727</v>
      </c>
      <c r="H455" s="49" t="n">
        <v>260893</v>
      </c>
      <c r="I455" s="49" t="n">
        <v>268734</v>
      </c>
      <c r="J455" s="49" t="n">
        <v>75944</v>
      </c>
      <c r="K455" s="49" t="n">
        <v>78155</v>
      </c>
      <c r="L455" s="50" t="n">
        <v>33.8</v>
      </c>
      <c r="M455" s="51" t="n">
        <f aca="false">G455-F455</f>
        <v>10585</v>
      </c>
      <c r="N455" s="52" t="n">
        <f aca="false">IF(F455=0,0,M455/F455)</f>
        <v>0.0220915720183161</v>
      </c>
      <c r="O455" s="51" t="n">
        <f aca="false">G455-I455</f>
        <v>220993</v>
      </c>
      <c r="P455" s="51" t="n">
        <f aca="false">F455-H455</f>
        <v>218249</v>
      </c>
      <c r="Q455" s="51" t="n">
        <f aca="false">F455-H455-J455</f>
        <v>142305</v>
      </c>
      <c r="R455" s="51" t="n">
        <f aca="false">G455-I455-K455</f>
        <v>142838</v>
      </c>
      <c r="S455" s="51" t="n">
        <f aca="false">R455-Q455</f>
        <v>533</v>
      </c>
      <c r="T455" s="52" t="n">
        <f aca="false">IF(Q455=0,0,S455/Q455)</f>
        <v>0.00374547626576719</v>
      </c>
      <c r="U455" s="51" t="str">
        <f aca="false">IF(AND(Q455&gt;0,T455&lt;-0.15),"ADVERSE","")</f>
        <v/>
      </c>
    </row>
    <row r="456" customFormat="false" ht="15" hidden="false" customHeight="false" outlineLevel="0" collapsed="false">
      <c r="A456" s="47" t="s">
        <v>139</v>
      </c>
      <c r="B456" s="47" t="s">
        <v>137</v>
      </c>
      <c r="C456" s="48" t="n">
        <v>45566</v>
      </c>
      <c r="D456" s="47" t="s">
        <v>35</v>
      </c>
      <c r="E456" s="47" t="s">
        <v>40</v>
      </c>
      <c r="F456" s="49" t="n">
        <v>491569</v>
      </c>
      <c r="G456" s="49" t="n">
        <v>551442</v>
      </c>
      <c r="H456" s="49" t="n">
        <v>267659</v>
      </c>
      <c r="I456" s="49" t="n">
        <v>307073</v>
      </c>
      <c r="J456" s="49" t="n">
        <v>77914</v>
      </c>
      <c r="K456" s="49" t="n">
        <v>81919</v>
      </c>
      <c r="L456" s="50" t="n">
        <v>34</v>
      </c>
      <c r="M456" s="51" t="n">
        <f aca="false">G456-F456</f>
        <v>59873</v>
      </c>
      <c r="N456" s="52" t="n">
        <f aca="false">IF(F456=0,0,M456/F456)</f>
        <v>0.121799788025689</v>
      </c>
      <c r="O456" s="51" t="n">
        <f aca="false">G456-I456</f>
        <v>244369</v>
      </c>
      <c r="P456" s="51" t="n">
        <f aca="false">F456-H456</f>
        <v>223910</v>
      </c>
      <c r="Q456" s="51" t="n">
        <f aca="false">F456-H456-J456</f>
        <v>145996</v>
      </c>
      <c r="R456" s="51" t="n">
        <f aca="false">G456-I456-K456</f>
        <v>162450</v>
      </c>
      <c r="S456" s="51" t="n">
        <f aca="false">R456-Q456</f>
        <v>16454</v>
      </c>
      <c r="T456" s="52" t="n">
        <f aca="false">IF(Q456=0,0,S456/Q456)</f>
        <v>0.112701717855284</v>
      </c>
      <c r="U456" s="51" t="str">
        <f aca="false">IF(AND(Q456&gt;0,T456&lt;-0.15),"ADVERSE","")</f>
        <v/>
      </c>
    </row>
    <row r="457" customFormat="false" ht="15" hidden="false" customHeight="false" outlineLevel="0" collapsed="false">
      <c r="A457" s="47" t="s">
        <v>139</v>
      </c>
      <c r="B457" s="47" t="s">
        <v>137</v>
      </c>
      <c r="C457" s="48" t="n">
        <v>45597</v>
      </c>
      <c r="D457" s="47" t="s">
        <v>35</v>
      </c>
      <c r="E457" s="47" t="s">
        <v>40</v>
      </c>
      <c r="F457" s="49" t="n">
        <v>505409</v>
      </c>
      <c r="G457" s="49" t="n">
        <v>539440</v>
      </c>
      <c r="H457" s="49" t="n">
        <v>275195</v>
      </c>
      <c r="I457" s="49" t="n">
        <v>294805</v>
      </c>
      <c r="J457" s="49" t="n">
        <v>80107</v>
      </c>
      <c r="K457" s="49" t="n">
        <v>84488</v>
      </c>
      <c r="L457" s="50" t="n">
        <v>34</v>
      </c>
      <c r="M457" s="51" t="n">
        <f aca="false">G457-F457</f>
        <v>34031</v>
      </c>
      <c r="N457" s="52" t="n">
        <f aca="false">IF(F457=0,0,M457/F457)</f>
        <v>0.0673335852745005</v>
      </c>
      <c r="O457" s="51" t="n">
        <f aca="false">G457-I457</f>
        <v>244635</v>
      </c>
      <c r="P457" s="51" t="n">
        <f aca="false">F457-H457</f>
        <v>230214</v>
      </c>
      <c r="Q457" s="51" t="n">
        <f aca="false">F457-H457-J457</f>
        <v>150107</v>
      </c>
      <c r="R457" s="51" t="n">
        <f aca="false">G457-I457-K457</f>
        <v>160147</v>
      </c>
      <c r="S457" s="51" t="n">
        <f aca="false">R457-Q457</f>
        <v>10040</v>
      </c>
      <c r="T457" s="52" t="n">
        <f aca="false">IF(Q457=0,0,S457/Q457)</f>
        <v>0.0668856215899325</v>
      </c>
      <c r="U457" s="51" t="str">
        <f aca="false">IF(AND(Q457&gt;0,T457&lt;-0.15),"ADVERSE","")</f>
        <v/>
      </c>
    </row>
    <row r="458" customFormat="false" ht="15" hidden="false" customHeight="false" outlineLevel="0" collapsed="false">
      <c r="A458" s="47" t="s">
        <v>139</v>
      </c>
      <c r="B458" s="47" t="s">
        <v>137</v>
      </c>
      <c r="C458" s="48" t="n">
        <v>45627</v>
      </c>
      <c r="D458" s="47" t="s">
        <v>35</v>
      </c>
      <c r="E458" s="47" t="s">
        <v>40</v>
      </c>
      <c r="F458" s="49" t="n">
        <v>504333</v>
      </c>
      <c r="G458" s="49" t="n">
        <v>531002</v>
      </c>
      <c r="H458" s="49" t="n">
        <v>274609</v>
      </c>
      <c r="I458" s="49" t="n">
        <v>286464</v>
      </c>
      <c r="J458" s="49" t="n">
        <v>79937</v>
      </c>
      <c r="K458" s="49" t="n">
        <v>85969</v>
      </c>
      <c r="L458" s="50" t="n">
        <v>34.3</v>
      </c>
      <c r="M458" s="51" t="n">
        <f aca="false">G458-F458</f>
        <v>26669</v>
      </c>
      <c r="N458" s="52" t="n">
        <f aca="false">IF(F458=0,0,M458/F458)</f>
        <v>0.0528797441373061</v>
      </c>
      <c r="O458" s="51" t="n">
        <f aca="false">G458-I458</f>
        <v>244538</v>
      </c>
      <c r="P458" s="51" t="n">
        <f aca="false">F458-H458</f>
        <v>229724</v>
      </c>
      <c r="Q458" s="51" t="n">
        <f aca="false">F458-H458-J458</f>
        <v>149787</v>
      </c>
      <c r="R458" s="51" t="n">
        <f aca="false">G458-I458-K458</f>
        <v>158569</v>
      </c>
      <c r="S458" s="51" t="n">
        <f aca="false">R458-Q458</f>
        <v>8782</v>
      </c>
      <c r="T458" s="52" t="n">
        <f aca="false">IF(Q458=0,0,S458/Q458)</f>
        <v>0.0586299211547063</v>
      </c>
      <c r="U458" s="51" t="str">
        <f aca="false">IF(AND(Q458&gt;0,T458&lt;-0.15),"ADVERSE","")</f>
        <v/>
      </c>
    </row>
    <row r="459" customFormat="false" ht="15" hidden="false" customHeight="false" outlineLevel="0" collapsed="false">
      <c r="A459" s="47" t="s">
        <v>139</v>
      </c>
      <c r="B459" s="47" t="s">
        <v>138</v>
      </c>
      <c r="C459" s="48" t="n">
        <v>45658</v>
      </c>
      <c r="D459" s="47" t="s">
        <v>35</v>
      </c>
      <c r="E459" s="47" t="s">
        <v>40</v>
      </c>
      <c r="F459" s="49" t="n">
        <v>494270</v>
      </c>
      <c r="G459" s="49" t="n">
        <v>512917</v>
      </c>
      <c r="H459" s="49" t="n">
        <v>269130</v>
      </c>
      <c r="I459" s="49" t="n">
        <v>281340</v>
      </c>
      <c r="J459" s="49" t="n">
        <v>78342</v>
      </c>
      <c r="K459" s="49" t="n">
        <v>81083</v>
      </c>
      <c r="L459" s="50" t="n">
        <v>35.3</v>
      </c>
      <c r="M459" s="51" t="n">
        <f aca="false">G459-F459</f>
        <v>18647</v>
      </c>
      <c r="N459" s="52" t="n">
        <f aca="false">IF(F459=0,0,M459/F459)</f>
        <v>0.0377263439011067</v>
      </c>
      <c r="O459" s="51" t="n">
        <f aca="false">G459-I459</f>
        <v>231577</v>
      </c>
      <c r="P459" s="51" t="n">
        <f aca="false">F459-H459</f>
        <v>225140</v>
      </c>
      <c r="Q459" s="51" t="n">
        <f aca="false">F459-H459-J459</f>
        <v>146798</v>
      </c>
      <c r="R459" s="51" t="n">
        <f aca="false">G459-I459-K459</f>
        <v>150494</v>
      </c>
      <c r="S459" s="51" t="n">
        <f aca="false">R459-Q459</f>
        <v>3696</v>
      </c>
      <c r="T459" s="52" t="n">
        <f aca="false">IF(Q459=0,0,S459/Q459)</f>
        <v>0.0251774547337157</v>
      </c>
      <c r="U459" s="51" t="str">
        <f aca="false">IF(AND(Q459&gt;0,T459&lt;-0.15),"ADVERSE","")</f>
        <v/>
      </c>
    </row>
    <row r="460" customFormat="false" ht="15" hidden="false" customHeight="false" outlineLevel="0" collapsed="false">
      <c r="A460" s="47" t="s">
        <v>139</v>
      </c>
      <c r="B460" s="47" t="s">
        <v>138</v>
      </c>
      <c r="C460" s="48" t="n">
        <v>45689</v>
      </c>
      <c r="D460" s="47" t="s">
        <v>35</v>
      </c>
      <c r="E460" s="47" t="s">
        <v>40</v>
      </c>
      <c r="F460" s="49" t="n">
        <v>505440</v>
      </c>
      <c r="G460" s="49" t="n">
        <v>566222</v>
      </c>
      <c r="H460" s="49" t="n">
        <v>275212</v>
      </c>
      <c r="I460" s="49" t="n">
        <v>314437</v>
      </c>
      <c r="J460" s="49" t="n">
        <v>80112</v>
      </c>
      <c r="K460" s="49" t="n">
        <v>86063</v>
      </c>
      <c r="L460" s="50" t="n">
        <v>35.8</v>
      </c>
      <c r="M460" s="51" t="n">
        <f aca="false">G460-F460</f>
        <v>60782</v>
      </c>
      <c r="N460" s="52" t="n">
        <f aca="false">IF(F460=0,0,M460/F460)</f>
        <v>0.12025561886673</v>
      </c>
      <c r="O460" s="51" t="n">
        <f aca="false">G460-I460</f>
        <v>251785</v>
      </c>
      <c r="P460" s="51" t="n">
        <f aca="false">F460-H460</f>
        <v>230228</v>
      </c>
      <c r="Q460" s="51" t="n">
        <f aca="false">F460-H460-J460</f>
        <v>150116</v>
      </c>
      <c r="R460" s="51" t="n">
        <f aca="false">G460-I460-K460</f>
        <v>165722</v>
      </c>
      <c r="S460" s="51" t="n">
        <f aca="false">R460-Q460</f>
        <v>15606</v>
      </c>
      <c r="T460" s="52" t="n">
        <f aca="false">IF(Q460=0,0,S460/Q460)</f>
        <v>0.103959604572464</v>
      </c>
      <c r="U460" s="51" t="str">
        <f aca="false">IF(AND(Q460&gt;0,T460&lt;-0.15),"ADVERSE","")</f>
        <v/>
      </c>
    </row>
    <row r="461" customFormat="false" ht="15" hidden="false" customHeight="false" outlineLevel="0" collapsed="false">
      <c r="A461" s="47" t="s">
        <v>139</v>
      </c>
      <c r="B461" s="47" t="s">
        <v>138</v>
      </c>
      <c r="C461" s="48" t="n">
        <v>45717</v>
      </c>
      <c r="D461" s="47" t="s">
        <v>35</v>
      </c>
      <c r="E461" s="47" t="s">
        <v>40</v>
      </c>
      <c r="F461" s="49" t="n">
        <v>569085</v>
      </c>
      <c r="G461" s="49" t="n">
        <v>583341</v>
      </c>
      <c r="H461" s="49" t="n">
        <v>309867</v>
      </c>
      <c r="I461" s="49" t="n">
        <v>315486</v>
      </c>
      <c r="J461" s="49" t="n">
        <v>90200</v>
      </c>
      <c r="K461" s="49" t="n">
        <v>90373</v>
      </c>
      <c r="L461" s="50" t="n">
        <v>36.4</v>
      </c>
      <c r="M461" s="51" t="n">
        <f aca="false">G461-F461</f>
        <v>14256</v>
      </c>
      <c r="N461" s="52" t="n">
        <f aca="false">IF(F461=0,0,M461/F461)</f>
        <v>0.0250507393447376</v>
      </c>
      <c r="O461" s="51" t="n">
        <f aca="false">G461-I461</f>
        <v>267855</v>
      </c>
      <c r="P461" s="51" t="n">
        <f aca="false">F461-H461</f>
        <v>259218</v>
      </c>
      <c r="Q461" s="51" t="n">
        <f aca="false">F461-H461-J461</f>
        <v>169018</v>
      </c>
      <c r="R461" s="51" t="n">
        <f aca="false">G461-I461-K461</f>
        <v>177482</v>
      </c>
      <c r="S461" s="51" t="n">
        <f aca="false">R461-Q461</f>
        <v>8464</v>
      </c>
      <c r="T461" s="52" t="n">
        <f aca="false">IF(Q461=0,0,S461/Q461)</f>
        <v>0.0500775065377652</v>
      </c>
      <c r="U461" s="51" t="str">
        <f aca="false">IF(AND(Q461&gt;0,T461&lt;-0.15),"ADVERSE","")</f>
        <v/>
      </c>
    </row>
    <row r="462" customFormat="false" ht="15" hidden="false" customHeight="false" outlineLevel="0" collapsed="false">
      <c r="A462" s="47" t="s">
        <v>3</v>
      </c>
      <c r="B462" s="47" t="s">
        <v>135</v>
      </c>
      <c r="C462" s="48" t="n">
        <v>45748</v>
      </c>
      <c r="D462" s="47" t="s">
        <v>35</v>
      </c>
      <c r="E462" s="47" t="s">
        <v>40</v>
      </c>
      <c r="F462" s="49" t="n">
        <v>522615</v>
      </c>
      <c r="G462" s="49" t="n">
        <v>569414</v>
      </c>
      <c r="H462" s="49" t="n">
        <v>284564</v>
      </c>
      <c r="I462" s="49" t="n">
        <v>299259</v>
      </c>
      <c r="J462" s="49" t="n">
        <v>82835</v>
      </c>
      <c r="K462" s="49" t="n">
        <v>92401</v>
      </c>
      <c r="L462" s="50" t="n">
        <v>36.2</v>
      </c>
      <c r="M462" s="51" t="n">
        <f aca="false">G462-F462</f>
        <v>46799</v>
      </c>
      <c r="N462" s="52" t="n">
        <f aca="false">IF(F462=0,0,M462/F462)</f>
        <v>0.0895477550395607</v>
      </c>
      <c r="O462" s="51" t="n">
        <f aca="false">G462-I462</f>
        <v>270155</v>
      </c>
      <c r="P462" s="51" t="n">
        <f aca="false">F462-H462</f>
        <v>238051</v>
      </c>
      <c r="Q462" s="51" t="n">
        <f aca="false">F462-H462-J462</f>
        <v>155216</v>
      </c>
      <c r="R462" s="51" t="n">
        <f aca="false">G462-I462-K462</f>
        <v>177754</v>
      </c>
      <c r="S462" s="51" t="n">
        <f aca="false">R462-Q462</f>
        <v>22538</v>
      </c>
      <c r="T462" s="52" t="n">
        <f aca="false">IF(Q462=0,0,S462/Q462)</f>
        <v>0.145204102669828</v>
      </c>
      <c r="U462" s="51" t="str">
        <f aca="false">IF(AND(Q462&gt;0,T462&lt;-0.15),"ADVERSE","")</f>
        <v/>
      </c>
    </row>
    <row r="463" customFormat="false" ht="15" hidden="false" customHeight="false" outlineLevel="0" collapsed="false">
      <c r="A463" s="47" t="s">
        <v>3</v>
      </c>
      <c r="B463" s="47" t="s">
        <v>135</v>
      </c>
      <c r="C463" s="48" t="n">
        <v>45778</v>
      </c>
      <c r="D463" s="47" t="s">
        <v>35</v>
      </c>
      <c r="E463" s="47" t="s">
        <v>40</v>
      </c>
      <c r="F463" s="49" t="n">
        <v>520431</v>
      </c>
      <c r="G463" s="49" t="n">
        <v>564631</v>
      </c>
      <c r="H463" s="49" t="n">
        <v>283374</v>
      </c>
      <c r="I463" s="49" t="n">
        <v>313526</v>
      </c>
      <c r="J463" s="49" t="n">
        <v>82488</v>
      </c>
      <c r="K463" s="49" t="n">
        <v>90218</v>
      </c>
      <c r="L463" s="50" t="n">
        <v>36.5</v>
      </c>
      <c r="M463" s="51" t="n">
        <f aca="false">G463-F463</f>
        <v>44200</v>
      </c>
      <c r="N463" s="52" t="n">
        <f aca="false">IF(F463=0,0,M463/F463)</f>
        <v>0.0849296064223692</v>
      </c>
      <c r="O463" s="51" t="n">
        <f aca="false">G463-I463</f>
        <v>251105</v>
      </c>
      <c r="P463" s="51" t="n">
        <f aca="false">F463-H463</f>
        <v>237057</v>
      </c>
      <c r="Q463" s="51" t="n">
        <f aca="false">F463-H463-J463</f>
        <v>154569</v>
      </c>
      <c r="R463" s="51" t="n">
        <f aca="false">G463-I463-K463</f>
        <v>160887</v>
      </c>
      <c r="S463" s="51" t="n">
        <f aca="false">R463-Q463</f>
        <v>6318</v>
      </c>
      <c r="T463" s="52" t="n">
        <f aca="false">IF(Q463=0,0,S463/Q463)</f>
        <v>0.0408749490518797</v>
      </c>
      <c r="U463" s="51" t="str">
        <f aca="false">IF(AND(Q463&gt;0,T463&lt;-0.15),"ADVERSE","")</f>
        <v/>
      </c>
    </row>
    <row r="464" customFormat="false" ht="15" hidden="false" customHeight="false" outlineLevel="0" collapsed="false">
      <c r="A464" s="47" t="s">
        <v>3</v>
      </c>
      <c r="B464" s="47" t="s">
        <v>135</v>
      </c>
      <c r="C464" s="48" t="n">
        <v>45809</v>
      </c>
      <c r="D464" s="47" t="s">
        <v>35</v>
      </c>
      <c r="E464" s="47" t="s">
        <v>40</v>
      </c>
      <c r="F464" s="49" t="n">
        <v>541817</v>
      </c>
      <c r="G464" s="49" t="n">
        <v>549998</v>
      </c>
      <c r="H464" s="49" t="n">
        <v>295020</v>
      </c>
      <c r="I464" s="49" t="n">
        <v>294815</v>
      </c>
      <c r="J464" s="49" t="n">
        <v>85878</v>
      </c>
      <c r="K464" s="49" t="n">
        <v>92417</v>
      </c>
      <c r="L464" s="50" t="n">
        <v>37.1</v>
      </c>
      <c r="M464" s="51" t="n">
        <f aca="false">G464-F464</f>
        <v>8181</v>
      </c>
      <c r="N464" s="52" t="n">
        <f aca="false">IF(F464=0,0,M464/F464)</f>
        <v>0.0150991940083091</v>
      </c>
      <c r="O464" s="51" t="n">
        <f aca="false">G464-I464</f>
        <v>255183</v>
      </c>
      <c r="P464" s="51" t="n">
        <f aca="false">F464-H464</f>
        <v>246797</v>
      </c>
      <c r="Q464" s="51" t="n">
        <f aca="false">F464-H464-J464</f>
        <v>160919</v>
      </c>
      <c r="R464" s="51" t="n">
        <f aca="false">G464-I464-K464</f>
        <v>162766</v>
      </c>
      <c r="S464" s="51" t="n">
        <f aca="false">R464-Q464</f>
        <v>1847</v>
      </c>
      <c r="T464" s="52" t="n">
        <f aca="false">IF(Q464=0,0,S464/Q464)</f>
        <v>0.0114778242469814</v>
      </c>
      <c r="U464" s="51" t="str">
        <f aca="false">IF(AND(Q464&gt;0,T464&lt;-0.15),"ADVERSE","")</f>
        <v/>
      </c>
    </row>
    <row r="465" customFormat="false" ht="15" hidden="false" customHeight="false" outlineLevel="0" collapsed="false">
      <c r="A465" s="47" t="s">
        <v>3</v>
      </c>
      <c r="B465" s="47" t="s">
        <v>136</v>
      </c>
      <c r="C465" s="48" t="n">
        <v>45839</v>
      </c>
      <c r="D465" s="47" t="s">
        <v>35</v>
      </c>
      <c r="E465" s="47" t="s">
        <v>40</v>
      </c>
      <c r="F465" s="49" t="n">
        <v>555231</v>
      </c>
      <c r="G465" s="49" t="n">
        <v>582512</v>
      </c>
      <c r="H465" s="49" t="n">
        <v>302323</v>
      </c>
      <c r="I465" s="49" t="n">
        <v>324082</v>
      </c>
      <c r="J465" s="49" t="n">
        <v>88004</v>
      </c>
      <c r="K465" s="49" t="n">
        <v>93579</v>
      </c>
      <c r="L465" s="50" t="n">
        <v>37.4</v>
      </c>
      <c r="M465" s="51" t="n">
        <f aca="false">G465-F465</f>
        <v>27281</v>
      </c>
      <c r="N465" s="52" t="n">
        <f aca="false">IF(F465=0,0,M465/F465)</f>
        <v>0.0491345043774573</v>
      </c>
      <c r="O465" s="51" t="n">
        <f aca="false">G465-I465</f>
        <v>258430</v>
      </c>
      <c r="P465" s="51" t="n">
        <f aca="false">F465-H465</f>
        <v>252908</v>
      </c>
      <c r="Q465" s="51" t="n">
        <f aca="false">F465-H465-J465</f>
        <v>164904</v>
      </c>
      <c r="R465" s="51" t="n">
        <f aca="false">G465-I465-K465</f>
        <v>164851</v>
      </c>
      <c r="S465" s="51" t="n">
        <f aca="false">R465-Q465</f>
        <v>-53</v>
      </c>
      <c r="T465" s="52" t="n">
        <f aca="false">IF(Q465=0,0,S465/Q465)</f>
        <v>-0.000321399117062048</v>
      </c>
      <c r="U465" s="51" t="str">
        <f aca="false">IF(AND(Q465&gt;0,T465&lt;-0.15),"ADVERSE","")</f>
        <v/>
      </c>
    </row>
    <row r="466" customFormat="false" ht="15" hidden="false" customHeight="false" outlineLevel="0" collapsed="false">
      <c r="A466" s="47" t="s">
        <v>3</v>
      </c>
      <c r="B466" s="47" t="s">
        <v>136</v>
      </c>
      <c r="C466" s="48" t="n">
        <v>45870</v>
      </c>
      <c r="D466" s="47" t="s">
        <v>35</v>
      </c>
      <c r="E466" s="47" t="s">
        <v>40</v>
      </c>
      <c r="F466" s="49" t="n">
        <v>544240</v>
      </c>
      <c r="G466" s="49" t="n">
        <v>616979</v>
      </c>
      <c r="H466" s="49" t="n">
        <v>296338</v>
      </c>
      <c r="I466" s="49" t="n">
        <v>340558</v>
      </c>
      <c r="J466" s="49" t="n">
        <v>86262</v>
      </c>
      <c r="K466" s="49" t="n">
        <v>97294</v>
      </c>
      <c r="L466" s="50" t="n">
        <v>37.5</v>
      </c>
      <c r="M466" s="51" t="n">
        <f aca="false">G466-F466</f>
        <v>72739</v>
      </c>
      <c r="N466" s="52" t="n">
        <f aca="false">IF(F466=0,0,M466/F466)</f>
        <v>0.133652432750257</v>
      </c>
      <c r="O466" s="51" t="n">
        <f aca="false">G466-I466</f>
        <v>276421</v>
      </c>
      <c r="P466" s="51" t="n">
        <f aca="false">F466-H466</f>
        <v>247902</v>
      </c>
      <c r="Q466" s="51" t="n">
        <f aca="false">F466-H466-J466</f>
        <v>161640</v>
      </c>
      <c r="R466" s="51" t="n">
        <f aca="false">G466-I466-K466</f>
        <v>179127</v>
      </c>
      <c r="S466" s="51" t="n">
        <f aca="false">R466-Q466</f>
        <v>17487</v>
      </c>
      <c r="T466" s="52" t="n">
        <f aca="false">IF(Q466=0,0,S466/Q466)</f>
        <v>0.108184855233853</v>
      </c>
      <c r="U466" s="51" t="str">
        <f aca="false">IF(AND(Q466&gt;0,T466&lt;-0.15),"ADVERSE","")</f>
        <v/>
      </c>
    </row>
    <row r="467" customFormat="false" ht="15" hidden="false" customHeight="false" outlineLevel="0" collapsed="false">
      <c r="A467" s="47" t="s">
        <v>3</v>
      </c>
      <c r="B467" s="47" t="s">
        <v>136</v>
      </c>
      <c r="C467" s="48" t="n">
        <v>45901</v>
      </c>
      <c r="D467" s="47" t="s">
        <v>35</v>
      </c>
      <c r="E467" s="47" t="s">
        <v>40</v>
      </c>
      <c r="F467" s="49" t="n">
        <v>561104</v>
      </c>
      <c r="G467" s="49" t="n">
        <v>616591</v>
      </c>
      <c r="H467" s="49" t="n">
        <v>305521</v>
      </c>
      <c r="I467" s="49" t="n">
        <v>337649</v>
      </c>
      <c r="J467" s="49" t="n">
        <v>88935</v>
      </c>
      <c r="K467" s="49" t="n">
        <v>98292</v>
      </c>
      <c r="L467" s="50" t="n">
        <v>38.2</v>
      </c>
      <c r="M467" s="51" t="n">
        <f aca="false">G467-F467</f>
        <v>55487</v>
      </c>
      <c r="N467" s="52" t="n">
        <f aca="false">IF(F467=0,0,M467/F467)</f>
        <v>0.098888976018706</v>
      </c>
      <c r="O467" s="51" t="n">
        <f aca="false">G467-I467</f>
        <v>278942</v>
      </c>
      <c r="P467" s="51" t="n">
        <f aca="false">F467-H467</f>
        <v>255583</v>
      </c>
      <c r="Q467" s="51" t="n">
        <f aca="false">F467-H467-J467</f>
        <v>166648</v>
      </c>
      <c r="R467" s="51" t="n">
        <f aca="false">G467-I467-K467</f>
        <v>180650</v>
      </c>
      <c r="S467" s="51" t="n">
        <f aca="false">R467-Q467</f>
        <v>14002</v>
      </c>
      <c r="T467" s="52" t="n">
        <f aca="false">IF(Q467=0,0,S467/Q467)</f>
        <v>0.0840214103979646</v>
      </c>
      <c r="U467" s="51" t="str">
        <f aca="false">IF(AND(Q467&gt;0,T467&lt;-0.15),"ADVERSE","")</f>
        <v/>
      </c>
    </row>
    <row r="468" customFormat="false" ht="15" hidden="false" customHeight="false" outlineLevel="0" collapsed="false">
      <c r="A468" s="47" t="s">
        <v>3</v>
      </c>
      <c r="B468" s="47" t="s">
        <v>137</v>
      </c>
      <c r="C468" s="48" t="n">
        <v>45931</v>
      </c>
      <c r="D468" s="47" t="s">
        <v>35</v>
      </c>
      <c r="E468" s="47" t="s">
        <v>40</v>
      </c>
      <c r="F468" s="49" t="n">
        <v>578937</v>
      </c>
      <c r="G468" s="49" t="n">
        <v>622048</v>
      </c>
      <c r="H468" s="49" t="n">
        <v>315231</v>
      </c>
      <c r="I468" s="49" t="n">
        <v>345340</v>
      </c>
      <c r="J468" s="49" t="n">
        <v>91761</v>
      </c>
      <c r="K468" s="49" t="n">
        <v>97167</v>
      </c>
      <c r="L468" s="50" t="n">
        <v>37.9</v>
      </c>
      <c r="M468" s="51" t="n">
        <f aca="false">G468-F468</f>
        <v>43111</v>
      </c>
      <c r="N468" s="52" t="n">
        <f aca="false">IF(F468=0,0,M468/F468)</f>
        <v>0.0744657881600243</v>
      </c>
      <c r="O468" s="51" t="n">
        <f aca="false">G468-I468</f>
        <v>276708</v>
      </c>
      <c r="P468" s="51" t="n">
        <f aca="false">F468-H468</f>
        <v>263706</v>
      </c>
      <c r="Q468" s="51" t="n">
        <f aca="false">F468-H468-J468</f>
        <v>171945</v>
      </c>
      <c r="R468" s="51" t="n">
        <f aca="false">G468-I468-K468</f>
        <v>179541</v>
      </c>
      <c r="S468" s="51" t="n">
        <f aca="false">R468-Q468</f>
        <v>7596</v>
      </c>
      <c r="T468" s="52" t="n">
        <f aca="false">IF(Q468=0,0,S468/Q468)</f>
        <v>0.0441769170374248</v>
      </c>
      <c r="U468" s="51" t="str">
        <f aca="false">IF(AND(Q468&gt;0,T468&lt;-0.15),"ADVERSE","")</f>
        <v/>
      </c>
    </row>
    <row r="469" customFormat="false" ht="15" hidden="false" customHeight="false" outlineLevel="0" collapsed="false">
      <c r="A469" s="47" t="s">
        <v>3</v>
      </c>
      <c r="B469" s="47" t="s">
        <v>137</v>
      </c>
      <c r="C469" s="48" t="n">
        <v>45962</v>
      </c>
      <c r="D469" s="47" t="s">
        <v>35</v>
      </c>
      <c r="E469" s="47" t="s">
        <v>40</v>
      </c>
      <c r="F469" s="49" t="n">
        <v>585570</v>
      </c>
      <c r="G469" s="49" t="n">
        <v>628817</v>
      </c>
      <c r="H469" s="49" t="n">
        <v>318843</v>
      </c>
      <c r="I469" s="49" t="n">
        <v>348881</v>
      </c>
      <c r="J469" s="49" t="n">
        <v>92813</v>
      </c>
      <c r="K469" s="49" t="n">
        <v>102901</v>
      </c>
      <c r="L469" s="50" t="n">
        <v>38.6</v>
      </c>
      <c r="M469" s="51" t="n">
        <f aca="false">G469-F469</f>
        <v>43247</v>
      </c>
      <c r="N469" s="52" t="n">
        <f aca="false">IF(F469=0,0,M469/F469)</f>
        <v>0.0738545348976211</v>
      </c>
      <c r="O469" s="51" t="n">
        <f aca="false">G469-I469</f>
        <v>279936</v>
      </c>
      <c r="P469" s="51" t="n">
        <f aca="false">F469-H469</f>
        <v>266727</v>
      </c>
      <c r="Q469" s="51" t="n">
        <f aca="false">F469-H469-J469</f>
        <v>173914</v>
      </c>
      <c r="R469" s="51" t="n">
        <f aca="false">G469-I469-K469</f>
        <v>177035</v>
      </c>
      <c r="S469" s="51" t="n">
        <f aca="false">R469-Q469</f>
        <v>3121</v>
      </c>
      <c r="T469" s="52" t="n">
        <f aca="false">IF(Q469=0,0,S469/Q469)</f>
        <v>0.0179456512989179</v>
      </c>
      <c r="U469" s="51" t="str">
        <f aca="false">IF(AND(Q469&gt;0,T469&lt;-0.15),"ADVERSE","")</f>
        <v/>
      </c>
    </row>
    <row r="470" customFormat="false" ht="15" hidden="false" customHeight="false" outlineLevel="0" collapsed="false">
      <c r="A470" s="47" t="s">
        <v>3</v>
      </c>
      <c r="B470" s="47" t="s">
        <v>137</v>
      </c>
      <c r="C470" s="48" t="n">
        <v>45992</v>
      </c>
      <c r="D470" s="47" t="s">
        <v>35</v>
      </c>
      <c r="E470" s="47" t="s">
        <v>40</v>
      </c>
      <c r="F470" s="49" t="n">
        <v>590094</v>
      </c>
      <c r="G470" s="49" t="n">
        <v>603535</v>
      </c>
      <c r="H470" s="49" t="n">
        <v>321306</v>
      </c>
      <c r="I470" s="49" t="n">
        <v>325405</v>
      </c>
      <c r="J470" s="49" t="n">
        <v>93530</v>
      </c>
      <c r="K470" s="49" t="n">
        <v>91484</v>
      </c>
      <c r="L470" s="50" t="n">
        <v>38.4</v>
      </c>
      <c r="M470" s="51" t="n">
        <f aca="false">G470-F470</f>
        <v>13441</v>
      </c>
      <c r="N470" s="52" t="n">
        <f aca="false">IF(F470=0,0,M470/F470)</f>
        <v>0.02277772693842</v>
      </c>
      <c r="O470" s="51" t="n">
        <f aca="false">G470-I470</f>
        <v>278130</v>
      </c>
      <c r="P470" s="51" t="n">
        <f aca="false">F470-H470</f>
        <v>268788</v>
      </c>
      <c r="Q470" s="51" t="n">
        <f aca="false">F470-H470-J470</f>
        <v>175258</v>
      </c>
      <c r="R470" s="51" t="n">
        <f aca="false">G470-I470-K470</f>
        <v>186646</v>
      </c>
      <c r="S470" s="51" t="n">
        <f aca="false">R470-Q470</f>
        <v>11388</v>
      </c>
      <c r="T470" s="52" t="n">
        <f aca="false">IF(Q470=0,0,S470/Q470)</f>
        <v>0.0649784888564288</v>
      </c>
      <c r="U470" s="51" t="str">
        <f aca="false">IF(AND(Q470&gt;0,T470&lt;-0.15),"ADVERSE","")</f>
        <v/>
      </c>
    </row>
    <row r="471" customFormat="false" ht="15" hidden="false" customHeight="false" outlineLevel="0" collapsed="false">
      <c r="A471" s="47" t="s">
        <v>3</v>
      </c>
      <c r="B471" s="47" t="s">
        <v>138</v>
      </c>
      <c r="C471" s="48" t="n">
        <v>46023</v>
      </c>
      <c r="D471" s="47" t="s">
        <v>35</v>
      </c>
      <c r="E471" s="47" t="s">
        <v>40</v>
      </c>
      <c r="F471" s="49" t="n">
        <v>568024</v>
      </c>
      <c r="G471" s="49" t="n">
        <v>627273</v>
      </c>
      <c r="H471" s="49" t="n">
        <v>309289</v>
      </c>
      <c r="I471" s="49" t="n">
        <v>335773</v>
      </c>
      <c r="J471" s="49" t="n">
        <v>90032</v>
      </c>
      <c r="K471" s="49" t="n">
        <v>102829</v>
      </c>
      <c r="L471" s="50" t="n">
        <v>40.3</v>
      </c>
      <c r="M471" s="51" t="n">
        <f aca="false">G471-F471</f>
        <v>59249</v>
      </c>
      <c r="N471" s="52" t="n">
        <f aca="false">IF(F471=0,0,M471/F471)</f>
        <v>0.104307212371308</v>
      </c>
      <c r="O471" s="51" t="n">
        <f aca="false">G471-I471</f>
        <v>291500</v>
      </c>
      <c r="P471" s="51" t="n">
        <f aca="false">F471-H471</f>
        <v>258735</v>
      </c>
      <c r="Q471" s="51" t="n">
        <f aca="false">F471-H471-J471</f>
        <v>168703</v>
      </c>
      <c r="R471" s="51" t="n">
        <f aca="false">G471-I471-K471</f>
        <v>188671</v>
      </c>
      <c r="S471" s="51" t="n">
        <f aca="false">R471-Q471</f>
        <v>19968</v>
      </c>
      <c r="T471" s="52" t="n">
        <f aca="false">IF(Q471=0,0,S471/Q471)</f>
        <v>0.118361854857353</v>
      </c>
      <c r="U471" s="51" t="str">
        <f aca="false">IF(AND(Q471&gt;0,T471&lt;-0.15),"ADVERSE","")</f>
        <v/>
      </c>
    </row>
    <row r="472" customFormat="false" ht="15" hidden="false" customHeight="false" outlineLevel="0" collapsed="false">
      <c r="A472" s="47" t="s">
        <v>3</v>
      </c>
      <c r="B472" s="47" t="s">
        <v>138</v>
      </c>
      <c r="C472" s="48" t="n">
        <v>46054</v>
      </c>
      <c r="D472" s="47" t="s">
        <v>35</v>
      </c>
      <c r="E472" s="47" t="s">
        <v>40</v>
      </c>
      <c r="F472" s="49" t="n">
        <v>587868</v>
      </c>
      <c r="G472" s="49" t="n">
        <v>600845</v>
      </c>
      <c r="H472" s="49" t="n">
        <v>320094</v>
      </c>
      <c r="I472" s="49" t="n">
        <v>331971</v>
      </c>
      <c r="J472" s="49" t="n">
        <v>93177</v>
      </c>
      <c r="K472" s="49" t="n">
        <v>96763</v>
      </c>
      <c r="L472" s="50" t="n">
        <v>39.9</v>
      </c>
      <c r="M472" s="51" t="n">
        <f aca="false">G472-F472</f>
        <v>12977</v>
      </c>
      <c r="N472" s="52" t="n">
        <f aca="false">IF(F472=0,0,M472/F472)</f>
        <v>0.0220746834323352</v>
      </c>
      <c r="O472" s="51" t="n">
        <f aca="false">G472-I472</f>
        <v>268874</v>
      </c>
      <c r="P472" s="51" t="n">
        <f aca="false">F472-H472</f>
        <v>267774</v>
      </c>
      <c r="Q472" s="51" t="n">
        <f aca="false">F472-H472-J472</f>
        <v>174597</v>
      </c>
      <c r="R472" s="51" t="n">
        <f aca="false">G472-I472-K472</f>
        <v>172111</v>
      </c>
      <c r="S472" s="51" t="n">
        <f aca="false">R472-Q472</f>
        <v>-2486</v>
      </c>
      <c r="T472" s="52" t="n">
        <f aca="false">IF(Q472=0,0,S472/Q472)</f>
        <v>-0.014238503525261</v>
      </c>
      <c r="U472" s="51" t="str">
        <f aca="false">IF(AND(Q472&gt;0,T472&lt;-0.15),"ADVERSE","")</f>
        <v/>
      </c>
    </row>
    <row r="473" customFormat="false" ht="15" hidden="false" customHeight="false" outlineLevel="0" collapsed="false">
      <c r="A473" s="47" t="s">
        <v>3</v>
      </c>
      <c r="B473" s="47" t="s">
        <v>138</v>
      </c>
      <c r="C473" s="48" t="n">
        <v>46082</v>
      </c>
      <c r="D473" s="47" t="s">
        <v>35</v>
      </c>
      <c r="E473" s="47" t="s">
        <v>40</v>
      </c>
      <c r="F473" s="49" t="n">
        <v>651814</v>
      </c>
      <c r="G473" s="49" t="n">
        <v>689396</v>
      </c>
      <c r="H473" s="49" t="n">
        <v>354913</v>
      </c>
      <c r="I473" s="49" t="n">
        <v>369447</v>
      </c>
      <c r="J473" s="49" t="n">
        <v>103312</v>
      </c>
      <c r="K473" s="49" t="n">
        <v>105947</v>
      </c>
      <c r="L473" s="50" t="n">
        <v>41.3</v>
      </c>
      <c r="M473" s="51" t="n">
        <f aca="false">G473-F473</f>
        <v>37582</v>
      </c>
      <c r="N473" s="52" t="n">
        <f aca="false">IF(F473=0,0,M473/F473)</f>
        <v>0.057657552614703</v>
      </c>
      <c r="O473" s="51" t="n">
        <f aca="false">G473-I473</f>
        <v>319949</v>
      </c>
      <c r="P473" s="51" t="n">
        <f aca="false">F473-H473</f>
        <v>296901</v>
      </c>
      <c r="Q473" s="51" t="n">
        <f aca="false">F473-H473-J473</f>
        <v>193589</v>
      </c>
      <c r="R473" s="51" t="n">
        <f aca="false">G473-I473-K473</f>
        <v>214002</v>
      </c>
      <c r="S473" s="51" t="n">
        <f aca="false">R473-Q473</f>
        <v>20413</v>
      </c>
      <c r="T473" s="52" t="n">
        <f aca="false">IF(Q473=0,0,S473/Q473)</f>
        <v>0.105445040782276</v>
      </c>
      <c r="U473" s="51" t="str">
        <f aca="false">IF(AND(Q473&gt;0,T473&lt;-0.15),"ADVERSE","")</f>
        <v/>
      </c>
    </row>
    <row r="474" customFormat="false" ht="15" hidden="false" customHeight="false" outlineLevel="0" collapsed="false">
      <c r="A474" s="47" t="s">
        <v>134</v>
      </c>
      <c r="B474" s="47" t="s">
        <v>135</v>
      </c>
      <c r="C474" s="48" t="n">
        <v>45017</v>
      </c>
      <c r="D474" s="47" t="s">
        <v>35</v>
      </c>
      <c r="E474" s="47" t="s">
        <v>41</v>
      </c>
      <c r="F474" s="49" t="n">
        <v>277692</v>
      </c>
      <c r="G474" s="49" t="n">
        <v>308077</v>
      </c>
      <c r="H474" s="49" t="n">
        <v>151203</v>
      </c>
      <c r="I474" s="49" t="n">
        <v>167351</v>
      </c>
      <c r="J474" s="49" t="n">
        <v>44014</v>
      </c>
      <c r="K474" s="49" t="n">
        <v>47972</v>
      </c>
      <c r="L474" s="50" t="n">
        <v>20</v>
      </c>
      <c r="M474" s="51" t="n">
        <f aca="false">G474-F474</f>
        <v>30385</v>
      </c>
      <c r="N474" s="52" t="n">
        <f aca="false">IF(F474=0,0,M474/F474)</f>
        <v>0.109419788830791</v>
      </c>
      <c r="O474" s="51" t="n">
        <f aca="false">G474-I474</f>
        <v>140726</v>
      </c>
      <c r="P474" s="51" t="n">
        <f aca="false">F474-H474</f>
        <v>126489</v>
      </c>
      <c r="Q474" s="51" t="n">
        <f aca="false">F474-H474-J474</f>
        <v>82475</v>
      </c>
      <c r="R474" s="51" t="n">
        <f aca="false">G474-I474-K474</f>
        <v>92754</v>
      </c>
      <c r="S474" s="51" t="n">
        <f aca="false">R474-Q474</f>
        <v>10279</v>
      </c>
      <c r="T474" s="52" t="n">
        <f aca="false">IF(Q474=0,0,S474/Q474)</f>
        <v>0.124631706577751</v>
      </c>
      <c r="U474" s="51" t="str">
        <f aca="false">IF(AND(Q474&gt;0,T474&lt;-0.15),"ADVERSE","")</f>
        <v/>
      </c>
    </row>
    <row r="475" customFormat="false" ht="15" hidden="false" customHeight="false" outlineLevel="0" collapsed="false">
      <c r="A475" s="47" t="s">
        <v>134</v>
      </c>
      <c r="B475" s="47" t="s">
        <v>135</v>
      </c>
      <c r="C475" s="48" t="n">
        <v>45047</v>
      </c>
      <c r="D475" s="47" t="s">
        <v>35</v>
      </c>
      <c r="E475" s="47" t="s">
        <v>41</v>
      </c>
      <c r="F475" s="49" t="n">
        <v>279915</v>
      </c>
      <c r="G475" s="49" t="n">
        <v>301866</v>
      </c>
      <c r="H475" s="49" t="n">
        <v>152414</v>
      </c>
      <c r="I475" s="49" t="n">
        <v>164415</v>
      </c>
      <c r="J475" s="49" t="n">
        <v>44367</v>
      </c>
      <c r="K475" s="49" t="n">
        <v>48967</v>
      </c>
      <c r="L475" s="50" t="n">
        <v>19.7</v>
      </c>
      <c r="M475" s="51" t="n">
        <f aca="false">G475-F475</f>
        <v>21951</v>
      </c>
      <c r="N475" s="52" t="n">
        <f aca="false">IF(F475=0,0,M475/F475)</f>
        <v>0.0784202347141096</v>
      </c>
      <c r="O475" s="51" t="n">
        <f aca="false">G475-I475</f>
        <v>137451</v>
      </c>
      <c r="P475" s="51" t="n">
        <f aca="false">F475-H475</f>
        <v>127501</v>
      </c>
      <c r="Q475" s="51" t="n">
        <f aca="false">F475-H475-J475</f>
        <v>83134</v>
      </c>
      <c r="R475" s="51" t="n">
        <f aca="false">G475-I475-K475</f>
        <v>88484</v>
      </c>
      <c r="S475" s="51" t="n">
        <f aca="false">R475-Q475</f>
        <v>5350</v>
      </c>
      <c r="T475" s="52" t="n">
        <f aca="false">IF(Q475=0,0,S475/Q475)</f>
        <v>0.0643539346115909</v>
      </c>
      <c r="U475" s="51" t="str">
        <f aca="false">IF(AND(Q475&gt;0,T475&lt;-0.15),"ADVERSE","")</f>
        <v/>
      </c>
    </row>
    <row r="476" customFormat="false" ht="15" hidden="false" customHeight="false" outlineLevel="0" collapsed="false">
      <c r="A476" s="47" t="s">
        <v>134</v>
      </c>
      <c r="B476" s="47" t="s">
        <v>135</v>
      </c>
      <c r="C476" s="48" t="n">
        <v>45078</v>
      </c>
      <c r="D476" s="47" t="s">
        <v>35</v>
      </c>
      <c r="E476" s="47" t="s">
        <v>41</v>
      </c>
      <c r="F476" s="49" t="n">
        <v>290321</v>
      </c>
      <c r="G476" s="49" t="n">
        <v>299525</v>
      </c>
      <c r="H476" s="49" t="n">
        <v>158080</v>
      </c>
      <c r="I476" s="49" t="n">
        <v>162830</v>
      </c>
      <c r="J476" s="49" t="n">
        <v>46016</v>
      </c>
      <c r="K476" s="49" t="n">
        <v>48689</v>
      </c>
      <c r="L476" s="50" t="n">
        <v>20.7</v>
      </c>
      <c r="M476" s="51" t="n">
        <f aca="false">G476-F476</f>
        <v>9204</v>
      </c>
      <c r="N476" s="52" t="n">
        <f aca="false">IF(F476=0,0,M476/F476)</f>
        <v>0.0317028392710138</v>
      </c>
      <c r="O476" s="51" t="n">
        <f aca="false">G476-I476</f>
        <v>136695</v>
      </c>
      <c r="P476" s="51" t="n">
        <f aca="false">F476-H476</f>
        <v>132241</v>
      </c>
      <c r="Q476" s="51" t="n">
        <f aca="false">F476-H476-J476</f>
        <v>86225</v>
      </c>
      <c r="R476" s="51" t="n">
        <f aca="false">G476-I476-K476</f>
        <v>88006</v>
      </c>
      <c r="S476" s="51" t="n">
        <f aca="false">R476-Q476</f>
        <v>1781</v>
      </c>
      <c r="T476" s="52" t="n">
        <f aca="false">IF(Q476=0,0,S476/Q476)</f>
        <v>0.0206552623948971</v>
      </c>
      <c r="U476" s="51" t="str">
        <f aca="false">IF(AND(Q476&gt;0,T476&lt;-0.15),"ADVERSE","")</f>
        <v/>
      </c>
    </row>
    <row r="477" customFormat="false" ht="15" hidden="false" customHeight="false" outlineLevel="0" collapsed="false">
      <c r="A477" s="47" t="s">
        <v>134</v>
      </c>
      <c r="B477" s="47" t="s">
        <v>136</v>
      </c>
      <c r="C477" s="48" t="n">
        <v>45108</v>
      </c>
      <c r="D477" s="47" t="s">
        <v>35</v>
      </c>
      <c r="E477" s="47" t="s">
        <v>41</v>
      </c>
      <c r="F477" s="49" t="n">
        <v>293481</v>
      </c>
      <c r="G477" s="49" t="n">
        <v>316770</v>
      </c>
      <c r="H477" s="49" t="n">
        <v>159800</v>
      </c>
      <c r="I477" s="49" t="n">
        <v>171139</v>
      </c>
      <c r="J477" s="49" t="n">
        <v>46517</v>
      </c>
      <c r="K477" s="49" t="n">
        <v>46515</v>
      </c>
      <c r="L477" s="50" t="n">
        <v>20.2</v>
      </c>
      <c r="M477" s="51" t="n">
        <f aca="false">G477-F477</f>
        <v>23289</v>
      </c>
      <c r="N477" s="52" t="n">
        <f aca="false">IF(F477=0,0,M477/F477)</f>
        <v>0.0793543704703201</v>
      </c>
      <c r="O477" s="51" t="n">
        <f aca="false">G477-I477</f>
        <v>145631</v>
      </c>
      <c r="P477" s="51" t="n">
        <f aca="false">F477-H477</f>
        <v>133681</v>
      </c>
      <c r="Q477" s="51" t="n">
        <f aca="false">F477-H477-J477</f>
        <v>87164</v>
      </c>
      <c r="R477" s="51" t="n">
        <f aca="false">G477-I477-K477</f>
        <v>99116</v>
      </c>
      <c r="S477" s="51" t="n">
        <f aca="false">R477-Q477</f>
        <v>11952</v>
      </c>
      <c r="T477" s="52" t="n">
        <f aca="false">IF(Q477=0,0,S477/Q477)</f>
        <v>0.137120829700335</v>
      </c>
      <c r="U477" s="51" t="str">
        <f aca="false">IF(AND(Q477&gt;0,T477&lt;-0.15),"ADVERSE","")</f>
        <v/>
      </c>
    </row>
    <row r="478" customFormat="false" ht="15" hidden="false" customHeight="false" outlineLevel="0" collapsed="false">
      <c r="A478" s="47" t="s">
        <v>134</v>
      </c>
      <c r="B478" s="47" t="s">
        <v>136</v>
      </c>
      <c r="C478" s="48" t="n">
        <v>45139</v>
      </c>
      <c r="D478" s="47" t="s">
        <v>35</v>
      </c>
      <c r="E478" s="47" t="s">
        <v>41</v>
      </c>
      <c r="F478" s="49" t="n">
        <v>287854</v>
      </c>
      <c r="G478" s="49" t="n">
        <v>296520</v>
      </c>
      <c r="H478" s="49" t="n">
        <v>156736</v>
      </c>
      <c r="I478" s="49" t="n">
        <v>162014</v>
      </c>
      <c r="J478" s="49" t="n">
        <v>45625</v>
      </c>
      <c r="K478" s="49" t="n">
        <v>49421</v>
      </c>
      <c r="L478" s="50" t="n">
        <v>20.4</v>
      </c>
      <c r="M478" s="51" t="n">
        <f aca="false">G478-F478</f>
        <v>8666</v>
      </c>
      <c r="N478" s="52" t="n">
        <f aca="false">IF(F478=0,0,M478/F478)</f>
        <v>0.030105539613832</v>
      </c>
      <c r="O478" s="51" t="n">
        <f aca="false">G478-I478</f>
        <v>134506</v>
      </c>
      <c r="P478" s="51" t="n">
        <f aca="false">F478-H478</f>
        <v>131118</v>
      </c>
      <c r="Q478" s="51" t="n">
        <f aca="false">F478-H478-J478</f>
        <v>85493</v>
      </c>
      <c r="R478" s="51" t="n">
        <f aca="false">G478-I478-K478</f>
        <v>85085</v>
      </c>
      <c r="S478" s="51" t="n">
        <f aca="false">R478-Q478</f>
        <v>-408</v>
      </c>
      <c r="T478" s="52" t="n">
        <f aca="false">IF(Q478=0,0,S478/Q478)</f>
        <v>-0.004772320540863</v>
      </c>
      <c r="U478" s="51" t="str">
        <f aca="false">IF(AND(Q478&gt;0,T478&lt;-0.15),"ADVERSE","")</f>
        <v/>
      </c>
    </row>
    <row r="479" customFormat="false" ht="15" hidden="false" customHeight="false" outlineLevel="0" collapsed="false">
      <c r="A479" s="47" t="s">
        <v>134</v>
      </c>
      <c r="B479" s="47" t="s">
        <v>136</v>
      </c>
      <c r="C479" s="48" t="n">
        <v>45170</v>
      </c>
      <c r="D479" s="47" t="s">
        <v>35</v>
      </c>
      <c r="E479" s="47" t="s">
        <v>41</v>
      </c>
      <c r="F479" s="49" t="n">
        <v>297676</v>
      </c>
      <c r="G479" s="49" t="n">
        <v>290625</v>
      </c>
      <c r="H479" s="49" t="n">
        <v>162085</v>
      </c>
      <c r="I479" s="49" t="n">
        <v>162452</v>
      </c>
      <c r="J479" s="49" t="n">
        <v>47182</v>
      </c>
      <c r="K479" s="49" t="n">
        <v>46789</v>
      </c>
      <c r="L479" s="50" t="n">
        <v>20.9</v>
      </c>
      <c r="M479" s="51" t="n">
        <f aca="false">G479-F479</f>
        <v>-7051</v>
      </c>
      <c r="N479" s="52" t="n">
        <f aca="false">IF(F479=0,0,M479/F479)</f>
        <v>-0.02368682728873</v>
      </c>
      <c r="O479" s="51" t="n">
        <f aca="false">G479-I479</f>
        <v>128173</v>
      </c>
      <c r="P479" s="51" t="n">
        <f aca="false">F479-H479</f>
        <v>135591</v>
      </c>
      <c r="Q479" s="51" t="n">
        <f aca="false">F479-H479-J479</f>
        <v>88409</v>
      </c>
      <c r="R479" s="51" t="n">
        <f aca="false">G479-I479-K479</f>
        <v>81384</v>
      </c>
      <c r="S479" s="51" t="n">
        <f aca="false">R479-Q479</f>
        <v>-7025</v>
      </c>
      <c r="T479" s="52" t="n">
        <f aca="false">IF(Q479=0,0,S479/Q479)</f>
        <v>-0.0794602359488287</v>
      </c>
      <c r="U479" s="51" t="str">
        <f aca="false">IF(AND(Q479&gt;0,T479&lt;-0.15),"ADVERSE","")</f>
        <v/>
      </c>
    </row>
    <row r="480" customFormat="false" ht="15" hidden="false" customHeight="false" outlineLevel="0" collapsed="false">
      <c r="A480" s="47" t="s">
        <v>134</v>
      </c>
      <c r="B480" s="47" t="s">
        <v>137</v>
      </c>
      <c r="C480" s="48" t="n">
        <v>45200</v>
      </c>
      <c r="D480" s="47" t="s">
        <v>35</v>
      </c>
      <c r="E480" s="47" t="s">
        <v>41</v>
      </c>
      <c r="F480" s="49" t="n">
        <v>313576</v>
      </c>
      <c r="G480" s="49" t="n">
        <v>333437</v>
      </c>
      <c r="H480" s="49" t="n">
        <v>170742</v>
      </c>
      <c r="I480" s="49" t="n">
        <v>178409</v>
      </c>
      <c r="J480" s="49" t="n">
        <v>49702</v>
      </c>
      <c r="K480" s="49" t="n">
        <v>52605</v>
      </c>
      <c r="L480" s="50" t="n">
        <v>21.6</v>
      </c>
      <c r="M480" s="51" t="n">
        <f aca="false">G480-F480</f>
        <v>19861</v>
      </c>
      <c r="N480" s="52" t="n">
        <f aca="false">IF(F480=0,0,M480/F480)</f>
        <v>0.0633371176365538</v>
      </c>
      <c r="O480" s="51" t="n">
        <f aca="false">G480-I480</f>
        <v>155028</v>
      </c>
      <c r="P480" s="51" t="n">
        <f aca="false">F480-H480</f>
        <v>142834</v>
      </c>
      <c r="Q480" s="51" t="n">
        <f aca="false">F480-H480-J480</f>
        <v>93132</v>
      </c>
      <c r="R480" s="51" t="n">
        <f aca="false">G480-I480-K480</f>
        <v>102423</v>
      </c>
      <c r="S480" s="51" t="n">
        <f aca="false">R480-Q480</f>
        <v>9291</v>
      </c>
      <c r="T480" s="52" t="n">
        <f aca="false">IF(Q480=0,0,S480/Q480)</f>
        <v>0.099761628656101</v>
      </c>
      <c r="U480" s="51" t="str">
        <f aca="false">IF(AND(Q480&gt;0,T480&lt;-0.15),"ADVERSE","")</f>
        <v/>
      </c>
    </row>
    <row r="481" customFormat="false" ht="15" hidden="false" customHeight="false" outlineLevel="0" collapsed="false">
      <c r="A481" s="47" t="s">
        <v>134</v>
      </c>
      <c r="B481" s="47" t="s">
        <v>137</v>
      </c>
      <c r="C481" s="48" t="n">
        <v>45231</v>
      </c>
      <c r="D481" s="47" t="s">
        <v>35</v>
      </c>
      <c r="E481" s="47" t="s">
        <v>41</v>
      </c>
      <c r="F481" s="49" t="n">
        <v>308231</v>
      </c>
      <c r="G481" s="49" t="n">
        <v>327303</v>
      </c>
      <c r="H481" s="49" t="n">
        <v>167832</v>
      </c>
      <c r="I481" s="49" t="n">
        <v>177526</v>
      </c>
      <c r="J481" s="49" t="n">
        <v>48855</v>
      </c>
      <c r="K481" s="49" t="n">
        <v>50580</v>
      </c>
      <c r="L481" s="50" t="n">
        <v>21</v>
      </c>
      <c r="M481" s="51" t="n">
        <f aca="false">G481-F481</f>
        <v>19072</v>
      </c>
      <c r="N481" s="52" t="n">
        <f aca="false">IF(F481=0,0,M481/F481)</f>
        <v>0.0618756711687014</v>
      </c>
      <c r="O481" s="51" t="n">
        <f aca="false">G481-I481</f>
        <v>149777</v>
      </c>
      <c r="P481" s="51" t="n">
        <f aca="false">F481-H481</f>
        <v>140399</v>
      </c>
      <c r="Q481" s="51" t="n">
        <f aca="false">F481-H481-J481</f>
        <v>91544</v>
      </c>
      <c r="R481" s="51" t="n">
        <f aca="false">G481-I481-K481</f>
        <v>99197</v>
      </c>
      <c r="S481" s="51" t="n">
        <f aca="false">R481-Q481</f>
        <v>7653</v>
      </c>
      <c r="T481" s="52" t="n">
        <f aca="false">IF(Q481=0,0,S481/Q481)</f>
        <v>0.0835991435812287</v>
      </c>
      <c r="U481" s="51" t="str">
        <f aca="false">IF(AND(Q481&gt;0,T481&lt;-0.15),"ADVERSE","")</f>
        <v/>
      </c>
    </row>
    <row r="482" customFormat="false" ht="15" hidden="false" customHeight="false" outlineLevel="0" collapsed="false">
      <c r="A482" s="47" t="s">
        <v>134</v>
      </c>
      <c r="B482" s="47" t="s">
        <v>137</v>
      </c>
      <c r="C482" s="48" t="n">
        <v>45261</v>
      </c>
      <c r="D482" s="47" t="s">
        <v>35</v>
      </c>
      <c r="E482" s="47" t="s">
        <v>41</v>
      </c>
      <c r="F482" s="49" t="n">
        <v>305065</v>
      </c>
      <c r="G482" s="49" t="n">
        <v>325872</v>
      </c>
      <c r="H482" s="49" t="n">
        <v>166108</v>
      </c>
      <c r="I482" s="49" t="n">
        <v>177210</v>
      </c>
      <c r="J482" s="49" t="n">
        <v>48353</v>
      </c>
      <c r="K482" s="49" t="n">
        <v>50255</v>
      </c>
      <c r="L482" s="50" t="n">
        <v>21.8</v>
      </c>
      <c r="M482" s="51" t="n">
        <f aca="false">G482-F482</f>
        <v>20807</v>
      </c>
      <c r="N482" s="52" t="n">
        <f aca="false">IF(F482=0,0,M482/F482)</f>
        <v>0.0682051366102306</v>
      </c>
      <c r="O482" s="51" t="n">
        <f aca="false">G482-I482</f>
        <v>148662</v>
      </c>
      <c r="P482" s="51" t="n">
        <f aca="false">F482-H482</f>
        <v>138957</v>
      </c>
      <c r="Q482" s="51" t="n">
        <f aca="false">F482-H482-J482</f>
        <v>90604</v>
      </c>
      <c r="R482" s="51" t="n">
        <f aca="false">G482-I482-K482</f>
        <v>98407</v>
      </c>
      <c r="S482" s="51" t="n">
        <f aca="false">R482-Q482</f>
        <v>7803</v>
      </c>
      <c r="T482" s="52" t="n">
        <f aca="false">IF(Q482=0,0,S482/Q482)</f>
        <v>0.0861220255176372</v>
      </c>
      <c r="U482" s="51" t="str">
        <f aca="false">IF(AND(Q482&gt;0,T482&lt;-0.15),"ADVERSE","")</f>
        <v/>
      </c>
    </row>
    <row r="483" customFormat="false" ht="15" hidden="false" customHeight="false" outlineLevel="0" collapsed="false">
      <c r="A483" s="47" t="s">
        <v>134</v>
      </c>
      <c r="B483" s="47" t="s">
        <v>138</v>
      </c>
      <c r="C483" s="48" t="n">
        <v>45292</v>
      </c>
      <c r="D483" s="47" t="s">
        <v>35</v>
      </c>
      <c r="E483" s="47" t="s">
        <v>41</v>
      </c>
      <c r="F483" s="49" t="n">
        <v>303353</v>
      </c>
      <c r="G483" s="49" t="n">
        <v>312762</v>
      </c>
      <c r="H483" s="49" t="n">
        <v>165176</v>
      </c>
      <c r="I483" s="49" t="n">
        <v>166510</v>
      </c>
      <c r="J483" s="49" t="n">
        <v>48081</v>
      </c>
      <c r="K483" s="49" t="n">
        <v>50398</v>
      </c>
      <c r="L483" s="50" t="n">
        <v>21.8</v>
      </c>
      <c r="M483" s="51" t="n">
        <f aca="false">G483-F483</f>
        <v>9409</v>
      </c>
      <c r="N483" s="52" t="n">
        <f aca="false">IF(F483=0,0,M483/F483)</f>
        <v>0.0310166703477467</v>
      </c>
      <c r="O483" s="51" t="n">
        <f aca="false">G483-I483</f>
        <v>146252</v>
      </c>
      <c r="P483" s="51" t="n">
        <f aca="false">F483-H483</f>
        <v>138177</v>
      </c>
      <c r="Q483" s="51" t="n">
        <f aca="false">F483-H483-J483</f>
        <v>90096</v>
      </c>
      <c r="R483" s="51" t="n">
        <f aca="false">G483-I483-K483</f>
        <v>95854</v>
      </c>
      <c r="S483" s="51" t="n">
        <f aca="false">R483-Q483</f>
        <v>5758</v>
      </c>
      <c r="T483" s="52" t="n">
        <f aca="false">IF(Q483=0,0,S483/Q483)</f>
        <v>0.0639096075297461</v>
      </c>
      <c r="U483" s="51" t="str">
        <f aca="false">IF(AND(Q483&gt;0,T483&lt;-0.15),"ADVERSE","")</f>
        <v/>
      </c>
    </row>
    <row r="484" customFormat="false" ht="15" hidden="false" customHeight="false" outlineLevel="0" collapsed="false">
      <c r="A484" s="47" t="s">
        <v>134</v>
      </c>
      <c r="B484" s="47" t="s">
        <v>138</v>
      </c>
      <c r="C484" s="48" t="n">
        <v>45323</v>
      </c>
      <c r="D484" s="47" t="s">
        <v>35</v>
      </c>
      <c r="E484" s="47" t="s">
        <v>41</v>
      </c>
      <c r="F484" s="49" t="n">
        <v>313023</v>
      </c>
      <c r="G484" s="49" t="n">
        <v>315024</v>
      </c>
      <c r="H484" s="49" t="n">
        <v>170441</v>
      </c>
      <c r="I484" s="49" t="n">
        <v>173833</v>
      </c>
      <c r="J484" s="49" t="n">
        <v>49614</v>
      </c>
      <c r="K484" s="49" t="n">
        <v>53473</v>
      </c>
      <c r="L484" s="50" t="n">
        <v>22.2</v>
      </c>
      <c r="M484" s="51" t="n">
        <f aca="false">G484-F484</f>
        <v>2001</v>
      </c>
      <c r="N484" s="52" t="n">
        <f aca="false">IF(F484=0,0,M484/F484)</f>
        <v>0.00639250150947374</v>
      </c>
      <c r="O484" s="51" t="n">
        <f aca="false">G484-I484</f>
        <v>141191</v>
      </c>
      <c r="P484" s="51" t="n">
        <f aca="false">F484-H484</f>
        <v>142582</v>
      </c>
      <c r="Q484" s="51" t="n">
        <f aca="false">F484-H484-J484</f>
        <v>92968</v>
      </c>
      <c r="R484" s="51" t="n">
        <f aca="false">G484-I484-K484</f>
        <v>87718</v>
      </c>
      <c r="S484" s="51" t="n">
        <f aca="false">R484-Q484</f>
        <v>-5250</v>
      </c>
      <c r="T484" s="52" t="n">
        <f aca="false">IF(Q484=0,0,S484/Q484)</f>
        <v>-0.0564710438000172</v>
      </c>
      <c r="U484" s="51" t="str">
        <f aca="false">IF(AND(Q484&gt;0,T484&lt;-0.15),"ADVERSE","")</f>
        <v/>
      </c>
    </row>
    <row r="485" customFormat="false" ht="15" hidden="false" customHeight="false" outlineLevel="0" collapsed="false">
      <c r="A485" s="47" t="s">
        <v>134</v>
      </c>
      <c r="B485" s="47" t="s">
        <v>138</v>
      </c>
      <c r="C485" s="48" t="n">
        <v>45352</v>
      </c>
      <c r="D485" s="47" t="s">
        <v>35</v>
      </c>
      <c r="E485" s="47" t="s">
        <v>41</v>
      </c>
      <c r="F485" s="49" t="n">
        <v>338886</v>
      </c>
      <c r="G485" s="49" t="n">
        <v>357936</v>
      </c>
      <c r="H485" s="49" t="n">
        <v>184524</v>
      </c>
      <c r="I485" s="49" t="n">
        <v>193006</v>
      </c>
      <c r="J485" s="49" t="n">
        <v>53713</v>
      </c>
      <c r="K485" s="49" t="n">
        <v>59650</v>
      </c>
      <c r="L485" s="50" t="n">
        <v>22.2</v>
      </c>
      <c r="M485" s="51" t="n">
        <f aca="false">G485-F485</f>
        <v>19050</v>
      </c>
      <c r="N485" s="52" t="n">
        <f aca="false">IF(F485=0,0,M485/F485)</f>
        <v>0.0562135939519484</v>
      </c>
      <c r="O485" s="51" t="n">
        <f aca="false">G485-I485</f>
        <v>164930</v>
      </c>
      <c r="P485" s="51" t="n">
        <f aca="false">F485-H485</f>
        <v>154362</v>
      </c>
      <c r="Q485" s="51" t="n">
        <f aca="false">F485-H485-J485</f>
        <v>100649</v>
      </c>
      <c r="R485" s="51" t="n">
        <f aca="false">G485-I485-K485</f>
        <v>105280</v>
      </c>
      <c r="S485" s="51" t="n">
        <f aca="false">R485-Q485</f>
        <v>4631</v>
      </c>
      <c r="T485" s="52" t="n">
        <f aca="false">IF(Q485=0,0,S485/Q485)</f>
        <v>0.0460113861041838</v>
      </c>
      <c r="U485" s="51" t="str">
        <f aca="false">IF(AND(Q485&gt;0,T485&lt;-0.15),"ADVERSE","")</f>
        <v/>
      </c>
    </row>
    <row r="486" customFormat="false" ht="15" hidden="false" customHeight="false" outlineLevel="0" collapsed="false">
      <c r="A486" s="47" t="s">
        <v>139</v>
      </c>
      <c r="B486" s="47" t="s">
        <v>135</v>
      </c>
      <c r="C486" s="48" t="n">
        <v>45383</v>
      </c>
      <c r="D486" s="47" t="s">
        <v>35</v>
      </c>
      <c r="E486" s="47" t="s">
        <v>41</v>
      </c>
      <c r="F486" s="49" t="n">
        <v>313538</v>
      </c>
      <c r="G486" s="49" t="n">
        <v>360929</v>
      </c>
      <c r="H486" s="49" t="n">
        <v>170722</v>
      </c>
      <c r="I486" s="49" t="n">
        <v>200491</v>
      </c>
      <c r="J486" s="49" t="n">
        <v>49696</v>
      </c>
      <c r="K486" s="49" t="n">
        <v>57273</v>
      </c>
      <c r="L486" s="50" t="n">
        <v>22.4</v>
      </c>
      <c r="M486" s="51" t="n">
        <f aca="false">G486-F486</f>
        <v>47391</v>
      </c>
      <c r="N486" s="52" t="n">
        <f aca="false">IF(F486=0,0,M486/F486)</f>
        <v>0.151149143006589</v>
      </c>
      <c r="O486" s="51" t="n">
        <f aca="false">G486-I486</f>
        <v>160438</v>
      </c>
      <c r="P486" s="51" t="n">
        <f aca="false">F486-H486</f>
        <v>142816</v>
      </c>
      <c r="Q486" s="51" t="n">
        <f aca="false">F486-H486-J486</f>
        <v>93120</v>
      </c>
      <c r="R486" s="51" t="n">
        <f aca="false">G486-I486-K486</f>
        <v>103165</v>
      </c>
      <c r="S486" s="51" t="n">
        <f aca="false">R486-Q486</f>
        <v>10045</v>
      </c>
      <c r="T486" s="52" t="n">
        <f aca="false">IF(Q486=0,0,S486/Q486)</f>
        <v>0.107871563573883</v>
      </c>
      <c r="U486" s="51" t="str">
        <f aca="false">IF(AND(Q486&gt;0,T486&lt;-0.15),"ADVERSE","")</f>
        <v/>
      </c>
    </row>
    <row r="487" customFormat="false" ht="15" hidden="false" customHeight="false" outlineLevel="0" collapsed="false">
      <c r="A487" s="47" t="s">
        <v>139</v>
      </c>
      <c r="B487" s="47" t="s">
        <v>135</v>
      </c>
      <c r="C487" s="48" t="n">
        <v>45413</v>
      </c>
      <c r="D487" s="47" t="s">
        <v>35</v>
      </c>
      <c r="E487" s="47" t="s">
        <v>41</v>
      </c>
      <c r="F487" s="49" t="n">
        <v>318309</v>
      </c>
      <c r="G487" s="49" t="n">
        <v>337113</v>
      </c>
      <c r="H487" s="49" t="n">
        <v>173319</v>
      </c>
      <c r="I487" s="49" t="n">
        <v>188170</v>
      </c>
      <c r="J487" s="49" t="n">
        <v>50452</v>
      </c>
      <c r="K487" s="49" t="n">
        <v>53722</v>
      </c>
      <c r="L487" s="50" t="n">
        <v>23.2</v>
      </c>
      <c r="M487" s="51" t="n">
        <f aca="false">G487-F487</f>
        <v>18804</v>
      </c>
      <c r="N487" s="52" t="n">
        <f aca="false">IF(F487=0,0,M487/F487)</f>
        <v>0.0590746727236742</v>
      </c>
      <c r="O487" s="51" t="n">
        <f aca="false">G487-I487</f>
        <v>148943</v>
      </c>
      <c r="P487" s="51" t="n">
        <f aca="false">F487-H487</f>
        <v>144990</v>
      </c>
      <c r="Q487" s="51" t="n">
        <f aca="false">F487-H487-J487</f>
        <v>94538</v>
      </c>
      <c r="R487" s="51" t="n">
        <f aca="false">G487-I487-K487</f>
        <v>95221</v>
      </c>
      <c r="S487" s="51" t="n">
        <f aca="false">R487-Q487</f>
        <v>683</v>
      </c>
      <c r="T487" s="52" t="n">
        <f aca="false">IF(Q487=0,0,S487/Q487)</f>
        <v>0.00722460809409973</v>
      </c>
      <c r="U487" s="51" t="str">
        <f aca="false">IF(AND(Q487&gt;0,T487&lt;-0.15),"ADVERSE","")</f>
        <v/>
      </c>
    </row>
    <row r="488" customFormat="false" ht="15" hidden="false" customHeight="false" outlineLevel="0" collapsed="false">
      <c r="A488" s="47" t="s">
        <v>139</v>
      </c>
      <c r="B488" s="47" t="s">
        <v>135</v>
      </c>
      <c r="C488" s="48" t="n">
        <v>45444</v>
      </c>
      <c r="D488" s="47" t="s">
        <v>35</v>
      </c>
      <c r="E488" s="47" t="s">
        <v>41</v>
      </c>
      <c r="F488" s="49" t="n">
        <v>332584</v>
      </c>
      <c r="G488" s="49" t="n">
        <v>382926</v>
      </c>
      <c r="H488" s="49" t="n">
        <v>181092</v>
      </c>
      <c r="I488" s="49" t="n">
        <v>214463</v>
      </c>
      <c r="J488" s="49" t="n">
        <v>52715</v>
      </c>
      <c r="K488" s="49" t="n">
        <v>58972</v>
      </c>
      <c r="L488" s="50" t="n">
        <v>22.9</v>
      </c>
      <c r="M488" s="51" t="n">
        <f aca="false">G488-F488</f>
        <v>50342</v>
      </c>
      <c r="N488" s="52" t="n">
        <f aca="false">IF(F488=0,0,M488/F488)</f>
        <v>0.151366271378058</v>
      </c>
      <c r="O488" s="51" t="n">
        <f aca="false">G488-I488</f>
        <v>168463</v>
      </c>
      <c r="P488" s="51" t="n">
        <f aca="false">F488-H488</f>
        <v>151492</v>
      </c>
      <c r="Q488" s="51" t="n">
        <f aca="false">F488-H488-J488</f>
        <v>98777</v>
      </c>
      <c r="R488" s="51" t="n">
        <f aca="false">G488-I488-K488</f>
        <v>109491</v>
      </c>
      <c r="S488" s="51" t="n">
        <f aca="false">R488-Q488</f>
        <v>10714</v>
      </c>
      <c r="T488" s="52" t="n">
        <f aca="false">IF(Q488=0,0,S488/Q488)</f>
        <v>0.108466545855817</v>
      </c>
      <c r="U488" s="51" t="str">
        <f aca="false">IF(AND(Q488&gt;0,T488&lt;-0.15),"ADVERSE","")</f>
        <v/>
      </c>
    </row>
    <row r="489" customFormat="false" ht="15" hidden="false" customHeight="false" outlineLevel="0" collapsed="false">
      <c r="A489" s="47" t="s">
        <v>139</v>
      </c>
      <c r="B489" s="47" t="s">
        <v>136</v>
      </c>
      <c r="C489" s="48" t="n">
        <v>45474</v>
      </c>
      <c r="D489" s="47" t="s">
        <v>35</v>
      </c>
      <c r="E489" s="47" t="s">
        <v>41</v>
      </c>
      <c r="F489" s="49" t="n">
        <v>339930</v>
      </c>
      <c r="G489" s="49" t="n">
        <v>339188</v>
      </c>
      <c r="H489" s="49" t="n">
        <v>185092</v>
      </c>
      <c r="I489" s="49" t="n">
        <v>184900</v>
      </c>
      <c r="J489" s="49" t="n">
        <v>53879</v>
      </c>
      <c r="K489" s="49" t="n">
        <v>55642</v>
      </c>
      <c r="L489" s="50" t="n">
        <v>23.1</v>
      </c>
      <c r="M489" s="51" t="n">
        <f aca="false">G489-F489</f>
        <v>-742</v>
      </c>
      <c r="N489" s="52" t="n">
        <f aca="false">IF(F489=0,0,M489/F489)</f>
        <v>-0.00218280234165858</v>
      </c>
      <c r="O489" s="51" t="n">
        <f aca="false">G489-I489</f>
        <v>154288</v>
      </c>
      <c r="P489" s="51" t="n">
        <f aca="false">F489-H489</f>
        <v>154838</v>
      </c>
      <c r="Q489" s="51" t="n">
        <f aca="false">F489-H489-J489</f>
        <v>100959</v>
      </c>
      <c r="R489" s="51" t="n">
        <f aca="false">G489-I489-K489</f>
        <v>98646</v>
      </c>
      <c r="S489" s="51" t="n">
        <f aca="false">R489-Q489</f>
        <v>-2313</v>
      </c>
      <c r="T489" s="52" t="n">
        <f aca="false">IF(Q489=0,0,S489/Q489)</f>
        <v>-0.0229102903158708</v>
      </c>
      <c r="U489" s="51" t="str">
        <f aca="false">IF(AND(Q489&gt;0,T489&lt;-0.15),"ADVERSE","")</f>
        <v/>
      </c>
    </row>
    <row r="490" customFormat="false" ht="15" hidden="false" customHeight="false" outlineLevel="0" collapsed="false">
      <c r="A490" s="47" t="s">
        <v>139</v>
      </c>
      <c r="B490" s="47" t="s">
        <v>136</v>
      </c>
      <c r="C490" s="48" t="n">
        <v>45505</v>
      </c>
      <c r="D490" s="47" t="s">
        <v>35</v>
      </c>
      <c r="E490" s="47" t="s">
        <v>41</v>
      </c>
      <c r="F490" s="49" t="n">
        <v>331508</v>
      </c>
      <c r="G490" s="49" t="n">
        <v>355462</v>
      </c>
      <c r="H490" s="49" t="n">
        <v>180506</v>
      </c>
      <c r="I490" s="49" t="n">
        <v>192630</v>
      </c>
      <c r="J490" s="49" t="n">
        <v>52544</v>
      </c>
      <c r="K490" s="49" t="n">
        <v>55178</v>
      </c>
      <c r="L490" s="50" t="n">
        <v>23.7</v>
      </c>
      <c r="M490" s="51" t="n">
        <f aca="false">G490-F490</f>
        <v>23954</v>
      </c>
      <c r="N490" s="52" t="n">
        <f aca="false">IF(F490=0,0,M490/F490)</f>
        <v>0.072257683072505</v>
      </c>
      <c r="O490" s="51" t="n">
        <f aca="false">G490-I490</f>
        <v>162832</v>
      </c>
      <c r="P490" s="51" t="n">
        <f aca="false">F490-H490</f>
        <v>151002</v>
      </c>
      <c r="Q490" s="51" t="n">
        <f aca="false">F490-H490-J490</f>
        <v>98458</v>
      </c>
      <c r="R490" s="51" t="n">
        <f aca="false">G490-I490-K490</f>
        <v>107654</v>
      </c>
      <c r="S490" s="51" t="n">
        <f aca="false">R490-Q490</f>
        <v>9196</v>
      </c>
      <c r="T490" s="52" t="n">
        <f aca="false">IF(Q490=0,0,S490/Q490)</f>
        <v>0.0934002315708221</v>
      </c>
      <c r="U490" s="51" t="str">
        <f aca="false">IF(AND(Q490&gt;0,T490&lt;-0.15),"ADVERSE","")</f>
        <v/>
      </c>
    </row>
    <row r="491" customFormat="false" ht="15" hidden="false" customHeight="false" outlineLevel="0" collapsed="false">
      <c r="A491" s="47" t="s">
        <v>139</v>
      </c>
      <c r="B491" s="47" t="s">
        <v>136</v>
      </c>
      <c r="C491" s="48" t="n">
        <v>45536</v>
      </c>
      <c r="D491" s="47" t="s">
        <v>35</v>
      </c>
      <c r="E491" s="47" t="s">
        <v>41</v>
      </c>
      <c r="F491" s="49" t="n">
        <v>344175</v>
      </c>
      <c r="G491" s="49" t="n">
        <v>369062</v>
      </c>
      <c r="H491" s="49" t="n">
        <v>187403</v>
      </c>
      <c r="I491" s="49" t="n">
        <v>204557</v>
      </c>
      <c r="J491" s="49" t="n">
        <v>54552</v>
      </c>
      <c r="K491" s="49" t="n">
        <v>58845</v>
      </c>
      <c r="L491" s="50" t="n">
        <v>24.5</v>
      </c>
      <c r="M491" s="51" t="n">
        <f aca="false">G491-F491</f>
        <v>24887</v>
      </c>
      <c r="N491" s="52" t="n">
        <f aca="false">IF(F491=0,0,M491/F491)</f>
        <v>0.0723091450570204</v>
      </c>
      <c r="O491" s="51" t="n">
        <f aca="false">G491-I491</f>
        <v>164505</v>
      </c>
      <c r="P491" s="51" t="n">
        <f aca="false">F491-H491</f>
        <v>156772</v>
      </c>
      <c r="Q491" s="51" t="n">
        <f aca="false">F491-H491-J491</f>
        <v>102220</v>
      </c>
      <c r="R491" s="51" t="n">
        <f aca="false">G491-I491-K491</f>
        <v>105660</v>
      </c>
      <c r="S491" s="51" t="n">
        <f aca="false">R491-Q491</f>
        <v>3440</v>
      </c>
      <c r="T491" s="52" t="n">
        <f aca="false">IF(Q491=0,0,S491/Q491)</f>
        <v>0.0336529054979456</v>
      </c>
      <c r="U491" s="51" t="str">
        <f aca="false">IF(AND(Q491&gt;0,T491&lt;-0.15),"ADVERSE","")</f>
        <v/>
      </c>
    </row>
    <row r="492" customFormat="false" ht="15" hidden="false" customHeight="false" outlineLevel="0" collapsed="false">
      <c r="A492" s="47" t="s">
        <v>139</v>
      </c>
      <c r="B492" s="47" t="s">
        <v>137</v>
      </c>
      <c r="C492" s="48" t="n">
        <v>45566</v>
      </c>
      <c r="D492" s="47" t="s">
        <v>35</v>
      </c>
      <c r="E492" s="47" t="s">
        <v>41</v>
      </c>
      <c r="F492" s="49" t="n">
        <v>359761</v>
      </c>
      <c r="G492" s="49" t="n">
        <v>381446</v>
      </c>
      <c r="H492" s="49" t="n">
        <v>195890</v>
      </c>
      <c r="I492" s="49" t="n">
        <v>211662</v>
      </c>
      <c r="J492" s="49" t="n">
        <v>57022</v>
      </c>
      <c r="K492" s="49" t="n">
        <v>57588</v>
      </c>
      <c r="L492" s="50" t="n">
        <v>24.3</v>
      </c>
      <c r="M492" s="51" t="n">
        <f aca="false">G492-F492</f>
        <v>21685</v>
      </c>
      <c r="N492" s="52" t="n">
        <f aca="false">IF(F492=0,0,M492/F492)</f>
        <v>0.060276127762598</v>
      </c>
      <c r="O492" s="51" t="n">
        <f aca="false">G492-I492</f>
        <v>169784</v>
      </c>
      <c r="P492" s="51" t="n">
        <f aca="false">F492-H492</f>
        <v>163871</v>
      </c>
      <c r="Q492" s="51" t="n">
        <f aca="false">F492-H492-J492</f>
        <v>106849</v>
      </c>
      <c r="R492" s="51" t="n">
        <f aca="false">G492-I492-K492</f>
        <v>112196</v>
      </c>
      <c r="S492" s="51" t="n">
        <f aca="false">R492-Q492</f>
        <v>5347</v>
      </c>
      <c r="T492" s="52" t="n">
        <f aca="false">IF(Q492=0,0,S492/Q492)</f>
        <v>0.0500425834588999</v>
      </c>
      <c r="U492" s="51" t="str">
        <f aca="false">IF(AND(Q492&gt;0,T492&lt;-0.15),"ADVERSE","")</f>
        <v/>
      </c>
    </row>
    <row r="493" customFormat="false" ht="15" hidden="false" customHeight="false" outlineLevel="0" collapsed="false">
      <c r="A493" s="47" t="s">
        <v>139</v>
      </c>
      <c r="B493" s="47" t="s">
        <v>137</v>
      </c>
      <c r="C493" s="48" t="n">
        <v>45597</v>
      </c>
      <c r="D493" s="47" t="s">
        <v>35</v>
      </c>
      <c r="E493" s="47" t="s">
        <v>41</v>
      </c>
      <c r="F493" s="49" t="n">
        <v>361903</v>
      </c>
      <c r="G493" s="49" t="n">
        <v>387323</v>
      </c>
      <c r="H493" s="49" t="n">
        <v>197056</v>
      </c>
      <c r="I493" s="49" t="n">
        <v>212952</v>
      </c>
      <c r="J493" s="49" t="n">
        <v>57362</v>
      </c>
      <c r="K493" s="49" t="n">
        <v>60329</v>
      </c>
      <c r="L493" s="50" t="n">
        <v>23.6</v>
      </c>
      <c r="M493" s="51" t="n">
        <f aca="false">G493-F493</f>
        <v>25420</v>
      </c>
      <c r="N493" s="52" t="n">
        <f aca="false">IF(F493=0,0,M493/F493)</f>
        <v>0.0702398156412077</v>
      </c>
      <c r="O493" s="51" t="n">
        <f aca="false">G493-I493</f>
        <v>174371</v>
      </c>
      <c r="P493" s="51" t="n">
        <f aca="false">F493-H493</f>
        <v>164847</v>
      </c>
      <c r="Q493" s="51" t="n">
        <f aca="false">F493-H493-J493</f>
        <v>107485</v>
      </c>
      <c r="R493" s="51" t="n">
        <f aca="false">G493-I493-K493</f>
        <v>114042</v>
      </c>
      <c r="S493" s="51" t="n">
        <f aca="false">R493-Q493</f>
        <v>6557</v>
      </c>
      <c r="T493" s="52" t="n">
        <f aca="false">IF(Q493=0,0,S493/Q493)</f>
        <v>0.061003861003861</v>
      </c>
      <c r="U493" s="51" t="str">
        <f aca="false">IF(AND(Q493&gt;0,T493&lt;-0.15),"ADVERSE","")</f>
        <v/>
      </c>
    </row>
    <row r="494" customFormat="false" ht="15" hidden="false" customHeight="false" outlineLevel="0" collapsed="false">
      <c r="A494" s="47" t="s">
        <v>139</v>
      </c>
      <c r="B494" s="47" t="s">
        <v>137</v>
      </c>
      <c r="C494" s="48" t="n">
        <v>45627</v>
      </c>
      <c r="D494" s="47" t="s">
        <v>35</v>
      </c>
      <c r="E494" s="47" t="s">
        <v>41</v>
      </c>
      <c r="F494" s="49" t="n">
        <v>359525</v>
      </c>
      <c r="G494" s="49" t="n">
        <v>384931</v>
      </c>
      <c r="H494" s="49" t="n">
        <v>195762</v>
      </c>
      <c r="I494" s="49" t="n">
        <v>212338</v>
      </c>
      <c r="J494" s="49" t="n">
        <v>56985</v>
      </c>
      <c r="K494" s="49" t="n">
        <v>60571</v>
      </c>
      <c r="L494" s="50" t="n">
        <v>24.5</v>
      </c>
      <c r="M494" s="51" t="n">
        <f aca="false">G494-F494</f>
        <v>25406</v>
      </c>
      <c r="N494" s="52" t="n">
        <f aca="false">IF(F494=0,0,M494/F494)</f>
        <v>0.0706654613726445</v>
      </c>
      <c r="O494" s="51" t="n">
        <f aca="false">G494-I494</f>
        <v>172593</v>
      </c>
      <c r="P494" s="51" t="n">
        <f aca="false">F494-H494</f>
        <v>163763</v>
      </c>
      <c r="Q494" s="51" t="n">
        <f aca="false">F494-H494-J494</f>
        <v>106778</v>
      </c>
      <c r="R494" s="51" t="n">
        <f aca="false">G494-I494-K494</f>
        <v>112022</v>
      </c>
      <c r="S494" s="51" t="n">
        <f aca="false">R494-Q494</f>
        <v>5244</v>
      </c>
      <c r="T494" s="52" t="n">
        <f aca="false">IF(Q494=0,0,S494/Q494)</f>
        <v>0.0491112401431006</v>
      </c>
      <c r="U494" s="51" t="str">
        <f aca="false">IF(AND(Q494&gt;0,T494&lt;-0.15),"ADVERSE","")</f>
        <v/>
      </c>
    </row>
    <row r="495" customFormat="false" ht="15" hidden="false" customHeight="false" outlineLevel="0" collapsed="false">
      <c r="A495" s="47" t="s">
        <v>139</v>
      </c>
      <c r="B495" s="47" t="s">
        <v>138</v>
      </c>
      <c r="C495" s="48" t="n">
        <v>45658</v>
      </c>
      <c r="D495" s="47" t="s">
        <v>35</v>
      </c>
      <c r="E495" s="47" t="s">
        <v>41</v>
      </c>
      <c r="F495" s="49" t="n">
        <v>354161</v>
      </c>
      <c r="G495" s="49" t="n">
        <v>391670</v>
      </c>
      <c r="H495" s="49" t="n">
        <v>192840</v>
      </c>
      <c r="I495" s="49" t="n">
        <v>221732</v>
      </c>
      <c r="J495" s="49" t="n">
        <v>56134</v>
      </c>
      <c r="K495" s="49" t="n">
        <v>62321</v>
      </c>
      <c r="L495" s="50" t="n">
        <v>24.7</v>
      </c>
      <c r="M495" s="51" t="n">
        <f aca="false">G495-F495</f>
        <v>37509</v>
      </c>
      <c r="N495" s="52" t="n">
        <f aca="false">IF(F495=0,0,M495/F495)</f>
        <v>0.10590945925723</v>
      </c>
      <c r="O495" s="51" t="n">
        <f aca="false">G495-I495</f>
        <v>169938</v>
      </c>
      <c r="P495" s="51" t="n">
        <f aca="false">F495-H495</f>
        <v>161321</v>
      </c>
      <c r="Q495" s="51" t="n">
        <f aca="false">F495-H495-J495</f>
        <v>105187</v>
      </c>
      <c r="R495" s="51" t="n">
        <f aca="false">G495-I495-K495</f>
        <v>107617</v>
      </c>
      <c r="S495" s="51" t="n">
        <f aca="false">R495-Q495</f>
        <v>2430</v>
      </c>
      <c r="T495" s="52" t="n">
        <f aca="false">IF(Q495=0,0,S495/Q495)</f>
        <v>0.0231017140901442</v>
      </c>
      <c r="U495" s="51" t="str">
        <f aca="false">IF(AND(Q495&gt;0,T495&lt;-0.15),"ADVERSE","")</f>
        <v/>
      </c>
    </row>
    <row r="496" customFormat="false" ht="15" hidden="false" customHeight="false" outlineLevel="0" collapsed="false">
      <c r="A496" s="47" t="s">
        <v>139</v>
      </c>
      <c r="B496" s="47" t="s">
        <v>138</v>
      </c>
      <c r="C496" s="48" t="n">
        <v>45689</v>
      </c>
      <c r="D496" s="47" t="s">
        <v>35</v>
      </c>
      <c r="E496" s="47" t="s">
        <v>41</v>
      </c>
      <c r="F496" s="49" t="n">
        <v>353808</v>
      </c>
      <c r="G496" s="49" t="n">
        <v>394415</v>
      </c>
      <c r="H496" s="49" t="n">
        <v>192649</v>
      </c>
      <c r="I496" s="49" t="n">
        <v>221307</v>
      </c>
      <c r="J496" s="49" t="n">
        <v>56079</v>
      </c>
      <c r="K496" s="49" t="n">
        <v>60031</v>
      </c>
      <c r="L496" s="50" t="n">
        <v>25.4</v>
      </c>
      <c r="M496" s="51" t="n">
        <f aca="false">G496-F496</f>
        <v>40607</v>
      </c>
      <c r="N496" s="52" t="n">
        <f aca="false">IF(F496=0,0,M496/F496)</f>
        <v>0.1147712883824</v>
      </c>
      <c r="O496" s="51" t="n">
        <f aca="false">G496-I496</f>
        <v>173108</v>
      </c>
      <c r="P496" s="51" t="n">
        <f aca="false">F496-H496</f>
        <v>161159</v>
      </c>
      <c r="Q496" s="51" t="n">
        <f aca="false">F496-H496-J496</f>
        <v>105080</v>
      </c>
      <c r="R496" s="51" t="n">
        <f aca="false">G496-I496-K496</f>
        <v>113077</v>
      </c>
      <c r="S496" s="51" t="n">
        <f aca="false">R496-Q496</f>
        <v>7997</v>
      </c>
      <c r="T496" s="52" t="n">
        <f aca="false">IF(Q496=0,0,S496/Q496)</f>
        <v>0.0761039208222307</v>
      </c>
      <c r="U496" s="51" t="str">
        <f aca="false">IF(AND(Q496&gt;0,T496&lt;-0.15),"ADVERSE","")</f>
        <v/>
      </c>
    </row>
    <row r="497" customFormat="false" ht="15" hidden="false" customHeight="false" outlineLevel="0" collapsed="false">
      <c r="A497" s="47" t="s">
        <v>139</v>
      </c>
      <c r="B497" s="47" t="s">
        <v>138</v>
      </c>
      <c r="C497" s="48" t="n">
        <v>45717</v>
      </c>
      <c r="D497" s="47" t="s">
        <v>35</v>
      </c>
      <c r="E497" s="47" t="s">
        <v>41</v>
      </c>
      <c r="F497" s="49" t="n">
        <v>391314</v>
      </c>
      <c r="G497" s="49" t="n">
        <v>423588</v>
      </c>
      <c r="H497" s="49" t="n">
        <v>213071</v>
      </c>
      <c r="I497" s="49" t="n">
        <v>236678</v>
      </c>
      <c r="J497" s="49" t="n">
        <v>62023</v>
      </c>
      <c r="K497" s="49" t="n">
        <v>64891</v>
      </c>
      <c r="L497" s="50" t="n">
        <v>25</v>
      </c>
      <c r="M497" s="51" t="n">
        <f aca="false">G497-F497</f>
        <v>32274</v>
      </c>
      <c r="N497" s="52" t="n">
        <f aca="false">IF(F497=0,0,M497/F497)</f>
        <v>0.0824759655928487</v>
      </c>
      <c r="O497" s="51" t="n">
        <f aca="false">G497-I497</f>
        <v>186910</v>
      </c>
      <c r="P497" s="51" t="n">
        <f aca="false">F497-H497</f>
        <v>178243</v>
      </c>
      <c r="Q497" s="51" t="n">
        <f aca="false">F497-H497-J497</f>
        <v>116220</v>
      </c>
      <c r="R497" s="51" t="n">
        <f aca="false">G497-I497-K497</f>
        <v>122019</v>
      </c>
      <c r="S497" s="51" t="n">
        <f aca="false">R497-Q497</f>
        <v>5799</v>
      </c>
      <c r="T497" s="52" t="n">
        <f aca="false">IF(Q497=0,0,S497/Q497)</f>
        <v>0.0498967475477543</v>
      </c>
      <c r="U497" s="51" t="str">
        <f aca="false">IF(AND(Q497&gt;0,T497&lt;-0.15),"ADVERSE","")</f>
        <v/>
      </c>
    </row>
    <row r="498" customFormat="false" ht="15" hidden="false" customHeight="false" outlineLevel="0" collapsed="false">
      <c r="A498" s="47" t="s">
        <v>3</v>
      </c>
      <c r="B498" s="47" t="s">
        <v>135</v>
      </c>
      <c r="C498" s="48" t="n">
        <v>45748</v>
      </c>
      <c r="D498" s="47" t="s">
        <v>35</v>
      </c>
      <c r="E498" s="47" t="s">
        <v>41</v>
      </c>
      <c r="F498" s="49" t="n">
        <v>367133</v>
      </c>
      <c r="G498" s="49" t="n">
        <v>392294</v>
      </c>
      <c r="H498" s="49" t="n">
        <v>199904</v>
      </c>
      <c r="I498" s="49" t="n">
        <v>228662</v>
      </c>
      <c r="J498" s="49" t="n">
        <v>58191</v>
      </c>
      <c r="K498" s="49" t="n">
        <v>67672</v>
      </c>
      <c r="L498" s="50" t="n">
        <v>25.7</v>
      </c>
      <c r="M498" s="51" t="n">
        <f aca="false">G498-F498</f>
        <v>25161</v>
      </c>
      <c r="N498" s="52" t="n">
        <f aca="false">IF(F498=0,0,M498/F498)</f>
        <v>0.0685337466258822</v>
      </c>
      <c r="O498" s="51" t="n">
        <f aca="false">G498-I498</f>
        <v>163632</v>
      </c>
      <c r="P498" s="51" t="n">
        <f aca="false">F498-H498</f>
        <v>167229</v>
      </c>
      <c r="Q498" s="51" t="n">
        <f aca="false">F498-H498-J498</f>
        <v>109038</v>
      </c>
      <c r="R498" s="51" t="n">
        <f aca="false">G498-I498-K498</f>
        <v>95960</v>
      </c>
      <c r="S498" s="51" t="n">
        <f aca="false">R498-Q498</f>
        <v>-13078</v>
      </c>
      <c r="T498" s="52" t="n">
        <f aca="false">IF(Q498=0,0,S498/Q498)</f>
        <v>-0.119939837487848</v>
      </c>
      <c r="U498" s="51" t="str">
        <f aca="false">IF(AND(Q498&gt;0,T498&lt;-0.15),"ADVERSE","")</f>
        <v/>
      </c>
    </row>
    <row r="499" customFormat="false" ht="15" hidden="false" customHeight="false" outlineLevel="0" collapsed="false">
      <c r="A499" s="47" t="s">
        <v>3</v>
      </c>
      <c r="B499" s="47" t="s">
        <v>135</v>
      </c>
      <c r="C499" s="48" t="n">
        <v>45778</v>
      </c>
      <c r="D499" s="47" t="s">
        <v>35</v>
      </c>
      <c r="E499" s="47" t="s">
        <v>41</v>
      </c>
      <c r="F499" s="49" t="n">
        <v>374362</v>
      </c>
      <c r="G499" s="49" t="n">
        <v>398900</v>
      </c>
      <c r="H499" s="49" t="n">
        <v>203840</v>
      </c>
      <c r="I499" s="49" t="n">
        <v>228332</v>
      </c>
      <c r="J499" s="49" t="n">
        <v>59336</v>
      </c>
      <c r="K499" s="49" t="n">
        <v>64888</v>
      </c>
      <c r="L499" s="50" t="n">
        <v>25.2</v>
      </c>
      <c r="M499" s="51" t="n">
        <f aca="false">G499-F499</f>
        <v>24538</v>
      </c>
      <c r="N499" s="52" t="n">
        <f aca="false">IF(F499=0,0,M499/F499)</f>
        <v>0.0655461825719491</v>
      </c>
      <c r="O499" s="51" t="n">
        <f aca="false">G499-I499</f>
        <v>170568</v>
      </c>
      <c r="P499" s="51" t="n">
        <f aca="false">F499-H499</f>
        <v>170522</v>
      </c>
      <c r="Q499" s="51" t="n">
        <f aca="false">F499-H499-J499</f>
        <v>111186</v>
      </c>
      <c r="R499" s="51" t="n">
        <f aca="false">G499-I499-K499</f>
        <v>105680</v>
      </c>
      <c r="S499" s="51" t="n">
        <f aca="false">R499-Q499</f>
        <v>-5506</v>
      </c>
      <c r="T499" s="52" t="n">
        <f aca="false">IF(Q499=0,0,S499/Q499)</f>
        <v>-0.0495206231000306</v>
      </c>
      <c r="U499" s="51" t="str">
        <f aca="false">IF(AND(Q499&gt;0,T499&lt;-0.15),"ADVERSE","")</f>
        <v/>
      </c>
    </row>
    <row r="500" customFormat="false" ht="15" hidden="false" customHeight="false" outlineLevel="0" collapsed="false">
      <c r="A500" s="47" t="s">
        <v>3</v>
      </c>
      <c r="B500" s="47" t="s">
        <v>135</v>
      </c>
      <c r="C500" s="48" t="n">
        <v>45809</v>
      </c>
      <c r="D500" s="47" t="s">
        <v>35</v>
      </c>
      <c r="E500" s="47" t="s">
        <v>41</v>
      </c>
      <c r="F500" s="49" t="n">
        <v>378680</v>
      </c>
      <c r="G500" s="49" t="n">
        <v>402290</v>
      </c>
      <c r="H500" s="49" t="n">
        <v>206191</v>
      </c>
      <c r="I500" s="49" t="n">
        <v>225131</v>
      </c>
      <c r="J500" s="49" t="n">
        <v>60021</v>
      </c>
      <c r="K500" s="49" t="n">
        <v>66633</v>
      </c>
      <c r="L500" s="50" t="n">
        <v>26.1</v>
      </c>
      <c r="M500" s="51" t="n">
        <f aca="false">G500-F500</f>
        <v>23610</v>
      </c>
      <c r="N500" s="52" t="n">
        <f aca="false">IF(F500=0,0,M500/F500)</f>
        <v>0.0623481567550438</v>
      </c>
      <c r="O500" s="51" t="n">
        <f aca="false">G500-I500</f>
        <v>177159</v>
      </c>
      <c r="P500" s="51" t="n">
        <f aca="false">F500-H500</f>
        <v>172489</v>
      </c>
      <c r="Q500" s="51" t="n">
        <f aca="false">F500-H500-J500</f>
        <v>112468</v>
      </c>
      <c r="R500" s="51" t="n">
        <f aca="false">G500-I500-K500</f>
        <v>110526</v>
      </c>
      <c r="S500" s="51" t="n">
        <f aca="false">R500-Q500</f>
        <v>-1942</v>
      </c>
      <c r="T500" s="52" t="n">
        <f aca="false">IF(Q500=0,0,S500/Q500)</f>
        <v>-0.0172671337624924</v>
      </c>
      <c r="U500" s="51" t="str">
        <f aca="false">IF(AND(Q500&gt;0,T500&lt;-0.15),"ADVERSE","")</f>
        <v/>
      </c>
    </row>
    <row r="501" customFormat="false" ht="15" hidden="false" customHeight="false" outlineLevel="0" collapsed="false">
      <c r="A501" s="47" t="s">
        <v>3</v>
      </c>
      <c r="B501" s="47" t="s">
        <v>136</v>
      </c>
      <c r="C501" s="48" t="n">
        <v>45839</v>
      </c>
      <c r="D501" s="47" t="s">
        <v>35</v>
      </c>
      <c r="E501" s="47" t="s">
        <v>41</v>
      </c>
      <c r="F501" s="49" t="n">
        <v>400011</v>
      </c>
      <c r="G501" s="49" t="n">
        <v>444985</v>
      </c>
      <c r="H501" s="49" t="n">
        <v>217806</v>
      </c>
      <c r="I501" s="49" t="n">
        <v>255593</v>
      </c>
      <c r="J501" s="49" t="n">
        <v>63402</v>
      </c>
      <c r="K501" s="49" t="n">
        <v>70049</v>
      </c>
      <c r="L501" s="50" t="n">
        <v>26.2</v>
      </c>
      <c r="M501" s="51" t="n">
        <f aca="false">G501-F501</f>
        <v>44974</v>
      </c>
      <c r="N501" s="52" t="n">
        <f aca="false">IF(F501=0,0,M501/F501)</f>
        <v>0.112431908122527</v>
      </c>
      <c r="O501" s="51" t="n">
        <f aca="false">G501-I501</f>
        <v>189392</v>
      </c>
      <c r="P501" s="51" t="n">
        <f aca="false">F501-H501</f>
        <v>182205</v>
      </c>
      <c r="Q501" s="51" t="n">
        <f aca="false">F501-H501-J501</f>
        <v>118803</v>
      </c>
      <c r="R501" s="51" t="n">
        <f aca="false">G501-I501-K501</f>
        <v>119343</v>
      </c>
      <c r="S501" s="51" t="n">
        <f aca="false">R501-Q501</f>
        <v>540</v>
      </c>
      <c r="T501" s="52" t="n">
        <f aca="false">IF(Q501=0,0,S501/Q501)</f>
        <v>0.00454533976414737</v>
      </c>
      <c r="U501" s="51" t="str">
        <f aca="false">IF(AND(Q501&gt;0,T501&lt;-0.15),"ADVERSE","")</f>
        <v/>
      </c>
    </row>
    <row r="502" customFormat="false" ht="15" hidden="false" customHeight="false" outlineLevel="0" collapsed="false">
      <c r="A502" s="47" t="s">
        <v>3</v>
      </c>
      <c r="B502" s="47" t="s">
        <v>136</v>
      </c>
      <c r="C502" s="48" t="n">
        <v>45870</v>
      </c>
      <c r="D502" s="47" t="s">
        <v>35</v>
      </c>
      <c r="E502" s="47" t="s">
        <v>41</v>
      </c>
      <c r="F502" s="49" t="n">
        <v>382096</v>
      </c>
      <c r="G502" s="49" t="n">
        <v>375500</v>
      </c>
      <c r="H502" s="49" t="n">
        <v>208051</v>
      </c>
      <c r="I502" s="49" t="n">
        <v>215044</v>
      </c>
      <c r="J502" s="49" t="n">
        <v>60562</v>
      </c>
      <c r="K502" s="49" t="n">
        <v>58529</v>
      </c>
      <c r="L502" s="50" t="n">
        <v>26.4</v>
      </c>
      <c r="M502" s="51" t="n">
        <f aca="false">G502-F502</f>
        <v>-6596</v>
      </c>
      <c r="N502" s="52" t="n">
        <f aca="false">IF(F502=0,0,M502/F502)</f>
        <v>-0.0172626774423182</v>
      </c>
      <c r="O502" s="51" t="n">
        <f aca="false">G502-I502</f>
        <v>160456</v>
      </c>
      <c r="P502" s="51" t="n">
        <f aca="false">F502-H502</f>
        <v>174045</v>
      </c>
      <c r="Q502" s="51" t="n">
        <f aca="false">F502-H502-J502</f>
        <v>113483</v>
      </c>
      <c r="R502" s="51" t="n">
        <f aca="false">G502-I502-K502</f>
        <v>101927</v>
      </c>
      <c r="S502" s="51" t="n">
        <f aca="false">R502-Q502</f>
        <v>-11556</v>
      </c>
      <c r="T502" s="52" t="n">
        <f aca="false">IF(Q502=0,0,S502/Q502)</f>
        <v>-0.101830230078514</v>
      </c>
      <c r="U502" s="51" t="str">
        <f aca="false">IF(AND(Q502&gt;0,T502&lt;-0.15),"ADVERSE","")</f>
        <v/>
      </c>
    </row>
    <row r="503" customFormat="false" ht="15" hidden="false" customHeight="false" outlineLevel="0" collapsed="false">
      <c r="A503" s="47" t="s">
        <v>3</v>
      </c>
      <c r="B503" s="47" t="s">
        <v>136</v>
      </c>
      <c r="C503" s="48" t="n">
        <v>45901</v>
      </c>
      <c r="D503" s="47" t="s">
        <v>35</v>
      </c>
      <c r="E503" s="47" t="s">
        <v>41</v>
      </c>
      <c r="F503" s="49" t="n">
        <v>396231</v>
      </c>
      <c r="G503" s="49" t="n">
        <v>423167</v>
      </c>
      <c r="H503" s="49" t="n">
        <v>215748</v>
      </c>
      <c r="I503" s="49" t="n">
        <v>243723</v>
      </c>
      <c r="J503" s="49" t="n">
        <v>62803</v>
      </c>
      <c r="K503" s="49" t="n">
        <v>65156</v>
      </c>
      <c r="L503" s="50" t="n">
        <v>27.8</v>
      </c>
      <c r="M503" s="51" t="n">
        <f aca="false">G503-F503</f>
        <v>26936</v>
      </c>
      <c r="N503" s="52" t="n">
        <f aca="false">IF(F503=0,0,M503/F503)</f>
        <v>0.0679805467012929</v>
      </c>
      <c r="O503" s="51" t="n">
        <f aca="false">G503-I503</f>
        <v>179444</v>
      </c>
      <c r="P503" s="51" t="n">
        <f aca="false">F503-H503</f>
        <v>180483</v>
      </c>
      <c r="Q503" s="51" t="n">
        <f aca="false">F503-H503-J503</f>
        <v>117680</v>
      </c>
      <c r="R503" s="51" t="n">
        <f aca="false">G503-I503-K503</f>
        <v>114288</v>
      </c>
      <c r="S503" s="51" t="n">
        <f aca="false">R503-Q503</f>
        <v>-3392</v>
      </c>
      <c r="T503" s="52" t="n">
        <f aca="false">IF(Q503=0,0,S503/Q503)</f>
        <v>-0.0288239292997961</v>
      </c>
      <c r="U503" s="51" t="str">
        <f aca="false">IF(AND(Q503&gt;0,T503&lt;-0.15),"ADVERSE","")</f>
        <v/>
      </c>
    </row>
    <row r="504" customFormat="false" ht="15" hidden="false" customHeight="false" outlineLevel="0" collapsed="false">
      <c r="A504" s="47" t="s">
        <v>3</v>
      </c>
      <c r="B504" s="47" t="s">
        <v>137</v>
      </c>
      <c r="C504" s="48" t="n">
        <v>45931</v>
      </c>
      <c r="D504" s="47" t="s">
        <v>35</v>
      </c>
      <c r="E504" s="47" t="s">
        <v>41</v>
      </c>
      <c r="F504" s="49" t="n">
        <v>414935</v>
      </c>
      <c r="G504" s="49" t="n">
        <v>451302</v>
      </c>
      <c r="H504" s="49" t="n">
        <v>225932</v>
      </c>
      <c r="I504" s="49" t="n">
        <v>256603</v>
      </c>
      <c r="J504" s="49" t="n">
        <v>65767</v>
      </c>
      <c r="K504" s="49" t="n">
        <v>69534</v>
      </c>
      <c r="L504" s="50" t="n">
        <v>27.6</v>
      </c>
      <c r="M504" s="51" t="n">
        <f aca="false">G504-F504</f>
        <v>36367</v>
      </c>
      <c r="N504" s="52" t="n">
        <f aca="false">IF(F504=0,0,M504/F504)</f>
        <v>0.0876450528396014</v>
      </c>
      <c r="O504" s="51" t="n">
        <f aca="false">G504-I504</f>
        <v>194699</v>
      </c>
      <c r="P504" s="51" t="n">
        <f aca="false">F504-H504</f>
        <v>189003</v>
      </c>
      <c r="Q504" s="51" t="n">
        <f aca="false">F504-H504-J504</f>
        <v>123236</v>
      </c>
      <c r="R504" s="51" t="n">
        <f aca="false">G504-I504-K504</f>
        <v>125165</v>
      </c>
      <c r="S504" s="51" t="n">
        <f aca="false">R504-Q504</f>
        <v>1929</v>
      </c>
      <c r="T504" s="52" t="n">
        <f aca="false">IF(Q504=0,0,S504/Q504)</f>
        <v>0.0156528936349768</v>
      </c>
      <c r="U504" s="51" t="str">
        <f aca="false">IF(AND(Q504&gt;0,T504&lt;-0.15),"ADVERSE","")</f>
        <v/>
      </c>
    </row>
    <row r="505" customFormat="false" ht="15" hidden="false" customHeight="false" outlineLevel="0" collapsed="false">
      <c r="A505" s="47" t="s">
        <v>3</v>
      </c>
      <c r="B505" s="47" t="s">
        <v>137</v>
      </c>
      <c r="C505" s="48" t="n">
        <v>45962</v>
      </c>
      <c r="D505" s="47" t="s">
        <v>35</v>
      </c>
      <c r="E505" s="47" t="s">
        <v>41</v>
      </c>
      <c r="F505" s="49" t="n">
        <v>417780</v>
      </c>
      <c r="G505" s="49" t="n">
        <v>437985</v>
      </c>
      <c r="H505" s="49" t="n">
        <v>227481</v>
      </c>
      <c r="I505" s="49" t="n">
        <v>253215</v>
      </c>
      <c r="J505" s="49" t="n">
        <v>66218</v>
      </c>
      <c r="K505" s="49" t="n">
        <v>68596</v>
      </c>
      <c r="L505" s="50" t="n">
        <v>27.7</v>
      </c>
      <c r="M505" s="51" t="n">
        <f aca="false">G505-F505</f>
        <v>20205</v>
      </c>
      <c r="N505" s="52" t="n">
        <f aca="false">IF(F505=0,0,M505/F505)</f>
        <v>0.0483627746660922</v>
      </c>
      <c r="O505" s="51" t="n">
        <f aca="false">G505-I505</f>
        <v>184770</v>
      </c>
      <c r="P505" s="51" t="n">
        <f aca="false">F505-H505</f>
        <v>190299</v>
      </c>
      <c r="Q505" s="51" t="n">
        <f aca="false">F505-H505-J505</f>
        <v>124081</v>
      </c>
      <c r="R505" s="51" t="n">
        <f aca="false">G505-I505-K505</f>
        <v>116174</v>
      </c>
      <c r="S505" s="51" t="n">
        <f aca="false">R505-Q505</f>
        <v>-7907</v>
      </c>
      <c r="T505" s="52" t="n">
        <f aca="false">IF(Q505=0,0,S505/Q505)</f>
        <v>-0.0637245025426939</v>
      </c>
      <c r="U505" s="51" t="str">
        <f aca="false">IF(AND(Q505&gt;0,T505&lt;-0.15),"ADVERSE","")</f>
        <v/>
      </c>
    </row>
    <row r="506" customFormat="false" ht="15" hidden="false" customHeight="false" outlineLevel="0" collapsed="false">
      <c r="A506" s="47" t="s">
        <v>3</v>
      </c>
      <c r="B506" s="47" t="s">
        <v>137</v>
      </c>
      <c r="C506" s="48" t="n">
        <v>45992</v>
      </c>
      <c r="D506" s="47" t="s">
        <v>35</v>
      </c>
      <c r="E506" s="47" t="s">
        <v>41</v>
      </c>
      <c r="F506" s="49" t="n">
        <v>411361</v>
      </c>
      <c r="G506" s="49" t="n">
        <v>412650</v>
      </c>
      <c r="H506" s="49" t="n">
        <v>223986</v>
      </c>
      <c r="I506" s="49" t="n">
        <v>230830</v>
      </c>
      <c r="J506" s="49" t="n">
        <v>65201</v>
      </c>
      <c r="K506" s="49" t="n">
        <v>64955</v>
      </c>
      <c r="L506" s="50" t="n">
        <v>27.7</v>
      </c>
      <c r="M506" s="51" t="n">
        <f aca="false">G506-F506</f>
        <v>1289</v>
      </c>
      <c r="N506" s="52" t="n">
        <f aca="false">IF(F506=0,0,M506/F506)</f>
        <v>0.00313350074508765</v>
      </c>
      <c r="O506" s="51" t="n">
        <f aca="false">G506-I506</f>
        <v>181820</v>
      </c>
      <c r="P506" s="51" t="n">
        <f aca="false">F506-H506</f>
        <v>187375</v>
      </c>
      <c r="Q506" s="51" t="n">
        <f aca="false">F506-H506-J506</f>
        <v>122174</v>
      </c>
      <c r="R506" s="51" t="n">
        <f aca="false">G506-I506-K506</f>
        <v>116865</v>
      </c>
      <c r="S506" s="51" t="n">
        <f aca="false">R506-Q506</f>
        <v>-5309</v>
      </c>
      <c r="T506" s="52" t="n">
        <f aca="false">IF(Q506=0,0,S506/Q506)</f>
        <v>-0.0434544174701655</v>
      </c>
      <c r="U506" s="51" t="str">
        <f aca="false">IF(AND(Q506&gt;0,T506&lt;-0.15),"ADVERSE","")</f>
        <v/>
      </c>
    </row>
    <row r="507" customFormat="false" ht="15" hidden="false" customHeight="false" outlineLevel="0" collapsed="false">
      <c r="A507" s="47" t="s">
        <v>3</v>
      </c>
      <c r="B507" s="47" t="s">
        <v>138</v>
      </c>
      <c r="C507" s="48" t="n">
        <v>46023</v>
      </c>
      <c r="D507" s="47" t="s">
        <v>35</v>
      </c>
      <c r="E507" s="47" t="s">
        <v>41</v>
      </c>
      <c r="F507" s="49" t="n">
        <v>405561</v>
      </c>
      <c r="G507" s="49" t="n">
        <v>460360</v>
      </c>
      <c r="H507" s="49" t="n">
        <v>220828</v>
      </c>
      <c r="I507" s="49" t="n">
        <v>265136</v>
      </c>
      <c r="J507" s="49" t="n">
        <v>64281</v>
      </c>
      <c r="K507" s="49" t="n">
        <v>74724</v>
      </c>
      <c r="L507" s="50" t="n">
        <v>28.8</v>
      </c>
      <c r="M507" s="51" t="n">
        <f aca="false">G507-F507</f>
        <v>54799</v>
      </c>
      <c r="N507" s="52" t="n">
        <f aca="false">IF(F507=0,0,M507/F507)</f>
        <v>0.1351190079914</v>
      </c>
      <c r="O507" s="51" t="n">
        <f aca="false">G507-I507</f>
        <v>195224</v>
      </c>
      <c r="P507" s="51" t="n">
        <f aca="false">F507-H507</f>
        <v>184733</v>
      </c>
      <c r="Q507" s="51" t="n">
        <f aca="false">F507-H507-J507</f>
        <v>120452</v>
      </c>
      <c r="R507" s="51" t="n">
        <f aca="false">G507-I507-K507</f>
        <v>120500</v>
      </c>
      <c r="S507" s="51" t="n">
        <f aca="false">R507-Q507</f>
        <v>48</v>
      </c>
      <c r="T507" s="52" t="n">
        <f aca="false">IF(Q507=0,0,S507/Q507)</f>
        <v>0.000398498987148408</v>
      </c>
      <c r="U507" s="51" t="str">
        <f aca="false">IF(AND(Q507&gt;0,T507&lt;-0.15),"ADVERSE","")</f>
        <v/>
      </c>
    </row>
    <row r="508" customFormat="false" ht="15" hidden="false" customHeight="false" outlineLevel="0" collapsed="false">
      <c r="A508" s="47" t="s">
        <v>3</v>
      </c>
      <c r="B508" s="47" t="s">
        <v>138</v>
      </c>
      <c r="C508" s="48" t="n">
        <v>46054</v>
      </c>
      <c r="D508" s="47" t="s">
        <v>35</v>
      </c>
      <c r="E508" s="47" t="s">
        <v>41</v>
      </c>
      <c r="F508" s="49" t="n">
        <v>422092</v>
      </c>
      <c r="G508" s="49" t="n">
        <v>450900</v>
      </c>
      <c r="H508" s="49" t="n">
        <v>229829</v>
      </c>
      <c r="I508" s="49" t="n">
        <v>265595</v>
      </c>
      <c r="J508" s="49" t="n">
        <v>66902</v>
      </c>
      <c r="K508" s="49" t="n">
        <v>67530</v>
      </c>
      <c r="L508" s="50" t="n">
        <v>28.2</v>
      </c>
      <c r="M508" s="51" t="n">
        <f aca="false">G508-F508</f>
        <v>28808</v>
      </c>
      <c r="N508" s="52" t="n">
        <f aca="false">IF(F508=0,0,M508/F508)</f>
        <v>0.0682505235825365</v>
      </c>
      <c r="O508" s="51" t="n">
        <f aca="false">G508-I508</f>
        <v>185305</v>
      </c>
      <c r="P508" s="51" t="n">
        <f aca="false">F508-H508</f>
        <v>192263</v>
      </c>
      <c r="Q508" s="51" t="n">
        <f aca="false">F508-H508-J508</f>
        <v>125361</v>
      </c>
      <c r="R508" s="51" t="n">
        <f aca="false">G508-I508-K508</f>
        <v>117775</v>
      </c>
      <c r="S508" s="51" t="n">
        <f aca="false">R508-Q508</f>
        <v>-7586</v>
      </c>
      <c r="T508" s="52" t="n">
        <f aca="false">IF(Q508=0,0,S508/Q508)</f>
        <v>-0.0605132377693222</v>
      </c>
      <c r="U508" s="51" t="str">
        <f aca="false">IF(AND(Q508&gt;0,T508&lt;-0.15),"ADVERSE","")</f>
        <v/>
      </c>
    </row>
    <row r="509" customFormat="false" ht="15" hidden="false" customHeight="false" outlineLevel="0" collapsed="false">
      <c r="A509" s="47" t="s">
        <v>3</v>
      </c>
      <c r="B509" s="47" t="s">
        <v>138</v>
      </c>
      <c r="C509" s="48" t="n">
        <v>46082</v>
      </c>
      <c r="D509" s="47" t="s">
        <v>35</v>
      </c>
      <c r="E509" s="47" t="s">
        <v>41</v>
      </c>
      <c r="F509" s="49" t="n">
        <v>459470</v>
      </c>
      <c r="G509" s="49" t="n">
        <v>479894</v>
      </c>
      <c r="H509" s="49" t="n">
        <v>250182</v>
      </c>
      <c r="I509" s="49" t="n">
        <v>273364</v>
      </c>
      <c r="J509" s="49" t="n">
        <v>72826</v>
      </c>
      <c r="K509" s="49" t="n">
        <v>79740</v>
      </c>
      <c r="L509" s="50" t="n">
        <v>28.5</v>
      </c>
      <c r="M509" s="51" t="n">
        <f aca="false">G509-F509</f>
        <v>20424</v>
      </c>
      <c r="N509" s="52" t="n">
        <f aca="false">IF(F509=0,0,M509/F509)</f>
        <v>0.0444512155309378</v>
      </c>
      <c r="O509" s="51" t="n">
        <f aca="false">G509-I509</f>
        <v>206530</v>
      </c>
      <c r="P509" s="51" t="n">
        <f aca="false">F509-H509</f>
        <v>209288</v>
      </c>
      <c r="Q509" s="51" t="n">
        <f aca="false">F509-H509-J509</f>
        <v>136462</v>
      </c>
      <c r="R509" s="51" t="n">
        <f aca="false">G509-I509-K509</f>
        <v>126790</v>
      </c>
      <c r="S509" s="51" t="n">
        <f aca="false">R509-Q509</f>
        <v>-9672</v>
      </c>
      <c r="T509" s="52" t="n">
        <f aca="false">IF(Q509=0,0,S509/Q509)</f>
        <v>-0.0708768741481145</v>
      </c>
      <c r="U509" s="51" t="str">
        <f aca="false">IF(AND(Q509&gt;0,T509&lt;-0.15),"ADVERSE","")</f>
        <v/>
      </c>
    </row>
    <row r="510" customFormat="false" ht="15" hidden="false" customHeight="false" outlineLevel="0" collapsed="false">
      <c r="A510" s="47" t="s">
        <v>134</v>
      </c>
      <c r="B510" s="47" t="s">
        <v>135</v>
      </c>
      <c r="C510" s="48" t="n">
        <v>45017</v>
      </c>
      <c r="D510" s="47" t="s">
        <v>35</v>
      </c>
      <c r="E510" s="47" t="s">
        <v>42</v>
      </c>
      <c r="F510" s="49" t="n">
        <v>325238</v>
      </c>
      <c r="G510" s="49" t="n">
        <v>333622</v>
      </c>
      <c r="H510" s="49" t="n">
        <v>177092</v>
      </c>
      <c r="I510" s="49" t="n">
        <v>179741</v>
      </c>
      <c r="J510" s="49" t="n">
        <v>51550</v>
      </c>
      <c r="K510" s="49" t="n">
        <v>51199</v>
      </c>
      <c r="L510" s="50" t="n">
        <v>30.2</v>
      </c>
      <c r="M510" s="51" t="n">
        <f aca="false">G510-F510</f>
        <v>8384</v>
      </c>
      <c r="N510" s="52" t="n">
        <f aca="false">IF(F510=0,0,M510/F510)</f>
        <v>0.025778045615826</v>
      </c>
      <c r="O510" s="51" t="n">
        <f aca="false">G510-I510</f>
        <v>153881</v>
      </c>
      <c r="P510" s="51" t="n">
        <f aca="false">F510-H510</f>
        <v>148146</v>
      </c>
      <c r="Q510" s="51" t="n">
        <f aca="false">F510-H510-J510</f>
        <v>96596</v>
      </c>
      <c r="R510" s="51" t="n">
        <f aca="false">G510-I510-K510</f>
        <v>102682</v>
      </c>
      <c r="S510" s="51" t="n">
        <f aca="false">R510-Q510</f>
        <v>6086</v>
      </c>
      <c r="T510" s="52" t="n">
        <f aca="false">IF(Q510=0,0,S510/Q510)</f>
        <v>0.063004679282786</v>
      </c>
      <c r="U510" s="51" t="str">
        <f aca="false">IF(AND(Q510&gt;0,T510&lt;-0.15),"ADVERSE","")</f>
        <v/>
      </c>
    </row>
    <row r="511" customFormat="false" ht="15" hidden="false" customHeight="false" outlineLevel="0" collapsed="false">
      <c r="A511" s="47" t="s">
        <v>134</v>
      </c>
      <c r="B511" s="47" t="s">
        <v>135</v>
      </c>
      <c r="C511" s="48" t="n">
        <v>45047</v>
      </c>
      <c r="D511" s="47" t="s">
        <v>35</v>
      </c>
      <c r="E511" s="47" t="s">
        <v>42</v>
      </c>
      <c r="F511" s="49" t="n">
        <v>328469</v>
      </c>
      <c r="G511" s="49" t="n">
        <v>340768</v>
      </c>
      <c r="H511" s="49" t="n">
        <v>178852</v>
      </c>
      <c r="I511" s="49" t="n">
        <v>187749</v>
      </c>
      <c r="J511" s="49" t="n">
        <v>52062</v>
      </c>
      <c r="K511" s="49" t="n">
        <v>55338</v>
      </c>
      <c r="L511" s="50" t="n">
        <v>31.2</v>
      </c>
      <c r="M511" s="51" t="n">
        <f aca="false">G511-F511</f>
        <v>12299</v>
      </c>
      <c r="N511" s="52" t="n">
        <f aca="false">IF(F511=0,0,M511/F511)</f>
        <v>0.0374434117070408</v>
      </c>
      <c r="O511" s="51" t="n">
        <f aca="false">G511-I511</f>
        <v>153019</v>
      </c>
      <c r="P511" s="51" t="n">
        <f aca="false">F511-H511</f>
        <v>149617</v>
      </c>
      <c r="Q511" s="51" t="n">
        <f aca="false">F511-H511-J511</f>
        <v>97555</v>
      </c>
      <c r="R511" s="51" t="n">
        <f aca="false">G511-I511-K511</f>
        <v>97681</v>
      </c>
      <c r="S511" s="51" t="n">
        <f aca="false">R511-Q511</f>
        <v>126</v>
      </c>
      <c r="T511" s="52" t="n">
        <f aca="false">IF(Q511=0,0,S511/Q511)</f>
        <v>0.00129157910922044</v>
      </c>
      <c r="U511" s="51" t="str">
        <f aca="false">IF(AND(Q511&gt;0,T511&lt;-0.15),"ADVERSE","")</f>
        <v/>
      </c>
    </row>
    <row r="512" customFormat="false" ht="15" hidden="false" customHeight="false" outlineLevel="0" collapsed="false">
      <c r="A512" s="47" t="s">
        <v>134</v>
      </c>
      <c r="B512" s="47" t="s">
        <v>135</v>
      </c>
      <c r="C512" s="48" t="n">
        <v>45078</v>
      </c>
      <c r="D512" s="47" t="s">
        <v>35</v>
      </c>
      <c r="E512" s="47" t="s">
        <v>42</v>
      </c>
      <c r="F512" s="49" t="n">
        <v>336250</v>
      </c>
      <c r="G512" s="49" t="n">
        <v>346938</v>
      </c>
      <c r="H512" s="49" t="n">
        <v>183088</v>
      </c>
      <c r="I512" s="49" t="n">
        <v>185548</v>
      </c>
      <c r="J512" s="49" t="n">
        <v>53296</v>
      </c>
      <c r="K512" s="49" t="n">
        <v>55729</v>
      </c>
      <c r="L512" s="50" t="n">
        <v>32</v>
      </c>
      <c r="M512" s="51" t="n">
        <f aca="false">G512-F512</f>
        <v>10688</v>
      </c>
      <c r="N512" s="52" t="n">
        <f aca="false">IF(F512=0,0,M512/F512)</f>
        <v>0.031785873605948</v>
      </c>
      <c r="O512" s="51" t="n">
        <f aca="false">G512-I512</f>
        <v>161390</v>
      </c>
      <c r="P512" s="51" t="n">
        <f aca="false">F512-H512</f>
        <v>153162</v>
      </c>
      <c r="Q512" s="51" t="n">
        <f aca="false">F512-H512-J512</f>
        <v>99866</v>
      </c>
      <c r="R512" s="51" t="n">
        <f aca="false">G512-I512-K512</f>
        <v>105661</v>
      </c>
      <c r="S512" s="51" t="n">
        <f aca="false">R512-Q512</f>
        <v>5795</v>
      </c>
      <c r="T512" s="52" t="n">
        <f aca="false">IF(Q512=0,0,S512/Q512)</f>
        <v>0.0580277571946408</v>
      </c>
      <c r="U512" s="51" t="str">
        <f aca="false">IF(AND(Q512&gt;0,T512&lt;-0.15),"ADVERSE","")</f>
        <v/>
      </c>
    </row>
    <row r="513" customFormat="false" ht="15" hidden="false" customHeight="false" outlineLevel="0" collapsed="false">
      <c r="A513" s="47" t="s">
        <v>134</v>
      </c>
      <c r="B513" s="47" t="s">
        <v>136</v>
      </c>
      <c r="C513" s="48" t="n">
        <v>45108</v>
      </c>
      <c r="D513" s="47" t="s">
        <v>35</v>
      </c>
      <c r="E513" s="47" t="s">
        <v>42</v>
      </c>
      <c r="F513" s="49" t="n">
        <v>349405</v>
      </c>
      <c r="G513" s="49" t="n">
        <v>341466</v>
      </c>
      <c r="H513" s="49" t="n">
        <v>190251</v>
      </c>
      <c r="I513" s="49" t="n">
        <v>180069</v>
      </c>
      <c r="J513" s="49" t="n">
        <v>55381</v>
      </c>
      <c r="K513" s="49" t="n">
        <v>52941</v>
      </c>
      <c r="L513" s="50" t="n">
        <v>31.3</v>
      </c>
      <c r="M513" s="51" t="n">
        <f aca="false">G513-F513</f>
        <v>-7939</v>
      </c>
      <c r="N513" s="52" t="n">
        <f aca="false">IF(F513=0,0,M513/F513)</f>
        <v>-0.0227214836650878</v>
      </c>
      <c r="O513" s="51" t="n">
        <f aca="false">G513-I513</f>
        <v>161397</v>
      </c>
      <c r="P513" s="51" t="n">
        <f aca="false">F513-H513</f>
        <v>159154</v>
      </c>
      <c r="Q513" s="51" t="n">
        <f aca="false">F513-H513-J513</f>
        <v>103773</v>
      </c>
      <c r="R513" s="51" t="n">
        <f aca="false">G513-I513-K513</f>
        <v>108456</v>
      </c>
      <c r="S513" s="51" t="n">
        <f aca="false">R513-Q513</f>
        <v>4683</v>
      </c>
      <c r="T513" s="52" t="n">
        <f aca="false">IF(Q513=0,0,S513/Q513)</f>
        <v>0.0451273452632188</v>
      </c>
      <c r="U513" s="51" t="str">
        <f aca="false">IF(AND(Q513&gt;0,T513&lt;-0.15),"ADVERSE","")</f>
        <v/>
      </c>
    </row>
    <row r="514" customFormat="false" ht="15" hidden="false" customHeight="false" outlineLevel="0" collapsed="false">
      <c r="A514" s="47" t="s">
        <v>134</v>
      </c>
      <c r="B514" s="47" t="s">
        <v>136</v>
      </c>
      <c r="C514" s="48" t="n">
        <v>45139</v>
      </c>
      <c r="D514" s="47" t="s">
        <v>35</v>
      </c>
      <c r="E514" s="47" t="s">
        <v>42</v>
      </c>
      <c r="F514" s="49" t="n">
        <v>334973</v>
      </c>
      <c r="G514" s="49" t="n">
        <v>343528</v>
      </c>
      <c r="H514" s="49" t="n">
        <v>182393</v>
      </c>
      <c r="I514" s="49" t="n">
        <v>190509</v>
      </c>
      <c r="J514" s="49" t="n">
        <v>53093</v>
      </c>
      <c r="K514" s="49" t="n">
        <v>52779</v>
      </c>
      <c r="L514" s="50" t="n">
        <v>31.7</v>
      </c>
      <c r="M514" s="51" t="n">
        <f aca="false">G514-F514</f>
        <v>8555</v>
      </c>
      <c r="N514" s="52" t="n">
        <f aca="false">IF(F514=0,0,M514/F514)</f>
        <v>0.0255393718299684</v>
      </c>
      <c r="O514" s="51" t="n">
        <f aca="false">G514-I514</f>
        <v>153019</v>
      </c>
      <c r="P514" s="51" t="n">
        <f aca="false">F514-H514</f>
        <v>152580</v>
      </c>
      <c r="Q514" s="51" t="n">
        <f aca="false">F514-H514-J514</f>
        <v>99487</v>
      </c>
      <c r="R514" s="51" t="n">
        <f aca="false">G514-I514-K514</f>
        <v>100240</v>
      </c>
      <c r="S514" s="51" t="n">
        <f aca="false">R514-Q514</f>
        <v>753</v>
      </c>
      <c r="T514" s="52" t="n">
        <f aca="false">IF(Q514=0,0,S514/Q514)</f>
        <v>0.00756882808809191</v>
      </c>
      <c r="U514" s="51" t="str">
        <f aca="false">IF(AND(Q514&gt;0,T514&lt;-0.15),"ADVERSE","")</f>
        <v/>
      </c>
    </row>
    <row r="515" customFormat="false" ht="15" hidden="false" customHeight="false" outlineLevel="0" collapsed="false">
      <c r="A515" s="47" t="s">
        <v>134</v>
      </c>
      <c r="B515" s="47" t="s">
        <v>136</v>
      </c>
      <c r="C515" s="48" t="n">
        <v>45170</v>
      </c>
      <c r="D515" s="47" t="s">
        <v>35</v>
      </c>
      <c r="E515" s="47" t="s">
        <v>42</v>
      </c>
      <c r="F515" s="49" t="n">
        <v>346104</v>
      </c>
      <c r="G515" s="49" t="n">
        <v>354797</v>
      </c>
      <c r="H515" s="49" t="n">
        <v>188454</v>
      </c>
      <c r="I515" s="49" t="n">
        <v>191379</v>
      </c>
      <c r="J515" s="49" t="n">
        <v>54857</v>
      </c>
      <c r="K515" s="49" t="n">
        <v>53807</v>
      </c>
      <c r="L515" s="50" t="n">
        <v>32.6</v>
      </c>
      <c r="M515" s="51" t="n">
        <f aca="false">G515-F515</f>
        <v>8693</v>
      </c>
      <c r="N515" s="52" t="n">
        <f aca="false">IF(F515=0,0,M515/F515)</f>
        <v>0.0251167279199316</v>
      </c>
      <c r="O515" s="51" t="n">
        <f aca="false">G515-I515</f>
        <v>163418</v>
      </c>
      <c r="P515" s="51" t="n">
        <f aca="false">F515-H515</f>
        <v>157650</v>
      </c>
      <c r="Q515" s="51" t="n">
        <f aca="false">F515-H515-J515</f>
        <v>102793</v>
      </c>
      <c r="R515" s="51" t="n">
        <f aca="false">G515-I515-K515</f>
        <v>109611</v>
      </c>
      <c r="S515" s="51" t="n">
        <f aca="false">R515-Q515</f>
        <v>6818</v>
      </c>
      <c r="T515" s="52" t="n">
        <f aca="false">IF(Q515=0,0,S515/Q515)</f>
        <v>0.0663274736606578</v>
      </c>
      <c r="U515" s="51" t="str">
        <f aca="false">IF(AND(Q515&gt;0,T515&lt;-0.15),"ADVERSE","")</f>
        <v/>
      </c>
    </row>
    <row r="516" customFormat="false" ht="15" hidden="false" customHeight="false" outlineLevel="0" collapsed="false">
      <c r="A516" s="47" t="s">
        <v>134</v>
      </c>
      <c r="B516" s="47" t="s">
        <v>137</v>
      </c>
      <c r="C516" s="48" t="n">
        <v>45200</v>
      </c>
      <c r="D516" s="47" t="s">
        <v>35</v>
      </c>
      <c r="E516" s="47" t="s">
        <v>42</v>
      </c>
      <c r="F516" s="49" t="n">
        <v>367288</v>
      </c>
      <c r="G516" s="49" t="n">
        <v>378294</v>
      </c>
      <c r="H516" s="49" t="n">
        <v>199988</v>
      </c>
      <c r="I516" s="49" t="n">
        <v>209711</v>
      </c>
      <c r="J516" s="49" t="n">
        <v>58215</v>
      </c>
      <c r="K516" s="49" t="n">
        <v>56850</v>
      </c>
      <c r="L516" s="50" t="n">
        <v>33.6</v>
      </c>
      <c r="M516" s="51" t="n">
        <f aca="false">G516-F516</f>
        <v>11006</v>
      </c>
      <c r="N516" s="52" t="n">
        <f aca="false">IF(F516=0,0,M516/F516)</f>
        <v>0.0299655855895101</v>
      </c>
      <c r="O516" s="51" t="n">
        <f aca="false">G516-I516</f>
        <v>168583</v>
      </c>
      <c r="P516" s="51" t="n">
        <f aca="false">F516-H516</f>
        <v>167300</v>
      </c>
      <c r="Q516" s="51" t="n">
        <f aca="false">F516-H516-J516</f>
        <v>109085</v>
      </c>
      <c r="R516" s="51" t="n">
        <f aca="false">G516-I516-K516</f>
        <v>111733</v>
      </c>
      <c r="S516" s="51" t="n">
        <f aca="false">R516-Q516</f>
        <v>2648</v>
      </c>
      <c r="T516" s="52" t="n">
        <f aca="false">IF(Q516=0,0,S516/Q516)</f>
        <v>0.0242746482101114</v>
      </c>
      <c r="U516" s="51" t="str">
        <f aca="false">IF(AND(Q516&gt;0,T516&lt;-0.15),"ADVERSE","")</f>
        <v/>
      </c>
    </row>
    <row r="517" customFormat="false" ht="15" hidden="false" customHeight="false" outlineLevel="0" collapsed="false">
      <c r="A517" s="47" t="s">
        <v>134</v>
      </c>
      <c r="B517" s="47" t="s">
        <v>137</v>
      </c>
      <c r="C517" s="48" t="n">
        <v>45231</v>
      </c>
      <c r="D517" s="47" t="s">
        <v>35</v>
      </c>
      <c r="E517" s="47" t="s">
        <v>42</v>
      </c>
      <c r="F517" s="49" t="n">
        <v>370040</v>
      </c>
      <c r="G517" s="49" t="n">
        <v>388168</v>
      </c>
      <c r="H517" s="49" t="n">
        <v>201487</v>
      </c>
      <c r="I517" s="49" t="n">
        <v>211074</v>
      </c>
      <c r="J517" s="49" t="n">
        <v>58651</v>
      </c>
      <c r="K517" s="49" t="n">
        <v>63469</v>
      </c>
      <c r="L517" s="50" t="n">
        <v>33.4</v>
      </c>
      <c r="M517" s="51" t="n">
        <f aca="false">G517-F517</f>
        <v>18128</v>
      </c>
      <c r="N517" s="52" t="n">
        <f aca="false">IF(F517=0,0,M517/F517)</f>
        <v>0.0489892984542212</v>
      </c>
      <c r="O517" s="51" t="n">
        <f aca="false">G517-I517</f>
        <v>177094</v>
      </c>
      <c r="P517" s="51" t="n">
        <f aca="false">F517-H517</f>
        <v>168553</v>
      </c>
      <c r="Q517" s="51" t="n">
        <f aca="false">F517-H517-J517</f>
        <v>109902</v>
      </c>
      <c r="R517" s="51" t="n">
        <f aca="false">G517-I517-K517</f>
        <v>113625</v>
      </c>
      <c r="S517" s="51" t="n">
        <f aca="false">R517-Q517</f>
        <v>3723</v>
      </c>
      <c r="T517" s="52" t="n">
        <f aca="false">IF(Q517=0,0,S517/Q517)</f>
        <v>0.0338756346563302</v>
      </c>
      <c r="U517" s="51" t="str">
        <f aca="false">IF(AND(Q517&gt;0,T517&lt;-0.15),"ADVERSE","")</f>
        <v/>
      </c>
    </row>
    <row r="518" customFormat="false" ht="15" hidden="false" customHeight="false" outlineLevel="0" collapsed="false">
      <c r="A518" s="47" t="s">
        <v>134</v>
      </c>
      <c r="B518" s="47" t="s">
        <v>137</v>
      </c>
      <c r="C518" s="48" t="n">
        <v>45261</v>
      </c>
      <c r="D518" s="47" t="s">
        <v>35</v>
      </c>
      <c r="E518" s="47" t="s">
        <v>42</v>
      </c>
      <c r="F518" s="49" t="n">
        <v>361270</v>
      </c>
      <c r="G518" s="49" t="n">
        <v>396639</v>
      </c>
      <c r="H518" s="49" t="n">
        <v>196712</v>
      </c>
      <c r="I518" s="49" t="n">
        <v>214073</v>
      </c>
      <c r="J518" s="49" t="n">
        <v>57261</v>
      </c>
      <c r="K518" s="49" t="n">
        <v>62725</v>
      </c>
      <c r="L518" s="50" t="n">
        <v>34.2</v>
      </c>
      <c r="M518" s="51" t="n">
        <f aca="false">G518-F518</f>
        <v>35369</v>
      </c>
      <c r="N518" s="52" t="n">
        <f aca="false">IF(F518=0,0,M518/F518)</f>
        <v>0.0979018462645667</v>
      </c>
      <c r="O518" s="51" t="n">
        <f aca="false">G518-I518</f>
        <v>182566</v>
      </c>
      <c r="P518" s="51" t="n">
        <f aca="false">F518-H518</f>
        <v>164558</v>
      </c>
      <c r="Q518" s="51" t="n">
        <f aca="false">F518-H518-J518</f>
        <v>107297</v>
      </c>
      <c r="R518" s="51" t="n">
        <f aca="false">G518-I518-K518</f>
        <v>119841</v>
      </c>
      <c r="S518" s="51" t="n">
        <f aca="false">R518-Q518</f>
        <v>12544</v>
      </c>
      <c r="T518" s="52" t="n">
        <f aca="false">IF(Q518=0,0,S518/Q518)</f>
        <v>0.116909140050514</v>
      </c>
      <c r="U518" s="51" t="str">
        <f aca="false">IF(AND(Q518&gt;0,T518&lt;-0.15),"ADVERSE","")</f>
        <v/>
      </c>
    </row>
    <row r="519" customFormat="false" ht="15" hidden="false" customHeight="false" outlineLevel="0" collapsed="false">
      <c r="A519" s="47" t="s">
        <v>134</v>
      </c>
      <c r="B519" s="47" t="s">
        <v>138</v>
      </c>
      <c r="C519" s="48" t="n">
        <v>45292</v>
      </c>
      <c r="D519" s="47" t="s">
        <v>35</v>
      </c>
      <c r="E519" s="47" t="s">
        <v>42</v>
      </c>
      <c r="F519" s="49" t="n">
        <v>353770</v>
      </c>
      <c r="G519" s="49" t="n">
        <v>392274</v>
      </c>
      <c r="H519" s="49" t="n">
        <v>192628</v>
      </c>
      <c r="I519" s="49" t="n">
        <v>215314</v>
      </c>
      <c r="J519" s="49" t="n">
        <v>56072</v>
      </c>
      <c r="K519" s="49" t="n">
        <v>62583</v>
      </c>
      <c r="L519" s="50" t="n">
        <v>33.8</v>
      </c>
      <c r="M519" s="51" t="n">
        <f aca="false">G519-F519</f>
        <v>38504</v>
      </c>
      <c r="N519" s="52" t="n">
        <f aca="false">IF(F519=0,0,M519/F519)</f>
        <v>0.108839076235973</v>
      </c>
      <c r="O519" s="51" t="n">
        <f aca="false">G519-I519</f>
        <v>176960</v>
      </c>
      <c r="P519" s="51" t="n">
        <f aca="false">F519-H519</f>
        <v>161142</v>
      </c>
      <c r="Q519" s="51" t="n">
        <f aca="false">F519-H519-J519</f>
        <v>105070</v>
      </c>
      <c r="R519" s="51" t="n">
        <f aca="false">G519-I519-K519</f>
        <v>114377</v>
      </c>
      <c r="S519" s="51" t="n">
        <f aca="false">R519-Q519</f>
        <v>9307</v>
      </c>
      <c r="T519" s="52" t="n">
        <f aca="false">IF(Q519=0,0,S519/Q519)</f>
        <v>0.0885790425430665</v>
      </c>
      <c r="U519" s="51" t="str">
        <f aca="false">IF(AND(Q519&gt;0,T519&lt;-0.15),"ADVERSE","")</f>
        <v/>
      </c>
    </row>
    <row r="520" customFormat="false" ht="15" hidden="false" customHeight="false" outlineLevel="0" collapsed="false">
      <c r="A520" s="47" t="s">
        <v>134</v>
      </c>
      <c r="B520" s="47" t="s">
        <v>138</v>
      </c>
      <c r="C520" s="48" t="n">
        <v>45323</v>
      </c>
      <c r="D520" s="47" t="s">
        <v>35</v>
      </c>
      <c r="E520" s="47" t="s">
        <v>42</v>
      </c>
      <c r="F520" s="49" t="n">
        <v>373587</v>
      </c>
      <c r="G520" s="49" t="n">
        <v>388502</v>
      </c>
      <c r="H520" s="49" t="n">
        <v>203418</v>
      </c>
      <c r="I520" s="49" t="n">
        <v>213452</v>
      </c>
      <c r="J520" s="49" t="n">
        <v>59214</v>
      </c>
      <c r="K520" s="49" t="n">
        <v>61018</v>
      </c>
      <c r="L520" s="50" t="n">
        <v>33.9</v>
      </c>
      <c r="M520" s="51" t="n">
        <f aca="false">G520-F520</f>
        <v>14915</v>
      </c>
      <c r="N520" s="52" t="n">
        <f aca="false">IF(F520=0,0,M520/F520)</f>
        <v>0.0399237660839376</v>
      </c>
      <c r="O520" s="51" t="n">
        <f aca="false">G520-I520</f>
        <v>175050</v>
      </c>
      <c r="P520" s="51" t="n">
        <f aca="false">F520-H520</f>
        <v>170169</v>
      </c>
      <c r="Q520" s="51" t="n">
        <f aca="false">F520-H520-J520</f>
        <v>110955</v>
      </c>
      <c r="R520" s="51" t="n">
        <f aca="false">G520-I520-K520</f>
        <v>114032</v>
      </c>
      <c r="S520" s="51" t="n">
        <f aca="false">R520-Q520</f>
        <v>3077</v>
      </c>
      <c r="T520" s="52" t="n">
        <f aca="false">IF(Q520=0,0,S520/Q520)</f>
        <v>0.0277319634085891</v>
      </c>
      <c r="U520" s="51" t="str">
        <f aca="false">IF(AND(Q520&gt;0,T520&lt;-0.15),"ADVERSE","")</f>
        <v/>
      </c>
    </row>
    <row r="521" customFormat="false" ht="15" hidden="false" customHeight="false" outlineLevel="0" collapsed="false">
      <c r="A521" s="47" t="s">
        <v>134</v>
      </c>
      <c r="B521" s="47" t="s">
        <v>138</v>
      </c>
      <c r="C521" s="48" t="n">
        <v>45352</v>
      </c>
      <c r="D521" s="47" t="s">
        <v>35</v>
      </c>
      <c r="E521" s="47" t="s">
        <v>42</v>
      </c>
      <c r="F521" s="49" t="n">
        <v>403611</v>
      </c>
      <c r="G521" s="49" t="n">
        <v>425468</v>
      </c>
      <c r="H521" s="49" t="n">
        <v>219766</v>
      </c>
      <c r="I521" s="49" t="n">
        <v>235658</v>
      </c>
      <c r="J521" s="49" t="n">
        <v>63972</v>
      </c>
      <c r="K521" s="49" t="n">
        <v>71593</v>
      </c>
      <c r="L521" s="50" t="n">
        <v>34.7</v>
      </c>
      <c r="M521" s="51" t="n">
        <f aca="false">G521-F521</f>
        <v>21857</v>
      </c>
      <c r="N521" s="52" t="n">
        <f aca="false">IF(F521=0,0,M521/F521)</f>
        <v>0.0541536281221275</v>
      </c>
      <c r="O521" s="51" t="n">
        <f aca="false">G521-I521</f>
        <v>189810</v>
      </c>
      <c r="P521" s="51" t="n">
        <f aca="false">F521-H521</f>
        <v>183845</v>
      </c>
      <c r="Q521" s="51" t="n">
        <f aca="false">F521-H521-J521</f>
        <v>119873</v>
      </c>
      <c r="R521" s="51" t="n">
        <f aca="false">G521-I521-K521</f>
        <v>118217</v>
      </c>
      <c r="S521" s="51" t="n">
        <f aca="false">R521-Q521</f>
        <v>-1656</v>
      </c>
      <c r="T521" s="52" t="n">
        <f aca="false">IF(Q521=0,0,S521/Q521)</f>
        <v>-0.0138146204733343</v>
      </c>
      <c r="U521" s="51" t="str">
        <f aca="false">IF(AND(Q521&gt;0,T521&lt;-0.15),"ADVERSE","")</f>
        <v/>
      </c>
    </row>
    <row r="522" customFormat="false" ht="15" hidden="false" customHeight="false" outlineLevel="0" collapsed="false">
      <c r="A522" s="47" t="s">
        <v>139</v>
      </c>
      <c r="B522" s="47" t="s">
        <v>135</v>
      </c>
      <c r="C522" s="48" t="n">
        <v>45383</v>
      </c>
      <c r="D522" s="47" t="s">
        <v>35</v>
      </c>
      <c r="E522" s="47" t="s">
        <v>42</v>
      </c>
      <c r="F522" s="49" t="n">
        <v>379821</v>
      </c>
      <c r="G522" s="49" t="n">
        <v>408325</v>
      </c>
      <c r="H522" s="49" t="n">
        <v>206813</v>
      </c>
      <c r="I522" s="49" t="n">
        <v>226745</v>
      </c>
      <c r="J522" s="49" t="n">
        <v>60202</v>
      </c>
      <c r="K522" s="49" t="n">
        <v>63102</v>
      </c>
      <c r="L522" s="50" t="n">
        <v>34.2</v>
      </c>
      <c r="M522" s="51" t="n">
        <f aca="false">G522-F522</f>
        <v>28504</v>
      </c>
      <c r="N522" s="52" t="n">
        <f aca="false">IF(F522=0,0,M522/F522)</f>
        <v>0.0750458768735799</v>
      </c>
      <c r="O522" s="51" t="n">
        <f aca="false">G522-I522</f>
        <v>181580</v>
      </c>
      <c r="P522" s="51" t="n">
        <f aca="false">F522-H522</f>
        <v>173008</v>
      </c>
      <c r="Q522" s="51" t="n">
        <f aca="false">F522-H522-J522</f>
        <v>112806</v>
      </c>
      <c r="R522" s="51" t="n">
        <f aca="false">G522-I522-K522</f>
        <v>118478</v>
      </c>
      <c r="S522" s="51" t="n">
        <f aca="false">R522-Q522</f>
        <v>5672</v>
      </c>
      <c r="T522" s="52" t="n">
        <f aca="false">IF(Q522=0,0,S522/Q522)</f>
        <v>0.0502810134212719</v>
      </c>
      <c r="U522" s="51" t="str">
        <f aca="false">IF(AND(Q522&gt;0,T522&lt;-0.15),"ADVERSE","")</f>
        <v/>
      </c>
    </row>
    <row r="523" customFormat="false" ht="15" hidden="false" customHeight="false" outlineLevel="0" collapsed="false">
      <c r="A523" s="47" t="s">
        <v>139</v>
      </c>
      <c r="B523" s="47" t="s">
        <v>135</v>
      </c>
      <c r="C523" s="48" t="n">
        <v>45413</v>
      </c>
      <c r="D523" s="47" t="s">
        <v>35</v>
      </c>
      <c r="E523" s="47" t="s">
        <v>42</v>
      </c>
      <c r="F523" s="49" t="n">
        <v>368667</v>
      </c>
      <c r="G523" s="49" t="n">
        <v>381952</v>
      </c>
      <c r="H523" s="49" t="n">
        <v>200739</v>
      </c>
      <c r="I523" s="49" t="n">
        <v>209326</v>
      </c>
      <c r="J523" s="49" t="n">
        <v>58434</v>
      </c>
      <c r="K523" s="49" t="n">
        <v>58223</v>
      </c>
      <c r="L523" s="50" t="n">
        <v>35.7</v>
      </c>
      <c r="M523" s="51" t="n">
        <f aca="false">G523-F523</f>
        <v>13285</v>
      </c>
      <c r="N523" s="52" t="n">
        <f aca="false">IF(F523=0,0,M523/F523)</f>
        <v>0.0360352296245663</v>
      </c>
      <c r="O523" s="51" t="n">
        <f aca="false">G523-I523</f>
        <v>172626</v>
      </c>
      <c r="P523" s="51" t="n">
        <f aca="false">F523-H523</f>
        <v>167928</v>
      </c>
      <c r="Q523" s="51" t="n">
        <f aca="false">F523-H523-J523</f>
        <v>109494</v>
      </c>
      <c r="R523" s="51" t="n">
        <f aca="false">G523-I523-K523</f>
        <v>114403</v>
      </c>
      <c r="S523" s="51" t="n">
        <f aca="false">R523-Q523</f>
        <v>4909</v>
      </c>
      <c r="T523" s="52" t="n">
        <f aca="false">IF(Q523=0,0,S523/Q523)</f>
        <v>0.0448335068588233</v>
      </c>
      <c r="U523" s="51" t="str">
        <f aca="false">IF(AND(Q523&gt;0,T523&lt;-0.15),"ADVERSE","")</f>
        <v/>
      </c>
    </row>
    <row r="524" customFormat="false" ht="15" hidden="false" customHeight="false" outlineLevel="0" collapsed="false">
      <c r="A524" s="47" t="s">
        <v>139</v>
      </c>
      <c r="B524" s="47" t="s">
        <v>135</v>
      </c>
      <c r="C524" s="48" t="n">
        <v>45444</v>
      </c>
      <c r="D524" s="47" t="s">
        <v>35</v>
      </c>
      <c r="E524" s="47" t="s">
        <v>42</v>
      </c>
      <c r="F524" s="49" t="n">
        <v>392125</v>
      </c>
      <c r="G524" s="49" t="n">
        <v>402669</v>
      </c>
      <c r="H524" s="49" t="n">
        <v>213512</v>
      </c>
      <c r="I524" s="49" t="n">
        <v>221454</v>
      </c>
      <c r="J524" s="49" t="n">
        <v>62152</v>
      </c>
      <c r="K524" s="49" t="n">
        <v>64779</v>
      </c>
      <c r="L524" s="50" t="n">
        <v>36</v>
      </c>
      <c r="M524" s="51" t="n">
        <f aca="false">G524-F524</f>
        <v>10544</v>
      </c>
      <c r="N524" s="52" t="n">
        <f aca="false">IF(F524=0,0,M524/F524)</f>
        <v>0.026889384762512</v>
      </c>
      <c r="O524" s="51" t="n">
        <f aca="false">G524-I524</f>
        <v>181215</v>
      </c>
      <c r="P524" s="51" t="n">
        <f aca="false">F524-H524</f>
        <v>178613</v>
      </c>
      <c r="Q524" s="51" t="n">
        <f aca="false">F524-H524-J524</f>
        <v>116461</v>
      </c>
      <c r="R524" s="51" t="n">
        <f aca="false">G524-I524-K524</f>
        <v>116436</v>
      </c>
      <c r="S524" s="51" t="n">
        <f aca="false">R524-Q524</f>
        <v>-25</v>
      </c>
      <c r="T524" s="52" t="n">
        <f aca="false">IF(Q524=0,0,S524/Q524)</f>
        <v>-0.000214664136492045</v>
      </c>
      <c r="U524" s="51" t="str">
        <f aca="false">IF(AND(Q524&gt;0,T524&lt;-0.15),"ADVERSE","")</f>
        <v/>
      </c>
    </row>
    <row r="525" customFormat="false" ht="15" hidden="false" customHeight="false" outlineLevel="0" collapsed="false">
      <c r="A525" s="47" t="s">
        <v>139</v>
      </c>
      <c r="B525" s="47" t="s">
        <v>136</v>
      </c>
      <c r="C525" s="48" t="n">
        <v>45474</v>
      </c>
      <c r="D525" s="47" t="s">
        <v>35</v>
      </c>
      <c r="E525" s="47" t="s">
        <v>42</v>
      </c>
      <c r="F525" s="49" t="n">
        <v>388131</v>
      </c>
      <c r="G525" s="49" t="n">
        <v>404954</v>
      </c>
      <c r="H525" s="49" t="n">
        <v>211337</v>
      </c>
      <c r="I525" s="49" t="n">
        <v>218823</v>
      </c>
      <c r="J525" s="49" t="n">
        <v>61519</v>
      </c>
      <c r="K525" s="49" t="n">
        <v>65788</v>
      </c>
      <c r="L525" s="50" t="n">
        <v>35.4</v>
      </c>
      <c r="M525" s="51" t="n">
        <f aca="false">G525-F525</f>
        <v>16823</v>
      </c>
      <c r="N525" s="52" t="n">
        <f aca="false">IF(F525=0,0,M525/F525)</f>
        <v>0.0433436133676516</v>
      </c>
      <c r="O525" s="51" t="n">
        <f aca="false">G525-I525</f>
        <v>186131</v>
      </c>
      <c r="P525" s="51" t="n">
        <f aca="false">F525-H525</f>
        <v>176794</v>
      </c>
      <c r="Q525" s="51" t="n">
        <f aca="false">F525-H525-J525</f>
        <v>115275</v>
      </c>
      <c r="R525" s="51" t="n">
        <f aca="false">G525-I525-K525</f>
        <v>120343</v>
      </c>
      <c r="S525" s="51" t="n">
        <f aca="false">R525-Q525</f>
        <v>5068</v>
      </c>
      <c r="T525" s="52" t="n">
        <f aca="false">IF(Q525=0,0,S525/Q525)</f>
        <v>0.0439644328779007</v>
      </c>
      <c r="U525" s="51" t="str">
        <f aca="false">IF(AND(Q525&gt;0,T525&lt;-0.15),"ADVERSE","")</f>
        <v/>
      </c>
    </row>
    <row r="526" customFormat="false" ht="15" hidden="false" customHeight="false" outlineLevel="0" collapsed="false">
      <c r="A526" s="47" t="s">
        <v>139</v>
      </c>
      <c r="B526" s="47" t="s">
        <v>136</v>
      </c>
      <c r="C526" s="48" t="n">
        <v>45505</v>
      </c>
      <c r="D526" s="47" t="s">
        <v>35</v>
      </c>
      <c r="E526" s="47" t="s">
        <v>42</v>
      </c>
      <c r="F526" s="49" t="n">
        <v>390164</v>
      </c>
      <c r="G526" s="49" t="n">
        <v>421925</v>
      </c>
      <c r="H526" s="49" t="n">
        <v>212445</v>
      </c>
      <c r="I526" s="49" t="n">
        <v>230207</v>
      </c>
      <c r="J526" s="49" t="n">
        <v>61841</v>
      </c>
      <c r="K526" s="49" t="n">
        <v>68057</v>
      </c>
      <c r="L526" s="50" t="n">
        <v>36.4</v>
      </c>
      <c r="M526" s="51" t="n">
        <f aca="false">G526-F526</f>
        <v>31761</v>
      </c>
      <c r="N526" s="52" t="n">
        <f aca="false">IF(F526=0,0,M526/F526)</f>
        <v>0.0814042300160958</v>
      </c>
      <c r="O526" s="51" t="n">
        <f aca="false">G526-I526</f>
        <v>191718</v>
      </c>
      <c r="P526" s="51" t="n">
        <f aca="false">F526-H526</f>
        <v>177719</v>
      </c>
      <c r="Q526" s="51" t="n">
        <f aca="false">F526-H526-J526</f>
        <v>115878</v>
      </c>
      <c r="R526" s="51" t="n">
        <f aca="false">G526-I526-K526</f>
        <v>123661</v>
      </c>
      <c r="S526" s="51" t="n">
        <f aca="false">R526-Q526</f>
        <v>7783</v>
      </c>
      <c r="T526" s="52" t="n">
        <f aca="false">IF(Q526=0,0,S526/Q526)</f>
        <v>0.0671654671292221</v>
      </c>
      <c r="U526" s="51" t="str">
        <f aca="false">IF(AND(Q526&gt;0,T526&lt;-0.15),"ADVERSE","")</f>
        <v/>
      </c>
    </row>
    <row r="527" customFormat="false" ht="15" hidden="false" customHeight="false" outlineLevel="0" collapsed="false">
      <c r="A527" s="47" t="s">
        <v>139</v>
      </c>
      <c r="B527" s="47" t="s">
        <v>136</v>
      </c>
      <c r="C527" s="48" t="n">
        <v>45536</v>
      </c>
      <c r="D527" s="47" t="s">
        <v>35</v>
      </c>
      <c r="E527" s="47" t="s">
        <v>42</v>
      </c>
      <c r="F527" s="49" t="n">
        <v>396410</v>
      </c>
      <c r="G527" s="49" t="n">
        <v>428501</v>
      </c>
      <c r="H527" s="49" t="n">
        <v>215845</v>
      </c>
      <c r="I527" s="49" t="n">
        <v>236984</v>
      </c>
      <c r="J527" s="49" t="n">
        <v>62831</v>
      </c>
      <c r="K527" s="49" t="n">
        <v>69318</v>
      </c>
      <c r="L527" s="50" t="n">
        <v>37.1</v>
      </c>
      <c r="M527" s="51" t="n">
        <f aca="false">G527-F527</f>
        <v>32091</v>
      </c>
      <c r="N527" s="52" t="n">
        <f aca="false">IF(F527=0,0,M527/F527)</f>
        <v>0.0809540627128478</v>
      </c>
      <c r="O527" s="51" t="n">
        <f aca="false">G527-I527</f>
        <v>191517</v>
      </c>
      <c r="P527" s="51" t="n">
        <f aca="false">F527-H527</f>
        <v>180565</v>
      </c>
      <c r="Q527" s="51" t="n">
        <f aca="false">F527-H527-J527</f>
        <v>117734</v>
      </c>
      <c r="R527" s="51" t="n">
        <f aca="false">G527-I527-K527</f>
        <v>122199</v>
      </c>
      <c r="S527" s="51" t="n">
        <f aca="false">R527-Q527</f>
        <v>4465</v>
      </c>
      <c r="T527" s="52" t="n">
        <f aca="false">IF(Q527=0,0,S527/Q527)</f>
        <v>0.0379244738138516</v>
      </c>
      <c r="U527" s="51" t="str">
        <f aca="false">IF(AND(Q527&gt;0,T527&lt;-0.15),"ADVERSE","")</f>
        <v/>
      </c>
    </row>
    <row r="528" customFormat="false" ht="15" hidden="false" customHeight="false" outlineLevel="0" collapsed="false">
      <c r="A528" s="47" t="s">
        <v>139</v>
      </c>
      <c r="B528" s="47" t="s">
        <v>137</v>
      </c>
      <c r="C528" s="48" t="n">
        <v>45566</v>
      </c>
      <c r="D528" s="47" t="s">
        <v>35</v>
      </c>
      <c r="E528" s="47" t="s">
        <v>42</v>
      </c>
      <c r="F528" s="49" t="n">
        <v>413330</v>
      </c>
      <c r="G528" s="49" t="n">
        <v>433151</v>
      </c>
      <c r="H528" s="49" t="n">
        <v>225058</v>
      </c>
      <c r="I528" s="49" t="n">
        <v>240161</v>
      </c>
      <c r="J528" s="49" t="n">
        <v>65513</v>
      </c>
      <c r="K528" s="49" t="n">
        <v>65333</v>
      </c>
      <c r="L528" s="50" t="n">
        <v>37</v>
      </c>
      <c r="M528" s="51" t="n">
        <f aca="false">G528-F528</f>
        <v>19821</v>
      </c>
      <c r="N528" s="52" t="n">
        <f aca="false">IF(F528=0,0,M528/F528)</f>
        <v>0.0479544189872499</v>
      </c>
      <c r="O528" s="51" t="n">
        <f aca="false">G528-I528</f>
        <v>192990</v>
      </c>
      <c r="P528" s="51" t="n">
        <f aca="false">F528-H528</f>
        <v>188272</v>
      </c>
      <c r="Q528" s="51" t="n">
        <f aca="false">F528-H528-J528</f>
        <v>122759</v>
      </c>
      <c r="R528" s="51" t="n">
        <f aca="false">G528-I528-K528</f>
        <v>127657</v>
      </c>
      <c r="S528" s="51" t="n">
        <f aca="false">R528-Q528</f>
        <v>4898</v>
      </c>
      <c r="T528" s="52" t="n">
        <f aca="false">IF(Q528=0,0,S528/Q528)</f>
        <v>0.0398993149178472</v>
      </c>
      <c r="U528" s="51" t="str">
        <f aca="false">IF(AND(Q528&gt;0,T528&lt;-0.15),"ADVERSE","")</f>
        <v/>
      </c>
    </row>
    <row r="529" customFormat="false" ht="15" hidden="false" customHeight="false" outlineLevel="0" collapsed="false">
      <c r="A529" s="47" t="s">
        <v>139</v>
      </c>
      <c r="B529" s="47" t="s">
        <v>137</v>
      </c>
      <c r="C529" s="48" t="n">
        <v>45597</v>
      </c>
      <c r="D529" s="47" t="s">
        <v>35</v>
      </c>
      <c r="E529" s="47" t="s">
        <v>42</v>
      </c>
      <c r="F529" s="49" t="n">
        <v>422618</v>
      </c>
      <c r="G529" s="49" t="n">
        <v>444554</v>
      </c>
      <c r="H529" s="49" t="n">
        <v>230115</v>
      </c>
      <c r="I529" s="49" t="n">
        <v>243255</v>
      </c>
      <c r="J529" s="49" t="n">
        <v>66985</v>
      </c>
      <c r="K529" s="49" t="n">
        <v>70936</v>
      </c>
      <c r="L529" s="50" t="n">
        <v>36.8</v>
      </c>
      <c r="M529" s="51" t="n">
        <f aca="false">G529-F529</f>
        <v>21936</v>
      </c>
      <c r="N529" s="52" t="n">
        <f aca="false">IF(F529=0,0,M529/F529)</f>
        <v>0.0519050300744408</v>
      </c>
      <c r="O529" s="51" t="n">
        <f aca="false">G529-I529</f>
        <v>201299</v>
      </c>
      <c r="P529" s="51" t="n">
        <f aca="false">F529-H529</f>
        <v>192503</v>
      </c>
      <c r="Q529" s="51" t="n">
        <f aca="false">F529-H529-J529</f>
        <v>125518</v>
      </c>
      <c r="R529" s="51" t="n">
        <f aca="false">G529-I529-K529</f>
        <v>130363</v>
      </c>
      <c r="S529" s="51" t="n">
        <f aca="false">R529-Q529</f>
        <v>4845</v>
      </c>
      <c r="T529" s="52" t="n">
        <f aca="false">IF(Q529=0,0,S529/Q529)</f>
        <v>0.038600041428321</v>
      </c>
      <c r="U529" s="51" t="str">
        <f aca="false">IF(AND(Q529&gt;0,T529&lt;-0.15),"ADVERSE","")</f>
        <v/>
      </c>
    </row>
    <row r="530" customFormat="false" ht="15" hidden="false" customHeight="false" outlineLevel="0" collapsed="false">
      <c r="A530" s="47" t="s">
        <v>139</v>
      </c>
      <c r="B530" s="47" t="s">
        <v>137</v>
      </c>
      <c r="C530" s="48" t="n">
        <v>45627</v>
      </c>
      <c r="D530" s="47" t="s">
        <v>35</v>
      </c>
      <c r="E530" s="47" t="s">
        <v>42</v>
      </c>
      <c r="F530" s="49" t="n">
        <v>418955</v>
      </c>
      <c r="G530" s="49" t="n">
        <v>439020</v>
      </c>
      <c r="H530" s="49" t="n">
        <v>228121</v>
      </c>
      <c r="I530" s="49" t="n">
        <v>240967</v>
      </c>
      <c r="J530" s="49" t="n">
        <v>66404</v>
      </c>
      <c r="K530" s="49" t="n">
        <v>70731</v>
      </c>
      <c r="L530" s="50" t="n">
        <v>38.7</v>
      </c>
      <c r="M530" s="51" t="n">
        <f aca="false">G530-F530</f>
        <v>20065</v>
      </c>
      <c r="N530" s="52" t="n">
        <f aca="false">IF(F530=0,0,M530/F530)</f>
        <v>0.0478929717988806</v>
      </c>
      <c r="O530" s="51" t="n">
        <f aca="false">G530-I530</f>
        <v>198053</v>
      </c>
      <c r="P530" s="51" t="n">
        <f aca="false">F530-H530</f>
        <v>190834</v>
      </c>
      <c r="Q530" s="51" t="n">
        <f aca="false">F530-H530-J530</f>
        <v>124430</v>
      </c>
      <c r="R530" s="51" t="n">
        <f aca="false">G530-I530-K530</f>
        <v>127322</v>
      </c>
      <c r="S530" s="51" t="n">
        <f aca="false">R530-Q530</f>
        <v>2892</v>
      </c>
      <c r="T530" s="52" t="n">
        <f aca="false">IF(Q530=0,0,S530/Q530)</f>
        <v>0.023241983444507</v>
      </c>
      <c r="U530" s="51" t="str">
        <f aca="false">IF(AND(Q530&gt;0,T530&lt;-0.15),"ADVERSE","")</f>
        <v/>
      </c>
    </row>
    <row r="531" customFormat="false" ht="15" hidden="false" customHeight="false" outlineLevel="0" collapsed="false">
      <c r="A531" s="47" t="s">
        <v>139</v>
      </c>
      <c r="B531" s="47" t="s">
        <v>138</v>
      </c>
      <c r="C531" s="48" t="n">
        <v>45658</v>
      </c>
      <c r="D531" s="47" t="s">
        <v>35</v>
      </c>
      <c r="E531" s="47" t="s">
        <v>42</v>
      </c>
      <c r="F531" s="49" t="n">
        <v>407425</v>
      </c>
      <c r="G531" s="49" t="n">
        <v>448534</v>
      </c>
      <c r="H531" s="49" t="n">
        <v>221843</v>
      </c>
      <c r="I531" s="49" t="n">
        <v>244503</v>
      </c>
      <c r="J531" s="49" t="n">
        <v>64577</v>
      </c>
      <c r="K531" s="49" t="n">
        <v>72813</v>
      </c>
      <c r="L531" s="50" t="n">
        <v>38.1</v>
      </c>
      <c r="M531" s="51" t="n">
        <f aca="false">G531-F531</f>
        <v>41109</v>
      </c>
      <c r="N531" s="52" t="n">
        <f aca="false">IF(F531=0,0,M531/F531)</f>
        <v>0.100899552064797</v>
      </c>
      <c r="O531" s="51" t="n">
        <f aca="false">G531-I531</f>
        <v>204031</v>
      </c>
      <c r="P531" s="51" t="n">
        <f aca="false">F531-H531</f>
        <v>185582</v>
      </c>
      <c r="Q531" s="51" t="n">
        <f aca="false">F531-H531-J531</f>
        <v>121005</v>
      </c>
      <c r="R531" s="51" t="n">
        <f aca="false">G531-I531-K531</f>
        <v>131218</v>
      </c>
      <c r="S531" s="51" t="n">
        <f aca="false">R531-Q531</f>
        <v>10213</v>
      </c>
      <c r="T531" s="52" t="n">
        <f aca="false">IF(Q531=0,0,S531/Q531)</f>
        <v>0.0844014710135945</v>
      </c>
      <c r="U531" s="51" t="str">
        <f aca="false">IF(AND(Q531&gt;0,T531&lt;-0.15),"ADVERSE","")</f>
        <v/>
      </c>
    </row>
    <row r="532" customFormat="false" ht="15" hidden="false" customHeight="false" outlineLevel="0" collapsed="false">
      <c r="A532" s="47" t="s">
        <v>139</v>
      </c>
      <c r="B532" s="47" t="s">
        <v>138</v>
      </c>
      <c r="C532" s="48" t="n">
        <v>45689</v>
      </c>
      <c r="D532" s="47" t="s">
        <v>35</v>
      </c>
      <c r="E532" s="47" t="s">
        <v>42</v>
      </c>
      <c r="F532" s="49" t="n">
        <v>420714</v>
      </c>
      <c r="G532" s="49" t="n">
        <v>469620</v>
      </c>
      <c r="H532" s="49" t="n">
        <v>229079</v>
      </c>
      <c r="I532" s="49" t="n">
        <v>250893</v>
      </c>
      <c r="J532" s="49" t="n">
        <v>66683</v>
      </c>
      <c r="K532" s="49" t="n">
        <v>69990</v>
      </c>
      <c r="L532" s="50" t="n">
        <v>38.5</v>
      </c>
      <c r="M532" s="51" t="n">
        <f aca="false">G532-F532</f>
        <v>48906</v>
      </c>
      <c r="N532" s="52" t="n">
        <f aca="false">IF(F532=0,0,M532/F532)</f>
        <v>0.116245240234459</v>
      </c>
      <c r="O532" s="51" t="n">
        <f aca="false">G532-I532</f>
        <v>218727</v>
      </c>
      <c r="P532" s="51" t="n">
        <f aca="false">F532-H532</f>
        <v>191635</v>
      </c>
      <c r="Q532" s="51" t="n">
        <f aca="false">F532-H532-J532</f>
        <v>124952</v>
      </c>
      <c r="R532" s="51" t="n">
        <f aca="false">G532-I532-K532</f>
        <v>148737</v>
      </c>
      <c r="S532" s="51" t="n">
        <f aca="false">R532-Q532</f>
        <v>23785</v>
      </c>
      <c r="T532" s="52" t="n">
        <f aca="false">IF(Q532=0,0,S532/Q532)</f>
        <v>0.190353095588706</v>
      </c>
      <c r="U532" s="51" t="str">
        <f aca="false">IF(AND(Q532&gt;0,T532&lt;-0.15),"ADVERSE","")</f>
        <v/>
      </c>
    </row>
    <row r="533" customFormat="false" ht="15" hidden="false" customHeight="false" outlineLevel="0" collapsed="false">
      <c r="A533" s="47" t="s">
        <v>139</v>
      </c>
      <c r="B533" s="47" t="s">
        <v>138</v>
      </c>
      <c r="C533" s="48" t="n">
        <v>45717</v>
      </c>
      <c r="D533" s="47" t="s">
        <v>35</v>
      </c>
      <c r="E533" s="47" t="s">
        <v>42</v>
      </c>
      <c r="F533" s="49" t="n">
        <v>462527</v>
      </c>
      <c r="G533" s="49" t="n">
        <v>480848</v>
      </c>
      <c r="H533" s="49" t="n">
        <v>251846</v>
      </c>
      <c r="I533" s="49" t="n">
        <v>253372</v>
      </c>
      <c r="J533" s="49" t="n">
        <v>73310</v>
      </c>
      <c r="K533" s="49" t="n">
        <v>76843</v>
      </c>
      <c r="L533" s="50" t="n">
        <v>39.9</v>
      </c>
      <c r="M533" s="51" t="n">
        <f aca="false">G533-F533</f>
        <v>18321</v>
      </c>
      <c r="N533" s="52" t="n">
        <f aca="false">IF(F533=0,0,M533/F533)</f>
        <v>0.0396106605668426</v>
      </c>
      <c r="O533" s="51" t="n">
        <f aca="false">G533-I533</f>
        <v>227476</v>
      </c>
      <c r="P533" s="51" t="n">
        <f aca="false">F533-H533</f>
        <v>210681</v>
      </c>
      <c r="Q533" s="51" t="n">
        <f aca="false">F533-H533-J533</f>
        <v>137371</v>
      </c>
      <c r="R533" s="51" t="n">
        <f aca="false">G533-I533-K533</f>
        <v>150633</v>
      </c>
      <c r="S533" s="51" t="n">
        <f aca="false">R533-Q533</f>
        <v>13262</v>
      </c>
      <c r="T533" s="52" t="n">
        <f aca="false">IF(Q533=0,0,S533/Q533)</f>
        <v>0.0965414825545421</v>
      </c>
      <c r="U533" s="51" t="str">
        <f aca="false">IF(AND(Q533&gt;0,T533&lt;-0.15),"ADVERSE","")</f>
        <v/>
      </c>
    </row>
    <row r="534" customFormat="false" ht="15" hidden="false" customHeight="false" outlineLevel="0" collapsed="false">
      <c r="A534" s="47" t="s">
        <v>3</v>
      </c>
      <c r="B534" s="47" t="s">
        <v>135</v>
      </c>
      <c r="C534" s="48" t="n">
        <v>45748</v>
      </c>
      <c r="D534" s="47" t="s">
        <v>35</v>
      </c>
      <c r="E534" s="47" t="s">
        <v>42</v>
      </c>
      <c r="F534" s="49" t="n">
        <v>437715</v>
      </c>
      <c r="G534" s="49" t="n">
        <v>456804</v>
      </c>
      <c r="H534" s="49" t="n">
        <v>238336</v>
      </c>
      <c r="I534" s="49" t="n">
        <v>254792</v>
      </c>
      <c r="J534" s="49" t="n">
        <v>69378</v>
      </c>
      <c r="K534" s="49" t="n">
        <v>70746</v>
      </c>
      <c r="L534" s="50" t="n">
        <v>40.4</v>
      </c>
      <c r="M534" s="51" t="n">
        <f aca="false">G534-F534</f>
        <v>19089</v>
      </c>
      <c r="N534" s="52" t="n">
        <f aca="false">IF(F534=0,0,M534/F534)</f>
        <v>0.0436105685206127</v>
      </c>
      <c r="O534" s="51" t="n">
        <f aca="false">G534-I534</f>
        <v>202012</v>
      </c>
      <c r="P534" s="51" t="n">
        <f aca="false">F534-H534</f>
        <v>199379</v>
      </c>
      <c r="Q534" s="51" t="n">
        <f aca="false">F534-H534-J534</f>
        <v>130001</v>
      </c>
      <c r="R534" s="51" t="n">
        <f aca="false">G534-I534-K534</f>
        <v>131266</v>
      </c>
      <c r="S534" s="51" t="n">
        <f aca="false">R534-Q534</f>
        <v>1265</v>
      </c>
      <c r="T534" s="52" t="n">
        <f aca="false">IF(Q534=0,0,S534/Q534)</f>
        <v>0.00973069437927401</v>
      </c>
      <c r="U534" s="51" t="str">
        <f aca="false">IF(AND(Q534&gt;0,T534&lt;-0.15),"ADVERSE","")</f>
        <v/>
      </c>
    </row>
    <row r="535" customFormat="false" ht="15" hidden="false" customHeight="false" outlineLevel="0" collapsed="false">
      <c r="A535" s="47" t="s">
        <v>3</v>
      </c>
      <c r="B535" s="47" t="s">
        <v>135</v>
      </c>
      <c r="C535" s="48" t="n">
        <v>45778</v>
      </c>
      <c r="D535" s="47" t="s">
        <v>35</v>
      </c>
      <c r="E535" s="47" t="s">
        <v>42</v>
      </c>
      <c r="F535" s="49" t="n">
        <v>440972</v>
      </c>
      <c r="G535" s="49" t="n">
        <v>480946</v>
      </c>
      <c r="H535" s="49" t="n">
        <v>240109</v>
      </c>
      <c r="I535" s="49" t="n">
        <v>279698</v>
      </c>
      <c r="J535" s="49" t="n">
        <v>69894</v>
      </c>
      <c r="K535" s="49" t="n">
        <v>76926</v>
      </c>
      <c r="L535" s="50" t="n">
        <v>40.1</v>
      </c>
      <c r="M535" s="51" t="n">
        <f aca="false">G535-F535</f>
        <v>39974</v>
      </c>
      <c r="N535" s="52" t="n">
        <f aca="false">IF(F535=0,0,M535/F535)</f>
        <v>0.0906497464691636</v>
      </c>
      <c r="O535" s="51" t="n">
        <f aca="false">G535-I535</f>
        <v>201248</v>
      </c>
      <c r="P535" s="51" t="n">
        <f aca="false">F535-H535</f>
        <v>200863</v>
      </c>
      <c r="Q535" s="51" t="n">
        <f aca="false">F535-H535-J535</f>
        <v>130969</v>
      </c>
      <c r="R535" s="51" t="n">
        <f aca="false">G535-I535-K535</f>
        <v>124322</v>
      </c>
      <c r="S535" s="51" t="n">
        <f aca="false">R535-Q535</f>
        <v>-6647</v>
      </c>
      <c r="T535" s="52" t="n">
        <f aca="false">IF(Q535=0,0,S535/Q535)</f>
        <v>-0.0507524681413159</v>
      </c>
      <c r="U535" s="51" t="str">
        <f aca="false">IF(AND(Q535&gt;0,T535&lt;-0.15),"ADVERSE","")</f>
        <v/>
      </c>
    </row>
    <row r="536" customFormat="false" ht="15" hidden="false" customHeight="false" outlineLevel="0" collapsed="false">
      <c r="A536" s="47" t="s">
        <v>3</v>
      </c>
      <c r="B536" s="47" t="s">
        <v>135</v>
      </c>
      <c r="C536" s="48" t="n">
        <v>45809</v>
      </c>
      <c r="D536" s="47" t="s">
        <v>35</v>
      </c>
      <c r="E536" s="47" t="s">
        <v>42</v>
      </c>
      <c r="F536" s="49" t="n">
        <v>459025</v>
      </c>
      <c r="G536" s="49" t="n">
        <v>487550</v>
      </c>
      <c r="H536" s="49" t="n">
        <v>249939</v>
      </c>
      <c r="I536" s="49" t="n">
        <v>278175</v>
      </c>
      <c r="J536" s="49" t="n">
        <v>72755</v>
      </c>
      <c r="K536" s="49" t="n">
        <v>75399</v>
      </c>
      <c r="L536" s="50" t="n">
        <v>40</v>
      </c>
      <c r="M536" s="51" t="n">
        <f aca="false">G536-F536</f>
        <v>28525</v>
      </c>
      <c r="N536" s="52" t="n">
        <f aca="false">IF(F536=0,0,M536/F536)</f>
        <v>0.0621425848265345</v>
      </c>
      <c r="O536" s="51" t="n">
        <f aca="false">G536-I536</f>
        <v>209375</v>
      </c>
      <c r="P536" s="51" t="n">
        <f aca="false">F536-H536</f>
        <v>209086</v>
      </c>
      <c r="Q536" s="51" t="n">
        <f aca="false">F536-H536-J536</f>
        <v>136331</v>
      </c>
      <c r="R536" s="51" t="n">
        <f aca="false">G536-I536-K536</f>
        <v>133976</v>
      </c>
      <c r="S536" s="51" t="n">
        <f aca="false">R536-Q536</f>
        <v>-2355</v>
      </c>
      <c r="T536" s="52" t="n">
        <f aca="false">IF(Q536=0,0,S536/Q536)</f>
        <v>-0.0172741342761368</v>
      </c>
      <c r="U536" s="51" t="str">
        <f aca="false">IF(AND(Q536&gt;0,T536&lt;-0.15),"ADVERSE","")</f>
        <v/>
      </c>
    </row>
    <row r="537" customFormat="false" ht="15" hidden="false" customHeight="false" outlineLevel="0" collapsed="false">
      <c r="A537" s="47" t="s">
        <v>3</v>
      </c>
      <c r="B537" s="47" t="s">
        <v>136</v>
      </c>
      <c r="C537" s="48" t="n">
        <v>45839</v>
      </c>
      <c r="D537" s="47" t="s">
        <v>35</v>
      </c>
      <c r="E537" s="47" t="s">
        <v>42</v>
      </c>
      <c r="F537" s="49" t="n">
        <v>466032</v>
      </c>
      <c r="G537" s="49" t="n">
        <v>502985</v>
      </c>
      <c r="H537" s="49" t="n">
        <v>253755</v>
      </c>
      <c r="I537" s="49" t="n">
        <v>285070</v>
      </c>
      <c r="J537" s="49" t="n">
        <v>73866</v>
      </c>
      <c r="K537" s="49" t="n">
        <v>82136</v>
      </c>
      <c r="L537" s="50" t="n">
        <v>40.8</v>
      </c>
      <c r="M537" s="51" t="n">
        <f aca="false">G537-F537</f>
        <v>36953</v>
      </c>
      <c r="N537" s="52" t="n">
        <f aca="false">IF(F537=0,0,M537/F537)</f>
        <v>0.0792928382600337</v>
      </c>
      <c r="O537" s="51" t="n">
        <f aca="false">G537-I537</f>
        <v>217915</v>
      </c>
      <c r="P537" s="51" t="n">
        <f aca="false">F537-H537</f>
        <v>212277</v>
      </c>
      <c r="Q537" s="51" t="n">
        <f aca="false">F537-H537-J537</f>
        <v>138411</v>
      </c>
      <c r="R537" s="51" t="n">
        <f aca="false">G537-I537-K537</f>
        <v>135779</v>
      </c>
      <c r="S537" s="51" t="n">
        <f aca="false">R537-Q537</f>
        <v>-2632</v>
      </c>
      <c r="T537" s="52" t="n">
        <f aca="false">IF(Q537=0,0,S537/Q537)</f>
        <v>-0.0190158296667172</v>
      </c>
      <c r="U537" s="51" t="str">
        <f aca="false">IF(AND(Q537&gt;0,T537&lt;-0.15),"ADVERSE","")</f>
        <v/>
      </c>
    </row>
    <row r="538" customFormat="false" ht="15" hidden="false" customHeight="false" outlineLevel="0" collapsed="false">
      <c r="A538" s="47" t="s">
        <v>3</v>
      </c>
      <c r="B538" s="47" t="s">
        <v>136</v>
      </c>
      <c r="C538" s="48" t="n">
        <v>45870</v>
      </c>
      <c r="D538" s="47" t="s">
        <v>35</v>
      </c>
      <c r="E538" s="47" t="s">
        <v>42</v>
      </c>
      <c r="F538" s="49" t="n">
        <v>454918</v>
      </c>
      <c r="G538" s="49" t="n">
        <v>493720</v>
      </c>
      <c r="H538" s="49" t="n">
        <v>247703</v>
      </c>
      <c r="I538" s="49" t="n">
        <v>274431</v>
      </c>
      <c r="J538" s="49" t="n">
        <v>72105</v>
      </c>
      <c r="K538" s="49" t="n">
        <v>75269</v>
      </c>
      <c r="L538" s="50" t="n">
        <v>41.5</v>
      </c>
      <c r="M538" s="51" t="n">
        <f aca="false">G538-F538</f>
        <v>38802</v>
      </c>
      <c r="N538" s="52" t="n">
        <f aca="false">IF(F538=0,0,M538/F538)</f>
        <v>0.0852944926338373</v>
      </c>
      <c r="O538" s="51" t="n">
        <f aca="false">G538-I538</f>
        <v>219289</v>
      </c>
      <c r="P538" s="51" t="n">
        <f aca="false">F538-H538</f>
        <v>207215</v>
      </c>
      <c r="Q538" s="51" t="n">
        <f aca="false">F538-H538-J538</f>
        <v>135110</v>
      </c>
      <c r="R538" s="51" t="n">
        <f aca="false">G538-I538-K538</f>
        <v>144020</v>
      </c>
      <c r="S538" s="51" t="n">
        <f aca="false">R538-Q538</f>
        <v>8910</v>
      </c>
      <c r="T538" s="52" t="n">
        <f aca="false">IF(Q538=0,0,S538/Q538)</f>
        <v>0.065946266005477</v>
      </c>
      <c r="U538" s="51" t="str">
        <f aca="false">IF(AND(Q538&gt;0,T538&lt;-0.15),"ADVERSE","")</f>
        <v/>
      </c>
    </row>
    <row r="539" customFormat="false" ht="15" hidden="false" customHeight="false" outlineLevel="0" collapsed="false">
      <c r="A539" s="47" t="s">
        <v>3</v>
      </c>
      <c r="B539" s="47" t="s">
        <v>136</v>
      </c>
      <c r="C539" s="48" t="n">
        <v>45901</v>
      </c>
      <c r="D539" s="47" t="s">
        <v>35</v>
      </c>
      <c r="E539" s="47" t="s">
        <v>42</v>
      </c>
      <c r="F539" s="49" t="n">
        <v>461227</v>
      </c>
      <c r="G539" s="49" t="n">
        <v>492491</v>
      </c>
      <c r="H539" s="49" t="n">
        <v>251138</v>
      </c>
      <c r="I539" s="49" t="n">
        <v>280324</v>
      </c>
      <c r="J539" s="49" t="n">
        <v>73104</v>
      </c>
      <c r="K539" s="49" t="n">
        <v>80045</v>
      </c>
      <c r="L539" s="50" t="n">
        <v>42.7</v>
      </c>
      <c r="M539" s="51" t="n">
        <f aca="false">G539-F539</f>
        <v>31264</v>
      </c>
      <c r="N539" s="52" t="n">
        <f aca="false">IF(F539=0,0,M539/F539)</f>
        <v>0.067784409845911</v>
      </c>
      <c r="O539" s="51" t="n">
        <f aca="false">G539-I539</f>
        <v>212167</v>
      </c>
      <c r="P539" s="51" t="n">
        <f aca="false">F539-H539</f>
        <v>210089</v>
      </c>
      <c r="Q539" s="51" t="n">
        <f aca="false">F539-H539-J539</f>
        <v>136985</v>
      </c>
      <c r="R539" s="51" t="n">
        <f aca="false">G539-I539-K539</f>
        <v>132122</v>
      </c>
      <c r="S539" s="51" t="n">
        <f aca="false">R539-Q539</f>
        <v>-4863</v>
      </c>
      <c r="T539" s="52" t="n">
        <f aca="false">IF(Q539=0,0,S539/Q539)</f>
        <v>-0.0355002372522539</v>
      </c>
      <c r="U539" s="51" t="str">
        <f aca="false">IF(AND(Q539&gt;0,T539&lt;-0.15),"ADVERSE","")</f>
        <v/>
      </c>
    </row>
    <row r="540" customFormat="false" ht="15" hidden="false" customHeight="false" outlineLevel="0" collapsed="false">
      <c r="A540" s="47" t="s">
        <v>3</v>
      </c>
      <c r="B540" s="47" t="s">
        <v>137</v>
      </c>
      <c r="C540" s="48" t="n">
        <v>45931</v>
      </c>
      <c r="D540" s="47" t="s">
        <v>35</v>
      </c>
      <c r="E540" s="47" t="s">
        <v>42</v>
      </c>
      <c r="F540" s="49" t="n">
        <v>489410</v>
      </c>
      <c r="G540" s="49" t="n">
        <v>520437</v>
      </c>
      <c r="H540" s="49" t="n">
        <v>266484</v>
      </c>
      <c r="I540" s="49" t="n">
        <v>286995</v>
      </c>
      <c r="J540" s="49" t="n">
        <v>77572</v>
      </c>
      <c r="K540" s="49" t="n">
        <v>87675</v>
      </c>
      <c r="L540" s="50" t="n">
        <v>42.6</v>
      </c>
      <c r="M540" s="51" t="n">
        <f aca="false">G540-F540</f>
        <v>31027</v>
      </c>
      <c r="N540" s="52" t="n">
        <f aca="false">IF(F540=0,0,M540/F540)</f>
        <v>0.0633967430171022</v>
      </c>
      <c r="O540" s="51" t="n">
        <f aca="false">G540-I540</f>
        <v>233442</v>
      </c>
      <c r="P540" s="51" t="n">
        <f aca="false">F540-H540</f>
        <v>222926</v>
      </c>
      <c r="Q540" s="51" t="n">
        <f aca="false">F540-H540-J540</f>
        <v>145354</v>
      </c>
      <c r="R540" s="51" t="n">
        <f aca="false">G540-I540-K540</f>
        <v>145767</v>
      </c>
      <c r="S540" s="51" t="n">
        <f aca="false">R540-Q540</f>
        <v>413</v>
      </c>
      <c r="T540" s="52" t="n">
        <f aca="false">IF(Q540=0,0,S540/Q540)</f>
        <v>0.00284133907563603</v>
      </c>
      <c r="U540" s="51" t="str">
        <f aca="false">IF(AND(Q540&gt;0,T540&lt;-0.15),"ADVERSE","")</f>
        <v/>
      </c>
    </row>
    <row r="541" customFormat="false" ht="15" hidden="false" customHeight="false" outlineLevel="0" collapsed="false">
      <c r="A541" s="47" t="s">
        <v>3</v>
      </c>
      <c r="B541" s="47" t="s">
        <v>137</v>
      </c>
      <c r="C541" s="48" t="n">
        <v>45962</v>
      </c>
      <c r="D541" s="47" t="s">
        <v>35</v>
      </c>
      <c r="E541" s="47" t="s">
        <v>42</v>
      </c>
      <c r="F541" s="49" t="n">
        <v>490128</v>
      </c>
      <c r="G541" s="49" t="n">
        <v>539510</v>
      </c>
      <c r="H541" s="49" t="n">
        <v>266875</v>
      </c>
      <c r="I541" s="49" t="n">
        <v>303479</v>
      </c>
      <c r="J541" s="49" t="n">
        <v>77685</v>
      </c>
      <c r="K541" s="49" t="n">
        <v>87374</v>
      </c>
      <c r="L541" s="50" t="n">
        <v>42.2</v>
      </c>
      <c r="M541" s="51" t="n">
        <f aca="false">G541-F541</f>
        <v>49382</v>
      </c>
      <c r="N541" s="52" t="n">
        <f aca="false">IF(F541=0,0,M541/F541)</f>
        <v>0.100753272614501</v>
      </c>
      <c r="O541" s="51" t="n">
        <f aca="false">G541-I541</f>
        <v>236031</v>
      </c>
      <c r="P541" s="51" t="n">
        <f aca="false">F541-H541</f>
        <v>223253</v>
      </c>
      <c r="Q541" s="51" t="n">
        <f aca="false">F541-H541-J541</f>
        <v>145568</v>
      </c>
      <c r="R541" s="51" t="n">
        <f aca="false">G541-I541-K541</f>
        <v>148657</v>
      </c>
      <c r="S541" s="51" t="n">
        <f aca="false">R541-Q541</f>
        <v>3089</v>
      </c>
      <c r="T541" s="52" t="n">
        <f aca="false">IF(Q541=0,0,S541/Q541)</f>
        <v>0.0212203231479446</v>
      </c>
      <c r="U541" s="51" t="str">
        <f aca="false">IF(AND(Q541&gt;0,T541&lt;-0.15),"ADVERSE","")</f>
        <v/>
      </c>
    </row>
    <row r="542" customFormat="false" ht="15" hidden="false" customHeight="false" outlineLevel="0" collapsed="false">
      <c r="A542" s="47" t="s">
        <v>3</v>
      </c>
      <c r="B542" s="47" t="s">
        <v>137</v>
      </c>
      <c r="C542" s="48" t="n">
        <v>45992</v>
      </c>
      <c r="D542" s="47" t="s">
        <v>35</v>
      </c>
      <c r="E542" s="47" t="s">
        <v>42</v>
      </c>
      <c r="F542" s="49" t="n">
        <v>498501</v>
      </c>
      <c r="G542" s="49" t="n">
        <v>505419</v>
      </c>
      <c r="H542" s="49" t="n">
        <v>271434</v>
      </c>
      <c r="I542" s="49" t="n">
        <v>285911</v>
      </c>
      <c r="J542" s="49" t="n">
        <v>79012</v>
      </c>
      <c r="K542" s="49" t="n">
        <v>78750</v>
      </c>
      <c r="L542" s="50" t="n">
        <v>42.2</v>
      </c>
      <c r="M542" s="51" t="n">
        <f aca="false">G542-F542</f>
        <v>6918</v>
      </c>
      <c r="N542" s="52" t="n">
        <f aca="false">IF(F542=0,0,M542/F542)</f>
        <v>0.0138776050599698</v>
      </c>
      <c r="O542" s="51" t="n">
        <f aca="false">G542-I542</f>
        <v>219508</v>
      </c>
      <c r="P542" s="51" t="n">
        <f aca="false">F542-H542</f>
        <v>227067</v>
      </c>
      <c r="Q542" s="51" t="n">
        <f aca="false">F542-H542-J542</f>
        <v>148055</v>
      </c>
      <c r="R542" s="51" t="n">
        <f aca="false">G542-I542-K542</f>
        <v>140758</v>
      </c>
      <c r="S542" s="51" t="n">
        <f aca="false">R542-Q542</f>
        <v>-7297</v>
      </c>
      <c r="T542" s="52" t="n">
        <f aca="false">IF(Q542=0,0,S542/Q542)</f>
        <v>-0.0492857384080241</v>
      </c>
      <c r="U542" s="51" t="str">
        <f aca="false">IF(AND(Q542&gt;0,T542&lt;-0.15),"ADVERSE","")</f>
        <v/>
      </c>
    </row>
    <row r="543" customFormat="false" ht="15" hidden="false" customHeight="false" outlineLevel="0" collapsed="false">
      <c r="A543" s="47" t="s">
        <v>3</v>
      </c>
      <c r="B543" s="47" t="s">
        <v>138</v>
      </c>
      <c r="C543" s="48" t="n">
        <v>46023</v>
      </c>
      <c r="D543" s="47" t="s">
        <v>35</v>
      </c>
      <c r="E543" s="47" t="s">
        <v>42</v>
      </c>
      <c r="F543" s="49" t="n">
        <v>482555</v>
      </c>
      <c r="G543" s="49" t="n">
        <v>489480</v>
      </c>
      <c r="H543" s="49" t="n">
        <v>262751</v>
      </c>
      <c r="I543" s="49" t="n">
        <v>271780</v>
      </c>
      <c r="J543" s="49" t="n">
        <v>76485</v>
      </c>
      <c r="K543" s="49" t="n">
        <v>75099</v>
      </c>
      <c r="L543" s="50" t="n">
        <v>43.4</v>
      </c>
      <c r="M543" s="51" t="n">
        <f aca="false">G543-F543</f>
        <v>6925</v>
      </c>
      <c r="N543" s="52" t="n">
        <f aca="false">IF(F543=0,0,M543/F543)</f>
        <v>0.0143506957756111</v>
      </c>
      <c r="O543" s="51" t="n">
        <f aca="false">G543-I543</f>
        <v>217700</v>
      </c>
      <c r="P543" s="51" t="n">
        <f aca="false">F543-H543</f>
        <v>219804</v>
      </c>
      <c r="Q543" s="51" t="n">
        <f aca="false">F543-H543-J543</f>
        <v>143319</v>
      </c>
      <c r="R543" s="51" t="n">
        <f aca="false">G543-I543-K543</f>
        <v>142601</v>
      </c>
      <c r="S543" s="51" t="n">
        <f aca="false">R543-Q543</f>
        <v>-718</v>
      </c>
      <c r="T543" s="52" t="n">
        <f aca="false">IF(Q543=0,0,S543/Q543)</f>
        <v>-0.00500980330591199</v>
      </c>
      <c r="U543" s="51" t="str">
        <f aca="false">IF(AND(Q543&gt;0,T543&lt;-0.15),"ADVERSE","")</f>
        <v/>
      </c>
    </row>
    <row r="544" customFormat="false" ht="15" hidden="false" customHeight="false" outlineLevel="0" collapsed="false">
      <c r="A544" s="47" t="s">
        <v>3</v>
      </c>
      <c r="B544" s="47" t="s">
        <v>138</v>
      </c>
      <c r="C544" s="48" t="n">
        <v>46054</v>
      </c>
      <c r="D544" s="47" t="s">
        <v>35</v>
      </c>
      <c r="E544" s="47" t="s">
        <v>42</v>
      </c>
      <c r="F544" s="49" t="n">
        <v>499345</v>
      </c>
      <c r="G544" s="49" t="n">
        <v>529093</v>
      </c>
      <c r="H544" s="49" t="n">
        <v>271893</v>
      </c>
      <c r="I544" s="49" t="n">
        <v>294344</v>
      </c>
      <c r="J544" s="49" t="n">
        <v>79146</v>
      </c>
      <c r="K544" s="49" t="n">
        <v>82394</v>
      </c>
      <c r="L544" s="50" t="n">
        <v>44.3</v>
      </c>
      <c r="M544" s="51" t="n">
        <f aca="false">G544-F544</f>
        <v>29748</v>
      </c>
      <c r="N544" s="52" t="n">
        <f aca="false">IF(F544=0,0,M544/F544)</f>
        <v>0.0595740419950135</v>
      </c>
      <c r="O544" s="51" t="n">
        <f aca="false">G544-I544</f>
        <v>234749</v>
      </c>
      <c r="P544" s="51" t="n">
        <f aca="false">F544-H544</f>
        <v>227452</v>
      </c>
      <c r="Q544" s="51" t="n">
        <f aca="false">F544-H544-J544</f>
        <v>148306</v>
      </c>
      <c r="R544" s="51" t="n">
        <f aca="false">G544-I544-K544</f>
        <v>152355</v>
      </c>
      <c r="S544" s="51" t="n">
        <f aca="false">R544-Q544</f>
        <v>4049</v>
      </c>
      <c r="T544" s="52" t="n">
        <f aca="false">IF(Q544=0,0,S544/Q544)</f>
        <v>0.0273016600811835</v>
      </c>
      <c r="U544" s="51" t="str">
        <f aca="false">IF(AND(Q544&gt;0,T544&lt;-0.15),"ADVERSE","")</f>
        <v/>
      </c>
    </row>
    <row r="545" customFormat="false" ht="15" hidden="false" customHeight="false" outlineLevel="0" collapsed="false">
      <c r="A545" s="47" t="s">
        <v>3</v>
      </c>
      <c r="B545" s="47" t="s">
        <v>138</v>
      </c>
      <c r="C545" s="48" t="n">
        <v>46082</v>
      </c>
      <c r="D545" s="47" t="s">
        <v>35</v>
      </c>
      <c r="E545" s="47" t="s">
        <v>42</v>
      </c>
      <c r="F545" s="49" t="n">
        <v>545567</v>
      </c>
      <c r="G545" s="49" t="n">
        <v>562831</v>
      </c>
      <c r="H545" s="49" t="n">
        <v>297061</v>
      </c>
      <c r="I545" s="49" t="n">
        <v>314696</v>
      </c>
      <c r="J545" s="49" t="n">
        <v>86472</v>
      </c>
      <c r="K545" s="49" t="n">
        <v>85504</v>
      </c>
      <c r="L545" s="50" t="n">
        <v>44</v>
      </c>
      <c r="M545" s="51" t="n">
        <f aca="false">G545-F545</f>
        <v>17264</v>
      </c>
      <c r="N545" s="52" t="n">
        <f aca="false">IF(F545=0,0,M545/F545)</f>
        <v>0.0316441426992468</v>
      </c>
      <c r="O545" s="51" t="n">
        <f aca="false">G545-I545</f>
        <v>248135</v>
      </c>
      <c r="P545" s="51" t="n">
        <f aca="false">F545-H545</f>
        <v>248506</v>
      </c>
      <c r="Q545" s="51" t="n">
        <f aca="false">F545-H545-J545</f>
        <v>162034</v>
      </c>
      <c r="R545" s="51" t="n">
        <f aca="false">G545-I545-K545</f>
        <v>162631</v>
      </c>
      <c r="S545" s="51" t="n">
        <f aca="false">R545-Q545</f>
        <v>597</v>
      </c>
      <c r="T545" s="52" t="n">
        <f aca="false">IF(Q545=0,0,S545/Q545)</f>
        <v>0.00368441191354901</v>
      </c>
      <c r="U545" s="51" t="str">
        <f aca="false">IF(AND(Q545&gt;0,T545&lt;-0.15),"ADVERSE","")</f>
        <v/>
      </c>
    </row>
    <row r="546" customFormat="false" ht="15" hidden="false" customHeight="false" outlineLevel="0" collapsed="false">
      <c r="A546" s="47" t="s">
        <v>134</v>
      </c>
      <c r="B546" s="47" t="s">
        <v>135</v>
      </c>
      <c r="C546" s="48" t="n">
        <v>45017</v>
      </c>
      <c r="D546" s="47" t="s">
        <v>35</v>
      </c>
      <c r="E546" s="47" t="s">
        <v>43</v>
      </c>
      <c r="F546" s="49" t="n">
        <v>241576</v>
      </c>
      <c r="G546" s="49" t="n">
        <v>224026</v>
      </c>
      <c r="H546" s="49" t="n">
        <v>131538</v>
      </c>
      <c r="I546" s="49" t="n">
        <v>122923</v>
      </c>
      <c r="J546" s="49" t="n">
        <v>38290</v>
      </c>
      <c r="K546" s="49" t="n">
        <v>35889</v>
      </c>
      <c r="L546" s="50" t="n">
        <v>12.2</v>
      </c>
      <c r="M546" s="51" t="n">
        <f aca="false">G546-F546</f>
        <v>-17550</v>
      </c>
      <c r="N546" s="52" t="n">
        <f aca="false">IF(F546=0,0,M546/F546)</f>
        <v>-0.0726479451601153</v>
      </c>
      <c r="O546" s="51" t="n">
        <f aca="false">G546-I546</f>
        <v>101103</v>
      </c>
      <c r="P546" s="51" t="n">
        <f aca="false">F546-H546</f>
        <v>110038</v>
      </c>
      <c r="Q546" s="51" t="n">
        <f aca="false">F546-H546-J546</f>
        <v>71748</v>
      </c>
      <c r="R546" s="51" t="n">
        <f aca="false">G546-I546-K546</f>
        <v>65214</v>
      </c>
      <c r="S546" s="51" t="n">
        <f aca="false">R546-Q546</f>
        <v>-6534</v>
      </c>
      <c r="T546" s="52" t="n">
        <f aca="false">IF(Q546=0,0,S546/Q546)</f>
        <v>-0.0910687405920723</v>
      </c>
      <c r="U546" s="51" t="str">
        <f aca="false">IF(AND(Q546&gt;0,T546&lt;-0.15),"ADVERSE","")</f>
        <v/>
      </c>
    </row>
    <row r="547" customFormat="false" ht="15" hidden="false" customHeight="false" outlineLevel="0" collapsed="false">
      <c r="A547" s="47" t="s">
        <v>134</v>
      </c>
      <c r="B547" s="47" t="s">
        <v>135</v>
      </c>
      <c r="C547" s="48" t="n">
        <v>45047</v>
      </c>
      <c r="D547" s="47" t="s">
        <v>35</v>
      </c>
      <c r="E547" s="47" t="s">
        <v>43</v>
      </c>
      <c r="F547" s="49" t="n">
        <v>242088</v>
      </c>
      <c r="G547" s="49" t="n">
        <v>227724</v>
      </c>
      <c r="H547" s="49" t="n">
        <v>131817</v>
      </c>
      <c r="I547" s="49" t="n">
        <v>123366</v>
      </c>
      <c r="J547" s="49" t="n">
        <v>38371</v>
      </c>
      <c r="K547" s="49" t="n">
        <v>36746</v>
      </c>
      <c r="L547" s="50" t="n">
        <v>12.8</v>
      </c>
      <c r="M547" s="51" t="n">
        <f aca="false">G547-F547</f>
        <v>-14364</v>
      </c>
      <c r="N547" s="52" t="n">
        <f aca="false">IF(F547=0,0,M547/F547)</f>
        <v>-0.0593337959750173</v>
      </c>
      <c r="O547" s="51" t="n">
        <f aca="false">G547-I547</f>
        <v>104358</v>
      </c>
      <c r="P547" s="51" t="n">
        <f aca="false">F547-H547</f>
        <v>110271</v>
      </c>
      <c r="Q547" s="51" t="n">
        <f aca="false">F547-H547-J547</f>
        <v>71900</v>
      </c>
      <c r="R547" s="51" t="n">
        <f aca="false">G547-I547-K547</f>
        <v>67612</v>
      </c>
      <c r="S547" s="51" t="n">
        <f aca="false">R547-Q547</f>
        <v>-4288</v>
      </c>
      <c r="T547" s="52" t="n">
        <f aca="false">IF(Q547=0,0,S547/Q547)</f>
        <v>-0.0596383866481224</v>
      </c>
      <c r="U547" s="51" t="str">
        <f aca="false">IF(AND(Q547&gt;0,T547&lt;-0.15),"ADVERSE","")</f>
        <v/>
      </c>
    </row>
    <row r="548" customFormat="false" ht="15" hidden="false" customHeight="false" outlineLevel="0" collapsed="false">
      <c r="A548" s="47" t="s">
        <v>134</v>
      </c>
      <c r="B548" s="47" t="s">
        <v>135</v>
      </c>
      <c r="C548" s="48" t="n">
        <v>45078</v>
      </c>
      <c r="D548" s="47" t="s">
        <v>35</v>
      </c>
      <c r="E548" s="47" t="s">
        <v>43</v>
      </c>
      <c r="F548" s="49" t="n">
        <v>254880</v>
      </c>
      <c r="G548" s="49" t="n">
        <v>241273</v>
      </c>
      <c r="H548" s="49" t="n">
        <v>138782</v>
      </c>
      <c r="I548" s="49" t="n">
        <v>129221</v>
      </c>
      <c r="J548" s="49" t="n">
        <v>40398</v>
      </c>
      <c r="K548" s="49" t="n">
        <v>37069</v>
      </c>
      <c r="L548" s="50" t="n">
        <v>12.2</v>
      </c>
      <c r="M548" s="51" t="n">
        <f aca="false">G548-F548</f>
        <v>-13607</v>
      </c>
      <c r="N548" s="52" t="n">
        <f aca="false">IF(F548=0,0,M548/F548)</f>
        <v>-0.0533859070935342</v>
      </c>
      <c r="O548" s="51" t="n">
        <f aca="false">G548-I548</f>
        <v>112052</v>
      </c>
      <c r="P548" s="51" t="n">
        <f aca="false">F548-H548</f>
        <v>116098</v>
      </c>
      <c r="Q548" s="51" t="n">
        <f aca="false">F548-H548-J548</f>
        <v>75700</v>
      </c>
      <c r="R548" s="51" t="n">
        <f aca="false">G548-I548-K548</f>
        <v>74983</v>
      </c>
      <c r="S548" s="51" t="n">
        <f aca="false">R548-Q548</f>
        <v>-717</v>
      </c>
      <c r="T548" s="52" t="n">
        <f aca="false">IF(Q548=0,0,S548/Q548)</f>
        <v>-0.00947159841479525</v>
      </c>
      <c r="U548" s="51" t="str">
        <f aca="false">IF(AND(Q548&gt;0,T548&lt;-0.15),"ADVERSE","")</f>
        <v/>
      </c>
    </row>
    <row r="549" customFormat="false" ht="15" hidden="false" customHeight="false" outlineLevel="0" collapsed="false">
      <c r="A549" s="47" t="s">
        <v>134</v>
      </c>
      <c r="B549" s="47" t="s">
        <v>136</v>
      </c>
      <c r="C549" s="48" t="n">
        <v>45108</v>
      </c>
      <c r="D549" s="47" t="s">
        <v>35</v>
      </c>
      <c r="E549" s="47" t="s">
        <v>43</v>
      </c>
      <c r="F549" s="49" t="n">
        <v>261414</v>
      </c>
      <c r="G549" s="49" t="n">
        <v>246782</v>
      </c>
      <c r="H549" s="49" t="n">
        <v>142340</v>
      </c>
      <c r="I549" s="49" t="n">
        <v>134397</v>
      </c>
      <c r="J549" s="49" t="n">
        <v>41434</v>
      </c>
      <c r="K549" s="49" t="n">
        <v>41249</v>
      </c>
      <c r="L549" s="50" t="n">
        <v>12.6</v>
      </c>
      <c r="M549" s="51" t="n">
        <f aca="false">G549-F549</f>
        <v>-14632</v>
      </c>
      <c r="N549" s="52" t="n">
        <f aca="false">IF(F549=0,0,M549/F549)</f>
        <v>-0.0559725186868339</v>
      </c>
      <c r="O549" s="51" t="n">
        <f aca="false">G549-I549</f>
        <v>112385</v>
      </c>
      <c r="P549" s="51" t="n">
        <f aca="false">F549-H549</f>
        <v>119074</v>
      </c>
      <c r="Q549" s="51" t="n">
        <f aca="false">F549-H549-J549</f>
        <v>77640</v>
      </c>
      <c r="R549" s="51" t="n">
        <f aca="false">G549-I549-K549</f>
        <v>71136</v>
      </c>
      <c r="S549" s="51" t="n">
        <f aca="false">R549-Q549</f>
        <v>-6504</v>
      </c>
      <c r="T549" s="52" t="n">
        <f aca="false">IF(Q549=0,0,S549/Q549)</f>
        <v>-0.0837712519319938</v>
      </c>
      <c r="U549" s="51" t="str">
        <f aca="false">IF(AND(Q549&gt;0,T549&lt;-0.15),"ADVERSE","")</f>
        <v/>
      </c>
    </row>
    <row r="550" customFormat="false" ht="15" hidden="false" customHeight="false" outlineLevel="0" collapsed="false">
      <c r="A550" s="47" t="s">
        <v>134</v>
      </c>
      <c r="B550" s="47" t="s">
        <v>136</v>
      </c>
      <c r="C550" s="48" t="n">
        <v>45139</v>
      </c>
      <c r="D550" s="47" t="s">
        <v>35</v>
      </c>
      <c r="E550" s="47" t="s">
        <v>43</v>
      </c>
      <c r="F550" s="49" t="n">
        <v>250785</v>
      </c>
      <c r="G550" s="49" t="n">
        <v>257029</v>
      </c>
      <c r="H550" s="49" t="n">
        <v>136552</v>
      </c>
      <c r="I550" s="49" t="n">
        <v>141842</v>
      </c>
      <c r="J550" s="49" t="n">
        <v>39749</v>
      </c>
      <c r="K550" s="49" t="n">
        <v>43598</v>
      </c>
      <c r="L550" s="50" t="n">
        <v>12.8</v>
      </c>
      <c r="M550" s="51" t="n">
        <f aca="false">G550-F550</f>
        <v>6244</v>
      </c>
      <c r="N550" s="52" t="n">
        <f aca="false">IF(F550=0,0,M550/F550)</f>
        <v>0.0248978208425544</v>
      </c>
      <c r="O550" s="51" t="n">
        <f aca="false">G550-I550</f>
        <v>115187</v>
      </c>
      <c r="P550" s="51" t="n">
        <f aca="false">F550-H550</f>
        <v>114233</v>
      </c>
      <c r="Q550" s="51" t="n">
        <f aca="false">F550-H550-J550</f>
        <v>74484</v>
      </c>
      <c r="R550" s="51" t="n">
        <f aca="false">G550-I550-K550</f>
        <v>71589</v>
      </c>
      <c r="S550" s="51" t="n">
        <f aca="false">R550-Q550</f>
        <v>-2895</v>
      </c>
      <c r="T550" s="52" t="n">
        <f aca="false">IF(Q550=0,0,S550/Q550)</f>
        <v>-0.0388674077654261</v>
      </c>
      <c r="U550" s="51" t="str">
        <f aca="false">IF(AND(Q550&gt;0,T550&lt;-0.15),"ADVERSE","")</f>
        <v/>
      </c>
    </row>
    <row r="551" customFormat="false" ht="15" hidden="false" customHeight="false" outlineLevel="0" collapsed="false">
      <c r="A551" s="47" t="s">
        <v>134</v>
      </c>
      <c r="B551" s="47" t="s">
        <v>136</v>
      </c>
      <c r="C551" s="48" t="n">
        <v>45170</v>
      </c>
      <c r="D551" s="47" t="s">
        <v>35</v>
      </c>
      <c r="E551" s="47" t="s">
        <v>43</v>
      </c>
      <c r="F551" s="49" t="n">
        <v>265887</v>
      </c>
      <c r="G551" s="49" t="n">
        <v>244829</v>
      </c>
      <c r="H551" s="49" t="n">
        <v>144775</v>
      </c>
      <c r="I551" s="49" t="n">
        <v>131667</v>
      </c>
      <c r="J551" s="49" t="n">
        <v>42143</v>
      </c>
      <c r="K551" s="49" t="n">
        <v>38296</v>
      </c>
      <c r="L551" s="50" t="n">
        <v>13</v>
      </c>
      <c r="M551" s="51" t="n">
        <f aca="false">G551-F551</f>
        <v>-21058</v>
      </c>
      <c r="N551" s="52" t="n">
        <f aca="false">IF(F551=0,0,M551/F551)</f>
        <v>-0.0791990582465483</v>
      </c>
      <c r="O551" s="51" t="n">
        <f aca="false">G551-I551</f>
        <v>113162</v>
      </c>
      <c r="P551" s="51" t="n">
        <f aca="false">F551-H551</f>
        <v>121112</v>
      </c>
      <c r="Q551" s="51" t="n">
        <f aca="false">F551-H551-J551</f>
        <v>78969</v>
      </c>
      <c r="R551" s="51" t="n">
        <f aca="false">G551-I551-K551</f>
        <v>74866</v>
      </c>
      <c r="S551" s="51" t="n">
        <f aca="false">R551-Q551</f>
        <v>-4103</v>
      </c>
      <c r="T551" s="52" t="n">
        <f aca="false">IF(Q551=0,0,S551/Q551)</f>
        <v>-0.051957097088731</v>
      </c>
      <c r="U551" s="51" t="str">
        <f aca="false">IF(AND(Q551&gt;0,T551&lt;-0.15),"ADVERSE","")</f>
        <v/>
      </c>
    </row>
    <row r="552" customFormat="false" ht="15" hidden="false" customHeight="false" outlineLevel="0" collapsed="false">
      <c r="A552" s="47" t="s">
        <v>134</v>
      </c>
      <c r="B552" s="47" t="s">
        <v>137</v>
      </c>
      <c r="C552" s="48" t="n">
        <v>45200</v>
      </c>
      <c r="D552" s="47" t="s">
        <v>35</v>
      </c>
      <c r="E552" s="47" t="s">
        <v>43</v>
      </c>
      <c r="F552" s="49" t="n">
        <v>274729</v>
      </c>
      <c r="G552" s="49" t="n">
        <v>277680</v>
      </c>
      <c r="H552" s="49" t="n">
        <v>149590</v>
      </c>
      <c r="I552" s="49" t="n">
        <v>152722</v>
      </c>
      <c r="J552" s="49" t="n">
        <v>43544</v>
      </c>
      <c r="K552" s="49" t="n">
        <v>43921</v>
      </c>
      <c r="L552" s="50" t="n">
        <v>13.2</v>
      </c>
      <c r="M552" s="51" t="n">
        <f aca="false">G552-F552</f>
        <v>2951</v>
      </c>
      <c r="N552" s="52" t="n">
        <f aca="false">IF(F552=0,0,M552/F552)</f>
        <v>0.0107414943453367</v>
      </c>
      <c r="O552" s="51" t="n">
        <f aca="false">G552-I552</f>
        <v>124958</v>
      </c>
      <c r="P552" s="51" t="n">
        <f aca="false">F552-H552</f>
        <v>125139</v>
      </c>
      <c r="Q552" s="51" t="n">
        <f aca="false">F552-H552-J552</f>
        <v>81595</v>
      </c>
      <c r="R552" s="51" t="n">
        <f aca="false">G552-I552-K552</f>
        <v>81037</v>
      </c>
      <c r="S552" s="51" t="n">
        <f aca="false">R552-Q552</f>
        <v>-558</v>
      </c>
      <c r="T552" s="52" t="n">
        <f aca="false">IF(Q552=0,0,S552/Q552)</f>
        <v>-0.00683865432930939</v>
      </c>
      <c r="U552" s="51" t="str">
        <f aca="false">IF(AND(Q552&gt;0,T552&lt;-0.15),"ADVERSE","")</f>
        <v/>
      </c>
    </row>
    <row r="553" customFormat="false" ht="15" hidden="false" customHeight="false" outlineLevel="0" collapsed="false">
      <c r="A553" s="47" t="s">
        <v>134</v>
      </c>
      <c r="B553" s="47" t="s">
        <v>137</v>
      </c>
      <c r="C553" s="48" t="n">
        <v>45231</v>
      </c>
      <c r="D553" s="47" t="s">
        <v>35</v>
      </c>
      <c r="E553" s="47" t="s">
        <v>43</v>
      </c>
      <c r="F553" s="49" t="n">
        <v>278718</v>
      </c>
      <c r="G553" s="49" t="n">
        <v>278648</v>
      </c>
      <c r="H553" s="49" t="n">
        <v>151762</v>
      </c>
      <c r="I553" s="49" t="n">
        <v>149017</v>
      </c>
      <c r="J553" s="49" t="n">
        <v>44177</v>
      </c>
      <c r="K553" s="49" t="n">
        <v>46634</v>
      </c>
      <c r="L553" s="50" t="n">
        <v>13.6</v>
      </c>
      <c r="M553" s="51" t="n">
        <f aca="false">G553-F553</f>
        <v>-70</v>
      </c>
      <c r="N553" s="52" t="n">
        <f aca="false">IF(F553=0,0,M553/F553)</f>
        <v>-0.000251149907792105</v>
      </c>
      <c r="O553" s="51" t="n">
        <f aca="false">G553-I553</f>
        <v>129631</v>
      </c>
      <c r="P553" s="51" t="n">
        <f aca="false">F553-H553</f>
        <v>126956</v>
      </c>
      <c r="Q553" s="51" t="n">
        <f aca="false">F553-H553-J553</f>
        <v>82779</v>
      </c>
      <c r="R553" s="51" t="n">
        <f aca="false">G553-I553-K553</f>
        <v>82997</v>
      </c>
      <c r="S553" s="51" t="n">
        <f aca="false">R553-Q553</f>
        <v>218</v>
      </c>
      <c r="T553" s="52" t="n">
        <f aca="false">IF(Q553=0,0,S553/Q553)</f>
        <v>0.00263351816281907</v>
      </c>
      <c r="U553" s="51" t="str">
        <f aca="false">IF(AND(Q553&gt;0,T553&lt;-0.15),"ADVERSE","")</f>
        <v/>
      </c>
    </row>
    <row r="554" customFormat="false" ht="15" hidden="false" customHeight="false" outlineLevel="0" collapsed="false">
      <c r="A554" s="47" t="s">
        <v>134</v>
      </c>
      <c r="B554" s="47" t="s">
        <v>137</v>
      </c>
      <c r="C554" s="48" t="n">
        <v>45261</v>
      </c>
      <c r="D554" s="47" t="s">
        <v>35</v>
      </c>
      <c r="E554" s="47" t="s">
        <v>43</v>
      </c>
      <c r="F554" s="49" t="n">
        <v>270822</v>
      </c>
      <c r="G554" s="49" t="n">
        <v>276240</v>
      </c>
      <c r="H554" s="49" t="n">
        <v>147463</v>
      </c>
      <c r="I554" s="49" t="n">
        <v>150732</v>
      </c>
      <c r="J554" s="49" t="n">
        <v>42925</v>
      </c>
      <c r="K554" s="49" t="n">
        <v>44819</v>
      </c>
      <c r="L554" s="50" t="n">
        <v>13.4</v>
      </c>
      <c r="M554" s="51" t="n">
        <f aca="false">G554-F554</f>
        <v>5418</v>
      </c>
      <c r="N554" s="52" t="n">
        <f aca="false">IF(F554=0,0,M554/F554)</f>
        <v>0.0200057602410439</v>
      </c>
      <c r="O554" s="51" t="n">
        <f aca="false">G554-I554</f>
        <v>125508</v>
      </c>
      <c r="P554" s="51" t="n">
        <f aca="false">F554-H554</f>
        <v>123359</v>
      </c>
      <c r="Q554" s="51" t="n">
        <f aca="false">F554-H554-J554</f>
        <v>80434</v>
      </c>
      <c r="R554" s="51" t="n">
        <f aca="false">G554-I554-K554</f>
        <v>80689</v>
      </c>
      <c r="S554" s="51" t="n">
        <f aca="false">R554-Q554</f>
        <v>255</v>
      </c>
      <c r="T554" s="52" t="n">
        <f aca="false">IF(Q554=0,0,S554/Q554)</f>
        <v>0.0031703011164433</v>
      </c>
      <c r="U554" s="51" t="str">
        <f aca="false">IF(AND(Q554&gt;0,T554&lt;-0.15),"ADVERSE","")</f>
        <v/>
      </c>
    </row>
    <row r="555" customFormat="false" ht="15" hidden="false" customHeight="false" outlineLevel="0" collapsed="false">
      <c r="A555" s="47" t="s">
        <v>134</v>
      </c>
      <c r="B555" s="47" t="s">
        <v>138</v>
      </c>
      <c r="C555" s="48" t="n">
        <v>45292</v>
      </c>
      <c r="D555" s="47" t="s">
        <v>35</v>
      </c>
      <c r="E555" s="47" t="s">
        <v>43</v>
      </c>
      <c r="F555" s="49" t="n">
        <v>267172</v>
      </c>
      <c r="G555" s="49" t="n">
        <v>277324</v>
      </c>
      <c r="H555" s="49" t="n">
        <v>145475</v>
      </c>
      <c r="I555" s="49" t="n">
        <v>154539</v>
      </c>
      <c r="J555" s="49" t="n">
        <v>42347</v>
      </c>
      <c r="K555" s="49" t="n">
        <v>41871</v>
      </c>
      <c r="L555" s="50" t="n">
        <v>13.5</v>
      </c>
      <c r="M555" s="51" t="n">
        <f aca="false">G555-F555</f>
        <v>10152</v>
      </c>
      <c r="N555" s="52" t="n">
        <f aca="false">IF(F555=0,0,M555/F555)</f>
        <v>0.0379979938017457</v>
      </c>
      <c r="O555" s="51" t="n">
        <f aca="false">G555-I555</f>
        <v>122785</v>
      </c>
      <c r="P555" s="51" t="n">
        <f aca="false">F555-H555</f>
        <v>121697</v>
      </c>
      <c r="Q555" s="51" t="n">
        <f aca="false">F555-H555-J555</f>
        <v>79350</v>
      </c>
      <c r="R555" s="51" t="n">
        <f aca="false">G555-I555-K555</f>
        <v>80914</v>
      </c>
      <c r="S555" s="51" t="n">
        <f aca="false">R555-Q555</f>
        <v>1564</v>
      </c>
      <c r="T555" s="52" t="n">
        <f aca="false">IF(Q555=0,0,S555/Q555)</f>
        <v>0.0197101449275362</v>
      </c>
      <c r="U555" s="51" t="str">
        <f aca="false">IF(AND(Q555&gt;0,T555&lt;-0.15),"ADVERSE","")</f>
        <v/>
      </c>
    </row>
    <row r="556" customFormat="false" ht="15" hidden="false" customHeight="false" outlineLevel="0" collapsed="false">
      <c r="A556" s="47" t="s">
        <v>134</v>
      </c>
      <c r="B556" s="47" t="s">
        <v>138</v>
      </c>
      <c r="C556" s="48" t="n">
        <v>45323</v>
      </c>
      <c r="D556" s="47" t="s">
        <v>35</v>
      </c>
      <c r="E556" s="47" t="s">
        <v>43</v>
      </c>
      <c r="F556" s="49" t="n">
        <v>277137</v>
      </c>
      <c r="G556" s="49" t="n">
        <v>255409</v>
      </c>
      <c r="H556" s="49" t="n">
        <v>150901</v>
      </c>
      <c r="I556" s="49" t="n">
        <v>137340</v>
      </c>
      <c r="J556" s="49" t="n">
        <v>43926</v>
      </c>
      <c r="K556" s="49" t="n">
        <v>39599</v>
      </c>
      <c r="L556" s="50" t="n">
        <v>14.1</v>
      </c>
      <c r="M556" s="51" t="n">
        <f aca="false">G556-F556</f>
        <v>-21728</v>
      </c>
      <c r="N556" s="52" t="n">
        <f aca="false">IF(F556=0,0,M556/F556)</f>
        <v>-0.0784016569422344</v>
      </c>
      <c r="O556" s="51" t="n">
        <f aca="false">G556-I556</f>
        <v>118069</v>
      </c>
      <c r="P556" s="51" t="n">
        <f aca="false">F556-H556</f>
        <v>126236</v>
      </c>
      <c r="Q556" s="51" t="n">
        <f aca="false">F556-H556-J556</f>
        <v>82310</v>
      </c>
      <c r="R556" s="51" t="n">
        <f aca="false">G556-I556-K556</f>
        <v>78470</v>
      </c>
      <c r="S556" s="51" t="n">
        <f aca="false">R556-Q556</f>
        <v>-3840</v>
      </c>
      <c r="T556" s="52" t="n">
        <f aca="false">IF(Q556=0,0,S556/Q556)</f>
        <v>-0.0466528975823108</v>
      </c>
      <c r="U556" s="51" t="str">
        <f aca="false">IF(AND(Q556&gt;0,T556&lt;-0.15),"ADVERSE","")</f>
        <v/>
      </c>
    </row>
    <row r="557" customFormat="false" ht="15" hidden="false" customHeight="false" outlineLevel="0" collapsed="false">
      <c r="A557" s="47" t="s">
        <v>134</v>
      </c>
      <c r="B557" s="47" t="s">
        <v>138</v>
      </c>
      <c r="C557" s="48" t="n">
        <v>45352</v>
      </c>
      <c r="D557" s="47" t="s">
        <v>35</v>
      </c>
      <c r="E557" s="47" t="s">
        <v>43</v>
      </c>
      <c r="F557" s="49" t="n">
        <v>299702</v>
      </c>
      <c r="G557" s="49" t="n">
        <v>319050</v>
      </c>
      <c r="H557" s="49" t="n">
        <v>163188</v>
      </c>
      <c r="I557" s="49" t="n">
        <v>177351</v>
      </c>
      <c r="J557" s="49" t="n">
        <v>47503</v>
      </c>
      <c r="K557" s="49" t="n">
        <v>52070</v>
      </c>
      <c r="L557" s="50" t="n">
        <v>14.1</v>
      </c>
      <c r="M557" s="51" t="n">
        <f aca="false">G557-F557</f>
        <v>19348</v>
      </c>
      <c r="N557" s="52" t="n">
        <f aca="false">IF(F557=0,0,M557/F557)</f>
        <v>0.0645574604106746</v>
      </c>
      <c r="O557" s="51" t="n">
        <f aca="false">G557-I557</f>
        <v>141699</v>
      </c>
      <c r="P557" s="51" t="n">
        <f aca="false">F557-H557</f>
        <v>136514</v>
      </c>
      <c r="Q557" s="51" t="n">
        <f aca="false">F557-H557-J557</f>
        <v>89011</v>
      </c>
      <c r="R557" s="51" t="n">
        <f aca="false">G557-I557-K557</f>
        <v>89629</v>
      </c>
      <c r="S557" s="51" t="n">
        <f aca="false">R557-Q557</f>
        <v>618</v>
      </c>
      <c r="T557" s="52" t="n">
        <f aca="false">IF(Q557=0,0,S557/Q557)</f>
        <v>0.00694296210580715</v>
      </c>
      <c r="U557" s="51" t="str">
        <f aca="false">IF(AND(Q557&gt;0,T557&lt;-0.15),"ADVERSE","")</f>
        <v/>
      </c>
    </row>
    <row r="558" customFormat="false" ht="15" hidden="false" customHeight="false" outlineLevel="0" collapsed="false">
      <c r="A558" s="47" t="s">
        <v>139</v>
      </c>
      <c r="B558" s="47" t="s">
        <v>135</v>
      </c>
      <c r="C558" s="48" t="n">
        <v>45383</v>
      </c>
      <c r="D558" s="47" t="s">
        <v>35</v>
      </c>
      <c r="E558" s="47" t="s">
        <v>43</v>
      </c>
      <c r="F558" s="49" t="n">
        <v>276233</v>
      </c>
      <c r="G558" s="49" t="n">
        <v>276290</v>
      </c>
      <c r="H558" s="49" t="n">
        <v>150409</v>
      </c>
      <c r="I558" s="49" t="n">
        <v>150696</v>
      </c>
      <c r="J558" s="49" t="n">
        <v>43783</v>
      </c>
      <c r="K558" s="49" t="n">
        <v>44411</v>
      </c>
      <c r="L558" s="50" t="n">
        <v>14.1</v>
      </c>
      <c r="M558" s="51" t="n">
        <f aca="false">G558-F558</f>
        <v>57</v>
      </c>
      <c r="N558" s="52" t="n">
        <f aca="false">IF(F558=0,0,M558/F558)</f>
        <v>0.000206347539939109</v>
      </c>
      <c r="O558" s="51" t="n">
        <f aca="false">G558-I558</f>
        <v>125594</v>
      </c>
      <c r="P558" s="51" t="n">
        <f aca="false">F558-H558</f>
        <v>125824</v>
      </c>
      <c r="Q558" s="51" t="n">
        <f aca="false">F558-H558-J558</f>
        <v>82041</v>
      </c>
      <c r="R558" s="51" t="n">
        <f aca="false">G558-I558-K558</f>
        <v>81183</v>
      </c>
      <c r="S558" s="51" t="n">
        <f aca="false">R558-Q558</f>
        <v>-858</v>
      </c>
      <c r="T558" s="52" t="n">
        <f aca="false">IF(Q558=0,0,S558/Q558)</f>
        <v>-0.0104581855413757</v>
      </c>
      <c r="U558" s="51" t="str">
        <f aca="false">IF(AND(Q558&gt;0,T558&lt;-0.15),"ADVERSE","")</f>
        <v/>
      </c>
    </row>
    <row r="559" customFormat="false" ht="15" hidden="false" customHeight="false" outlineLevel="0" collapsed="false">
      <c r="A559" s="47" t="s">
        <v>139</v>
      </c>
      <c r="B559" s="47" t="s">
        <v>135</v>
      </c>
      <c r="C559" s="48" t="n">
        <v>45413</v>
      </c>
      <c r="D559" s="47" t="s">
        <v>35</v>
      </c>
      <c r="E559" s="47" t="s">
        <v>43</v>
      </c>
      <c r="F559" s="49" t="n">
        <v>277723</v>
      </c>
      <c r="G559" s="49" t="n">
        <v>280099</v>
      </c>
      <c r="H559" s="49" t="n">
        <v>151220</v>
      </c>
      <c r="I559" s="49" t="n">
        <v>153427</v>
      </c>
      <c r="J559" s="49" t="n">
        <v>44019</v>
      </c>
      <c r="K559" s="49" t="n">
        <v>45934</v>
      </c>
      <c r="L559" s="50" t="n">
        <v>14.6</v>
      </c>
      <c r="M559" s="51" t="n">
        <f aca="false">G559-F559</f>
        <v>2376</v>
      </c>
      <c r="N559" s="52" t="n">
        <f aca="false">IF(F559=0,0,M559/F559)</f>
        <v>0.00855528710261664</v>
      </c>
      <c r="O559" s="51" t="n">
        <f aca="false">G559-I559</f>
        <v>126672</v>
      </c>
      <c r="P559" s="51" t="n">
        <f aca="false">F559-H559</f>
        <v>126503</v>
      </c>
      <c r="Q559" s="51" t="n">
        <f aca="false">F559-H559-J559</f>
        <v>82484</v>
      </c>
      <c r="R559" s="51" t="n">
        <f aca="false">G559-I559-K559</f>
        <v>80738</v>
      </c>
      <c r="S559" s="51" t="n">
        <f aca="false">R559-Q559</f>
        <v>-1746</v>
      </c>
      <c r="T559" s="52" t="n">
        <f aca="false">IF(Q559=0,0,S559/Q559)</f>
        <v>-0.0211677416226177</v>
      </c>
      <c r="U559" s="51" t="str">
        <f aca="false">IF(AND(Q559&gt;0,T559&lt;-0.15),"ADVERSE","")</f>
        <v/>
      </c>
    </row>
    <row r="560" customFormat="false" ht="15" hidden="false" customHeight="false" outlineLevel="0" collapsed="false">
      <c r="A560" s="47" t="s">
        <v>139</v>
      </c>
      <c r="B560" s="47" t="s">
        <v>135</v>
      </c>
      <c r="C560" s="48" t="n">
        <v>45444</v>
      </c>
      <c r="D560" s="47" t="s">
        <v>35</v>
      </c>
      <c r="E560" s="47" t="s">
        <v>43</v>
      </c>
      <c r="F560" s="49" t="n">
        <v>289726</v>
      </c>
      <c r="G560" s="49" t="n">
        <v>307402</v>
      </c>
      <c r="H560" s="49" t="n">
        <v>157756</v>
      </c>
      <c r="I560" s="49" t="n">
        <v>171446</v>
      </c>
      <c r="J560" s="49" t="n">
        <v>45922</v>
      </c>
      <c r="K560" s="49" t="n">
        <v>47304</v>
      </c>
      <c r="L560" s="50" t="n">
        <v>14.8</v>
      </c>
      <c r="M560" s="51" t="n">
        <f aca="false">G560-F560</f>
        <v>17676</v>
      </c>
      <c r="N560" s="52" t="n">
        <f aca="false">IF(F560=0,0,M560/F560)</f>
        <v>0.061009367471335</v>
      </c>
      <c r="O560" s="51" t="n">
        <f aca="false">G560-I560</f>
        <v>135956</v>
      </c>
      <c r="P560" s="51" t="n">
        <f aca="false">F560-H560</f>
        <v>131970</v>
      </c>
      <c r="Q560" s="51" t="n">
        <f aca="false">F560-H560-J560</f>
        <v>86048</v>
      </c>
      <c r="R560" s="51" t="n">
        <f aca="false">G560-I560-K560</f>
        <v>88652</v>
      </c>
      <c r="S560" s="51" t="n">
        <f aca="false">R560-Q560</f>
        <v>2604</v>
      </c>
      <c r="T560" s="52" t="n">
        <f aca="false">IF(Q560=0,0,S560/Q560)</f>
        <v>0.0302621792487914</v>
      </c>
      <c r="U560" s="51" t="str">
        <f aca="false">IF(AND(Q560&gt;0,T560&lt;-0.15),"ADVERSE","")</f>
        <v/>
      </c>
    </row>
    <row r="561" customFormat="false" ht="15" hidden="false" customHeight="false" outlineLevel="0" collapsed="false">
      <c r="A561" s="47" t="s">
        <v>139</v>
      </c>
      <c r="B561" s="47" t="s">
        <v>136</v>
      </c>
      <c r="C561" s="48" t="n">
        <v>45474</v>
      </c>
      <c r="D561" s="47" t="s">
        <v>35</v>
      </c>
      <c r="E561" s="47" t="s">
        <v>43</v>
      </c>
      <c r="F561" s="49" t="n">
        <v>295154</v>
      </c>
      <c r="G561" s="49" t="n">
        <v>304568</v>
      </c>
      <c r="H561" s="49" t="n">
        <v>160712</v>
      </c>
      <c r="I561" s="49" t="n">
        <v>164388</v>
      </c>
      <c r="J561" s="49" t="n">
        <v>46782</v>
      </c>
      <c r="K561" s="49" t="n">
        <v>49711</v>
      </c>
      <c r="L561" s="50" t="n">
        <v>15.1</v>
      </c>
      <c r="M561" s="51" t="n">
        <f aca="false">G561-F561</f>
        <v>9414</v>
      </c>
      <c r="N561" s="52" t="n">
        <f aca="false">IF(F561=0,0,M561/F561)</f>
        <v>0.0318952140238655</v>
      </c>
      <c r="O561" s="51" t="n">
        <f aca="false">G561-I561</f>
        <v>140180</v>
      </c>
      <c r="P561" s="51" t="n">
        <f aca="false">F561-H561</f>
        <v>134442</v>
      </c>
      <c r="Q561" s="51" t="n">
        <f aca="false">F561-H561-J561</f>
        <v>87660</v>
      </c>
      <c r="R561" s="51" t="n">
        <f aca="false">G561-I561-K561</f>
        <v>90469</v>
      </c>
      <c r="S561" s="51" t="n">
        <f aca="false">R561-Q561</f>
        <v>2809</v>
      </c>
      <c r="T561" s="52" t="n">
        <f aca="false">IF(Q561=0,0,S561/Q561)</f>
        <v>0.0320442619210586</v>
      </c>
      <c r="U561" s="51" t="str">
        <f aca="false">IF(AND(Q561&gt;0,T561&lt;-0.15),"ADVERSE","")</f>
        <v/>
      </c>
    </row>
    <row r="562" customFormat="false" ht="15" hidden="false" customHeight="false" outlineLevel="0" collapsed="false">
      <c r="A562" s="47" t="s">
        <v>139</v>
      </c>
      <c r="B562" s="47" t="s">
        <v>136</v>
      </c>
      <c r="C562" s="48" t="n">
        <v>45505</v>
      </c>
      <c r="D562" s="47" t="s">
        <v>35</v>
      </c>
      <c r="E562" s="47" t="s">
        <v>43</v>
      </c>
      <c r="F562" s="49" t="n">
        <v>282435</v>
      </c>
      <c r="G562" s="49" t="n">
        <v>305121</v>
      </c>
      <c r="H562" s="49" t="n">
        <v>153786</v>
      </c>
      <c r="I562" s="49" t="n">
        <v>168065</v>
      </c>
      <c r="J562" s="49" t="n">
        <v>44766</v>
      </c>
      <c r="K562" s="49" t="n">
        <v>44909</v>
      </c>
      <c r="L562" s="50" t="n">
        <v>15.5</v>
      </c>
      <c r="M562" s="51" t="n">
        <f aca="false">G562-F562</f>
        <v>22686</v>
      </c>
      <c r="N562" s="52" t="n">
        <f aca="false">IF(F562=0,0,M562/F562)</f>
        <v>0.0803229061553986</v>
      </c>
      <c r="O562" s="51" t="n">
        <f aca="false">G562-I562</f>
        <v>137056</v>
      </c>
      <c r="P562" s="51" t="n">
        <f aca="false">F562-H562</f>
        <v>128649</v>
      </c>
      <c r="Q562" s="51" t="n">
        <f aca="false">F562-H562-J562</f>
        <v>83883</v>
      </c>
      <c r="R562" s="51" t="n">
        <f aca="false">G562-I562-K562</f>
        <v>92147</v>
      </c>
      <c r="S562" s="51" t="n">
        <f aca="false">R562-Q562</f>
        <v>8264</v>
      </c>
      <c r="T562" s="52" t="n">
        <f aca="false">IF(Q562=0,0,S562/Q562)</f>
        <v>0.0985181741234815</v>
      </c>
      <c r="U562" s="51" t="str">
        <f aca="false">IF(AND(Q562&gt;0,T562&lt;-0.15),"ADVERSE","")</f>
        <v/>
      </c>
    </row>
    <row r="563" customFormat="false" ht="15" hidden="false" customHeight="false" outlineLevel="0" collapsed="false">
      <c r="A563" s="47" t="s">
        <v>139</v>
      </c>
      <c r="B563" s="47" t="s">
        <v>136</v>
      </c>
      <c r="C563" s="48" t="n">
        <v>45536</v>
      </c>
      <c r="D563" s="47" t="s">
        <v>35</v>
      </c>
      <c r="E563" s="47" t="s">
        <v>43</v>
      </c>
      <c r="F563" s="49" t="n">
        <v>301697</v>
      </c>
      <c r="G563" s="49" t="n">
        <v>315328</v>
      </c>
      <c r="H563" s="49" t="n">
        <v>164274</v>
      </c>
      <c r="I563" s="49" t="n">
        <v>174369</v>
      </c>
      <c r="J563" s="49" t="n">
        <v>47819</v>
      </c>
      <c r="K563" s="49" t="n">
        <v>49902</v>
      </c>
      <c r="L563" s="50" t="n">
        <v>15.2</v>
      </c>
      <c r="M563" s="51" t="n">
        <f aca="false">G563-F563</f>
        <v>13631</v>
      </c>
      <c r="N563" s="52" t="n">
        <f aca="false">IF(F563=0,0,M563/F563)</f>
        <v>0.0451810922879578</v>
      </c>
      <c r="O563" s="51" t="n">
        <f aca="false">G563-I563</f>
        <v>140959</v>
      </c>
      <c r="P563" s="51" t="n">
        <f aca="false">F563-H563</f>
        <v>137423</v>
      </c>
      <c r="Q563" s="51" t="n">
        <f aca="false">F563-H563-J563</f>
        <v>89604</v>
      </c>
      <c r="R563" s="51" t="n">
        <f aca="false">G563-I563-K563</f>
        <v>91057</v>
      </c>
      <c r="S563" s="51" t="n">
        <f aca="false">R563-Q563</f>
        <v>1453</v>
      </c>
      <c r="T563" s="52" t="n">
        <f aca="false">IF(Q563=0,0,S563/Q563)</f>
        <v>0.0162157939377706</v>
      </c>
      <c r="U563" s="51" t="str">
        <f aca="false">IF(AND(Q563&gt;0,T563&lt;-0.15),"ADVERSE","")</f>
        <v/>
      </c>
    </row>
    <row r="564" customFormat="false" ht="15" hidden="false" customHeight="false" outlineLevel="0" collapsed="false">
      <c r="A564" s="47" t="s">
        <v>139</v>
      </c>
      <c r="B564" s="47" t="s">
        <v>137</v>
      </c>
      <c r="C564" s="48" t="n">
        <v>45566</v>
      </c>
      <c r="D564" s="47" t="s">
        <v>35</v>
      </c>
      <c r="E564" s="47" t="s">
        <v>43</v>
      </c>
      <c r="F564" s="49" t="n">
        <v>315229</v>
      </c>
      <c r="G564" s="49" t="n">
        <v>323278</v>
      </c>
      <c r="H564" s="49" t="n">
        <v>171642</v>
      </c>
      <c r="I564" s="49" t="n">
        <v>176382</v>
      </c>
      <c r="J564" s="49" t="n">
        <v>49964</v>
      </c>
      <c r="K564" s="49" t="n">
        <v>52153</v>
      </c>
      <c r="L564" s="50" t="n">
        <v>14.7</v>
      </c>
      <c r="M564" s="51" t="n">
        <f aca="false">G564-F564</f>
        <v>8049</v>
      </c>
      <c r="N564" s="52" t="n">
        <f aca="false">IF(F564=0,0,M564/F564)</f>
        <v>0.0255338182717961</v>
      </c>
      <c r="O564" s="51" t="n">
        <f aca="false">G564-I564</f>
        <v>146896</v>
      </c>
      <c r="P564" s="51" t="n">
        <f aca="false">F564-H564</f>
        <v>143587</v>
      </c>
      <c r="Q564" s="51" t="n">
        <f aca="false">F564-H564-J564</f>
        <v>93623</v>
      </c>
      <c r="R564" s="51" t="n">
        <f aca="false">G564-I564-K564</f>
        <v>94743</v>
      </c>
      <c r="S564" s="51" t="n">
        <f aca="false">R564-Q564</f>
        <v>1120</v>
      </c>
      <c r="T564" s="52" t="n">
        <f aca="false">IF(Q564=0,0,S564/Q564)</f>
        <v>0.0119628723711054</v>
      </c>
      <c r="U564" s="51" t="str">
        <f aca="false">IF(AND(Q564&gt;0,T564&lt;-0.15),"ADVERSE","")</f>
        <v/>
      </c>
    </row>
    <row r="565" customFormat="false" ht="15" hidden="false" customHeight="false" outlineLevel="0" collapsed="false">
      <c r="A565" s="47" t="s">
        <v>139</v>
      </c>
      <c r="B565" s="47" t="s">
        <v>137</v>
      </c>
      <c r="C565" s="48" t="n">
        <v>45597</v>
      </c>
      <c r="D565" s="47" t="s">
        <v>35</v>
      </c>
      <c r="E565" s="47" t="s">
        <v>43</v>
      </c>
      <c r="F565" s="49" t="n">
        <v>311264</v>
      </c>
      <c r="G565" s="49" t="n">
        <v>328737</v>
      </c>
      <c r="H565" s="49" t="n">
        <v>169483</v>
      </c>
      <c r="I565" s="49" t="n">
        <v>186322</v>
      </c>
      <c r="J565" s="49" t="n">
        <v>49335</v>
      </c>
      <c r="K565" s="49" t="n">
        <v>54156</v>
      </c>
      <c r="L565" s="50" t="n">
        <v>15.9</v>
      </c>
      <c r="M565" s="51" t="n">
        <f aca="false">G565-F565</f>
        <v>17473</v>
      </c>
      <c r="N565" s="52" t="n">
        <f aca="false">IF(F565=0,0,M565/F565)</f>
        <v>0.0561356276344197</v>
      </c>
      <c r="O565" s="51" t="n">
        <f aca="false">G565-I565</f>
        <v>142415</v>
      </c>
      <c r="P565" s="51" t="n">
        <f aca="false">F565-H565</f>
        <v>141781</v>
      </c>
      <c r="Q565" s="51" t="n">
        <f aca="false">F565-H565-J565</f>
        <v>92446</v>
      </c>
      <c r="R565" s="51" t="n">
        <f aca="false">G565-I565-K565</f>
        <v>88259</v>
      </c>
      <c r="S565" s="51" t="n">
        <f aca="false">R565-Q565</f>
        <v>-4187</v>
      </c>
      <c r="T565" s="52" t="n">
        <f aca="false">IF(Q565=0,0,S565/Q565)</f>
        <v>-0.0452913051943838</v>
      </c>
      <c r="U565" s="51" t="str">
        <f aca="false">IF(AND(Q565&gt;0,T565&lt;-0.15),"ADVERSE","")</f>
        <v/>
      </c>
    </row>
    <row r="566" customFormat="false" ht="15" hidden="false" customHeight="false" outlineLevel="0" collapsed="false">
      <c r="A566" s="47" t="s">
        <v>139</v>
      </c>
      <c r="B566" s="47" t="s">
        <v>137</v>
      </c>
      <c r="C566" s="48" t="n">
        <v>45627</v>
      </c>
      <c r="D566" s="47" t="s">
        <v>35</v>
      </c>
      <c r="E566" s="47" t="s">
        <v>43</v>
      </c>
      <c r="F566" s="49" t="n">
        <v>316760</v>
      </c>
      <c r="G566" s="49" t="n">
        <v>334163</v>
      </c>
      <c r="H566" s="49" t="n">
        <v>172476</v>
      </c>
      <c r="I566" s="49" t="n">
        <v>179695</v>
      </c>
      <c r="J566" s="49" t="n">
        <v>50206</v>
      </c>
      <c r="K566" s="49" t="n">
        <v>55034</v>
      </c>
      <c r="L566" s="50" t="n">
        <v>16.1</v>
      </c>
      <c r="M566" s="51" t="n">
        <f aca="false">G566-F566</f>
        <v>17403</v>
      </c>
      <c r="N566" s="52" t="n">
        <f aca="false">IF(F566=0,0,M566/F566)</f>
        <v>0.0549406490718525</v>
      </c>
      <c r="O566" s="51" t="n">
        <f aca="false">G566-I566</f>
        <v>154468</v>
      </c>
      <c r="P566" s="51" t="n">
        <f aca="false">F566-H566</f>
        <v>144284</v>
      </c>
      <c r="Q566" s="51" t="n">
        <f aca="false">F566-H566-J566</f>
        <v>94078</v>
      </c>
      <c r="R566" s="51" t="n">
        <f aca="false">G566-I566-K566</f>
        <v>99434</v>
      </c>
      <c r="S566" s="51" t="n">
        <f aca="false">R566-Q566</f>
        <v>5356</v>
      </c>
      <c r="T566" s="52" t="n">
        <f aca="false">IF(Q566=0,0,S566/Q566)</f>
        <v>0.0569314823869555</v>
      </c>
      <c r="U566" s="51" t="str">
        <f aca="false">IF(AND(Q566&gt;0,T566&lt;-0.15),"ADVERSE","")</f>
        <v/>
      </c>
    </row>
    <row r="567" customFormat="false" ht="15" hidden="false" customHeight="false" outlineLevel="0" collapsed="false">
      <c r="A567" s="47" t="s">
        <v>139</v>
      </c>
      <c r="B567" s="47" t="s">
        <v>138</v>
      </c>
      <c r="C567" s="48" t="n">
        <v>45658</v>
      </c>
      <c r="D567" s="47" t="s">
        <v>35</v>
      </c>
      <c r="E567" s="47" t="s">
        <v>43</v>
      </c>
      <c r="F567" s="49" t="n">
        <v>312067</v>
      </c>
      <c r="G567" s="49" t="n">
        <v>326150</v>
      </c>
      <c r="H567" s="49" t="n">
        <v>169920</v>
      </c>
      <c r="I567" s="49" t="n">
        <v>180514</v>
      </c>
      <c r="J567" s="49" t="n">
        <v>49463</v>
      </c>
      <c r="K567" s="49" t="n">
        <v>52204</v>
      </c>
      <c r="L567" s="50" t="n">
        <v>15.8</v>
      </c>
      <c r="M567" s="51" t="n">
        <f aca="false">G567-F567</f>
        <v>14083</v>
      </c>
      <c r="N567" s="52" t="n">
        <f aca="false">IF(F567=0,0,M567/F567)</f>
        <v>0.0451281295362855</v>
      </c>
      <c r="O567" s="51" t="n">
        <f aca="false">G567-I567</f>
        <v>145636</v>
      </c>
      <c r="P567" s="51" t="n">
        <f aca="false">F567-H567</f>
        <v>142147</v>
      </c>
      <c r="Q567" s="51" t="n">
        <f aca="false">F567-H567-J567</f>
        <v>92684</v>
      </c>
      <c r="R567" s="51" t="n">
        <f aca="false">G567-I567-K567</f>
        <v>93432</v>
      </c>
      <c r="S567" s="51" t="n">
        <f aca="false">R567-Q567</f>
        <v>748</v>
      </c>
      <c r="T567" s="52" t="n">
        <f aca="false">IF(Q567=0,0,S567/Q567)</f>
        <v>0.00807043286867205</v>
      </c>
      <c r="U567" s="51" t="str">
        <f aca="false">IF(AND(Q567&gt;0,T567&lt;-0.15),"ADVERSE","")</f>
        <v/>
      </c>
    </row>
    <row r="568" customFormat="false" ht="15" hidden="false" customHeight="false" outlineLevel="0" collapsed="false">
      <c r="A568" s="47" t="s">
        <v>139</v>
      </c>
      <c r="B568" s="47" t="s">
        <v>138</v>
      </c>
      <c r="C568" s="48" t="n">
        <v>45689</v>
      </c>
      <c r="D568" s="47" t="s">
        <v>35</v>
      </c>
      <c r="E568" s="47" t="s">
        <v>43</v>
      </c>
      <c r="F568" s="49" t="n">
        <v>322297</v>
      </c>
      <c r="G568" s="49" t="n">
        <v>342467</v>
      </c>
      <c r="H568" s="49" t="n">
        <v>175491</v>
      </c>
      <c r="I568" s="49" t="n">
        <v>183362</v>
      </c>
      <c r="J568" s="49" t="n">
        <v>51084</v>
      </c>
      <c r="K568" s="49" t="n">
        <v>57191</v>
      </c>
      <c r="L568" s="50" t="n">
        <v>16.3</v>
      </c>
      <c r="M568" s="51" t="n">
        <f aca="false">G568-F568</f>
        <v>20170</v>
      </c>
      <c r="N568" s="52" t="n">
        <f aca="false">IF(F568=0,0,M568/F568)</f>
        <v>0.0625820283775524</v>
      </c>
      <c r="O568" s="51" t="n">
        <f aca="false">G568-I568</f>
        <v>159105</v>
      </c>
      <c r="P568" s="51" t="n">
        <f aca="false">F568-H568</f>
        <v>146806</v>
      </c>
      <c r="Q568" s="51" t="n">
        <f aca="false">F568-H568-J568</f>
        <v>95722</v>
      </c>
      <c r="R568" s="51" t="n">
        <f aca="false">G568-I568-K568</f>
        <v>101914</v>
      </c>
      <c r="S568" s="51" t="n">
        <f aca="false">R568-Q568</f>
        <v>6192</v>
      </c>
      <c r="T568" s="52" t="n">
        <f aca="false">IF(Q568=0,0,S568/Q568)</f>
        <v>0.0646873237082385</v>
      </c>
      <c r="U568" s="51" t="str">
        <f aca="false">IF(AND(Q568&gt;0,T568&lt;-0.15),"ADVERSE","")</f>
        <v/>
      </c>
    </row>
    <row r="569" customFormat="false" ht="15" hidden="false" customHeight="false" outlineLevel="0" collapsed="false">
      <c r="A569" s="47" t="s">
        <v>139</v>
      </c>
      <c r="B569" s="47" t="s">
        <v>138</v>
      </c>
      <c r="C569" s="48" t="n">
        <v>45717</v>
      </c>
      <c r="D569" s="47" t="s">
        <v>35</v>
      </c>
      <c r="E569" s="47" t="s">
        <v>43</v>
      </c>
      <c r="F569" s="49" t="n">
        <v>351329</v>
      </c>
      <c r="G569" s="49" t="n">
        <v>373934</v>
      </c>
      <c r="H569" s="49" t="n">
        <v>191299</v>
      </c>
      <c r="I569" s="49" t="n">
        <v>200615</v>
      </c>
      <c r="J569" s="49" t="n">
        <v>55686</v>
      </c>
      <c r="K569" s="49" t="n">
        <v>60488</v>
      </c>
      <c r="L569" s="50" t="n">
        <v>16.8</v>
      </c>
      <c r="M569" s="51" t="n">
        <f aca="false">G569-F569</f>
        <v>22605</v>
      </c>
      <c r="N569" s="52" t="n">
        <f aca="false">IF(F569=0,0,M569/F569)</f>
        <v>0.064341400795266</v>
      </c>
      <c r="O569" s="51" t="n">
        <f aca="false">G569-I569</f>
        <v>173319</v>
      </c>
      <c r="P569" s="51" t="n">
        <f aca="false">F569-H569</f>
        <v>160030</v>
      </c>
      <c r="Q569" s="51" t="n">
        <f aca="false">F569-H569-J569</f>
        <v>104344</v>
      </c>
      <c r="R569" s="51" t="n">
        <f aca="false">G569-I569-K569</f>
        <v>112831</v>
      </c>
      <c r="S569" s="51" t="n">
        <f aca="false">R569-Q569</f>
        <v>8487</v>
      </c>
      <c r="T569" s="52" t="n">
        <f aca="false">IF(Q569=0,0,S569/Q569)</f>
        <v>0.0813367323468527</v>
      </c>
      <c r="U569" s="51" t="str">
        <f aca="false">IF(AND(Q569&gt;0,T569&lt;-0.15),"ADVERSE","")</f>
        <v/>
      </c>
    </row>
    <row r="570" customFormat="false" ht="15" hidden="false" customHeight="false" outlineLevel="0" collapsed="false">
      <c r="A570" s="47" t="s">
        <v>3</v>
      </c>
      <c r="B570" s="47" t="s">
        <v>135</v>
      </c>
      <c r="C570" s="48" t="n">
        <v>45748</v>
      </c>
      <c r="D570" s="47" t="s">
        <v>35</v>
      </c>
      <c r="E570" s="47" t="s">
        <v>43</v>
      </c>
      <c r="F570" s="49" t="n">
        <v>329294</v>
      </c>
      <c r="G570" s="49" t="n">
        <v>368553</v>
      </c>
      <c r="H570" s="49" t="n">
        <v>179301</v>
      </c>
      <c r="I570" s="49" t="n">
        <v>198113</v>
      </c>
      <c r="J570" s="49" t="n">
        <v>52193</v>
      </c>
      <c r="K570" s="49" t="n">
        <v>59426</v>
      </c>
      <c r="L570" s="50" t="n">
        <v>16.7</v>
      </c>
      <c r="M570" s="51" t="n">
        <f aca="false">G570-F570</f>
        <v>39259</v>
      </c>
      <c r="N570" s="52" t="n">
        <f aca="false">IF(F570=0,0,M570/F570)</f>
        <v>0.119221728910943</v>
      </c>
      <c r="O570" s="51" t="n">
        <f aca="false">G570-I570</f>
        <v>170440</v>
      </c>
      <c r="P570" s="51" t="n">
        <f aca="false">F570-H570</f>
        <v>149993</v>
      </c>
      <c r="Q570" s="51" t="n">
        <f aca="false">F570-H570-J570</f>
        <v>97800</v>
      </c>
      <c r="R570" s="51" t="n">
        <f aca="false">G570-I570-K570</f>
        <v>111014</v>
      </c>
      <c r="S570" s="51" t="n">
        <f aca="false">R570-Q570</f>
        <v>13214</v>
      </c>
      <c r="T570" s="52" t="n">
        <f aca="false">IF(Q570=0,0,S570/Q570)</f>
        <v>0.135112474437628</v>
      </c>
      <c r="U570" s="51" t="str">
        <f aca="false">IF(AND(Q570&gt;0,T570&lt;-0.15),"ADVERSE","")</f>
        <v/>
      </c>
    </row>
    <row r="571" customFormat="false" ht="15" hidden="false" customHeight="false" outlineLevel="0" collapsed="false">
      <c r="A571" s="47" t="s">
        <v>3</v>
      </c>
      <c r="B571" s="47" t="s">
        <v>135</v>
      </c>
      <c r="C571" s="48" t="n">
        <v>45778</v>
      </c>
      <c r="D571" s="47" t="s">
        <v>35</v>
      </c>
      <c r="E571" s="47" t="s">
        <v>43</v>
      </c>
      <c r="F571" s="49" t="n">
        <v>331549</v>
      </c>
      <c r="G571" s="49" t="n">
        <v>354038</v>
      </c>
      <c r="H571" s="49" t="n">
        <v>180529</v>
      </c>
      <c r="I571" s="49" t="n">
        <v>188999</v>
      </c>
      <c r="J571" s="49" t="n">
        <v>52551</v>
      </c>
      <c r="K571" s="49" t="n">
        <v>57764</v>
      </c>
      <c r="L571" s="50" t="n">
        <v>17</v>
      </c>
      <c r="M571" s="51" t="n">
        <f aca="false">G571-F571</f>
        <v>22489</v>
      </c>
      <c r="N571" s="52" t="n">
        <f aca="false">IF(F571=0,0,M571/F571)</f>
        <v>0.0678300944958362</v>
      </c>
      <c r="O571" s="51" t="n">
        <f aca="false">G571-I571</f>
        <v>165039</v>
      </c>
      <c r="P571" s="51" t="n">
        <f aca="false">F571-H571</f>
        <v>151020</v>
      </c>
      <c r="Q571" s="51" t="n">
        <f aca="false">F571-H571-J571</f>
        <v>98469</v>
      </c>
      <c r="R571" s="51" t="n">
        <f aca="false">G571-I571-K571</f>
        <v>107275</v>
      </c>
      <c r="S571" s="51" t="n">
        <f aca="false">R571-Q571</f>
        <v>8806</v>
      </c>
      <c r="T571" s="52" t="n">
        <f aca="false">IF(Q571=0,0,S571/Q571)</f>
        <v>0.0894291604464349</v>
      </c>
      <c r="U571" s="51" t="str">
        <f aca="false">IF(AND(Q571&gt;0,T571&lt;-0.15),"ADVERSE","")</f>
        <v/>
      </c>
    </row>
    <row r="572" customFormat="false" ht="15" hidden="false" customHeight="false" outlineLevel="0" collapsed="false">
      <c r="A572" s="47" t="s">
        <v>3</v>
      </c>
      <c r="B572" s="47" t="s">
        <v>135</v>
      </c>
      <c r="C572" s="48" t="n">
        <v>45809</v>
      </c>
      <c r="D572" s="47" t="s">
        <v>35</v>
      </c>
      <c r="E572" s="47" t="s">
        <v>43</v>
      </c>
      <c r="F572" s="49" t="n">
        <v>343240</v>
      </c>
      <c r="G572" s="49" t="n">
        <v>353853</v>
      </c>
      <c r="H572" s="49" t="n">
        <v>186894</v>
      </c>
      <c r="I572" s="49" t="n">
        <v>191194</v>
      </c>
      <c r="J572" s="49" t="n">
        <v>54404</v>
      </c>
      <c r="K572" s="49" t="n">
        <v>56717</v>
      </c>
      <c r="L572" s="50" t="n">
        <v>16.5</v>
      </c>
      <c r="M572" s="51" t="n">
        <f aca="false">G572-F572</f>
        <v>10613</v>
      </c>
      <c r="N572" s="52" t="n">
        <f aca="false">IF(F572=0,0,M572/F572)</f>
        <v>0.0309200559375364</v>
      </c>
      <c r="O572" s="51" t="n">
        <f aca="false">G572-I572</f>
        <v>162659</v>
      </c>
      <c r="P572" s="51" t="n">
        <f aca="false">F572-H572</f>
        <v>156346</v>
      </c>
      <c r="Q572" s="51" t="n">
        <f aca="false">F572-H572-J572</f>
        <v>101942</v>
      </c>
      <c r="R572" s="51" t="n">
        <f aca="false">G572-I572-K572</f>
        <v>105942</v>
      </c>
      <c r="S572" s="51" t="n">
        <f aca="false">R572-Q572</f>
        <v>4000</v>
      </c>
      <c r="T572" s="52" t="n">
        <f aca="false">IF(Q572=0,0,S572/Q572)</f>
        <v>0.0392379980773381</v>
      </c>
      <c r="U572" s="51" t="str">
        <f aca="false">IF(AND(Q572&gt;0,T572&lt;-0.15),"ADVERSE","")</f>
        <v/>
      </c>
    </row>
    <row r="573" customFormat="false" ht="15" hidden="false" customHeight="false" outlineLevel="0" collapsed="false">
      <c r="A573" s="47" t="s">
        <v>3</v>
      </c>
      <c r="B573" s="47" t="s">
        <v>136</v>
      </c>
      <c r="C573" s="48" t="n">
        <v>45839</v>
      </c>
      <c r="D573" s="47" t="s">
        <v>35</v>
      </c>
      <c r="E573" s="47" t="s">
        <v>43</v>
      </c>
      <c r="F573" s="49" t="n">
        <v>346786</v>
      </c>
      <c r="G573" s="49" t="n">
        <v>390842</v>
      </c>
      <c r="H573" s="49" t="n">
        <v>188825</v>
      </c>
      <c r="I573" s="49" t="n">
        <v>212026</v>
      </c>
      <c r="J573" s="49" t="n">
        <v>54966</v>
      </c>
      <c r="K573" s="49" t="n">
        <v>65979</v>
      </c>
      <c r="L573" s="50" t="n">
        <v>16.9</v>
      </c>
      <c r="M573" s="51" t="n">
        <f aca="false">G573-F573</f>
        <v>44056</v>
      </c>
      <c r="N573" s="52" t="n">
        <f aca="false">IF(F573=0,0,M573/F573)</f>
        <v>0.127040884003391</v>
      </c>
      <c r="O573" s="51" t="n">
        <f aca="false">G573-I573</f>
        <v>178816</v>
      </c>
      <c r="P573" s="51" t="n">
        <f aca="false">F573-H573</f>
        <v>157961</v>
      </c>
      <c r="Q573" s="51" t="n">
        <f aca="false">F573-H573-J573</f>
        <v>102995</v>
      </c>
      <c r="R573" s="51" t="n">
        <f aca="false">G573-I573-K573</f>
        <v>112837</v>
      </c>
      <c r="S573" s="51" t="n">
        <f aca="false">R573-Q573</f>
        <v>9842</v>
      </c>
      <c r="T573" s="52" t="n">
        <f aca="false">IF(Q573=0,0,S573/Q573)</f>
        <v>0.0955580367979028</v>
      </c>
      <c r="U573" s="51" t="str">
        <f aca="false">IF(AND(Q573&gt;0,T573&lt;-0.15),"ADVERSE","")</f>
        <v/>
      </c>
    </row>
    <row r="574" customFormat="false" ht="15" hidden="false" customHeight="false" outlineLevel="0" collapsed="false">
      <c r="A574" s="47" t="s">
        <v>3</v>
      </c>
      <c r="B574" s="47" t="s">
        <v>136</v>
      </c>
      <c r="C574" s="48" t="n">
        <v>45870</v>
      </c>
      <c r="D574" s="47" t="s">
        <v>35</v>
      </c>
      <c r="E574" s="47" t="s">
        <v>43</v>
      </c>
      <c r="F574" s="49" t="n">
        <v>342606</v>
      </c>
      <c r="G574" s="49" t="n">
        <v>378486</v>
      </c>
      <c r="H574" s="49" t="n">
        <v>186549</v>
      </c>
      <c r="I574" s="49" t="n">
        <v>200221</v>
      </c>
      <c r="J574" s="49" t="n">
        <v>54303</v>
      </c>
      <c r="K574" s="49" t="n">
        <v>61164</v>
      </c>
      <c r="L574" s="50" t="n">
        <v>17.5</v>
      </c>
      <c r="M574" s="51" t="n">
        <f aca="false">G574-F574</f>
        <v>35880</v>
      </c>
      <c r="N574" s="52" t="n">
        <f aca="false">IF(F574=0,0,M574/F574)</f>
        <v>0.104726712316772</v>
      </c>
      <c r="O574" s="51" t="n">
        <f aca="false">G574-I574</f>
        <v>178265</v>
      </c>
      <c r="P574" s="51" t="n">
        <f aca="false">F574-H574</f>
        <v>156057</v>
      </c>
      <c r="Q574" s="51" t="n">
        <f aca="false">F574-H574-J574</f>
        <v>101754</v>
      </c>
      <c r="R574" s="51" t="n">
        <f aca="false">G574-I574-K574</f>
        <v>117101</v>
      </c>
      <c r="S574" s="51" t="n">
        <f aca="false">R574-Q574</f>
        <v>15347</v>
      </c>
      <c r="T574" s="52" t="n">
        <f aca="false">IF(Q574=0,0,S574/Q574)</f>
        <v>0.150824537610315</v>
      </c>
      <c r="U574" s="51" t="str">
        <f aca="false">IF(AND(Q574&gt;0,T574&lt;-0.15),"ADVERSE","")</f>
        <v/>
      </c>
    </row>
    <row r="575" customFormat="false" ht="15" hidden="false" customHeight="false" outlineLevel="0" collapsed="false">
      <c r="A575" s="47" t="s">
        <v>3</v>
      </c>
      <c r="B575" s="47" t="s">
        <v>136</v>
      </c>
      <c r="C575" s="48" t="n">
        <v>45901</v>
      </c>
      <c r="D575" s="47" t="s">
        <v>35</v>
      </c>
      <c r="E575" s="47" t="s">
        <v>43</v>
      </c>
      <c r="F575" s="49" t="n">
        <v>346421</v>
      </c>
      <c r="G575" s="49" t="n">
        <v>366840</v>
      </c>
      <c r="H575" s="49" t="n">
        <v>188626</v>
      </c>
      <c r="I575" s="49" t="n">
        <v>202073</v>
      </c>
      <c r="J575" s="49" t="n">
        <v>54908</v>
      </c>
      <c r="K575" s="49" t="n">
        <v>61292</v>
      </c>
      <c r="L575" s="50" t="n">
        <v>17.5</v>
      </c>
      <c r="M575" s="51" t="n">
        <f aca="false">G575-F575</f>
        <v>20419</v>
      </c>
      <c r="N575" s="52" t="n">
        <f aca="false">IF(F575=0,0,M575/F575)</f>
        <v>0.0589427315318644</v>
      </c>
      <c r="O575" s="51" t="n">
        <f aca="false">G575-I575</f>
        <v>164767</v>
      </c>
      <c r="P575" s="51" t="n">
        <f aca="false">F575-H575</f>
        <v>157795</v>
      </c>
      <c r="Q575" s="51" t="n">
        <f aca="false">F575-H575-J575</f>
        <v>102887</v>
      </c>
      <c r="R575" s="51" t="n">
        <f aca="false">G575-I575-K575</f>
        <v>103475</v>
      </c>
      <c r="S575" s="51" t="n">
        <f aca="false">R575-Q575</f>
        <v>588</v>
      </c>
      <c r="T575" s="52" t="n">
        <f aca="false">IF(Q575=0,0,S575/Q575)</f>
        <v>0.00571500772692371</v>
      </c>
      <c r="U575" s="51" t="str">
        <f aca="false">IF(AND(Q575&gt;0,T575&lt;-0.15),"ADVERSE","")</f>
        <v/>
      </c>
    </row>
    <row r="576" customFormat="false" ht="15" hidden="false" customHeight="false" outlineLevel="0" collapsed="false">
      <c r="A576" s="47" t="s">
        <v>3</v>
      </c>
      <c r="B576" s="47" t="s">
        <v>137</v>
      </c>
      <c r="C576" s="48" t="n">
        <v>45931</v>
      </c>
      <c r="D576" s="47" t="s">
        <v>35</v>
      </c>
      <c r="E576" s="47" t="s">
        <v>43</v>
      </c>
      <c r="F576" s="49" t="n">
        <v>369831</v>
      </c>
      <c r="G576" s="49" t="n">
        <v>385529</v>
      </c>
      <c r="H576" s="49" t="n">
        <v>201373</v>
      </c>
      <c r="I576" s="49" t="n">
        <v>217647</v>
      </c>
      <c r="J576" s="49" t="n">
        <v>58618</v>
      </c>
      <c r="K576" s="49" t="n">
        <v>58060</v>
      </c>
      <c r="L576" s="50" t="n">
        <v>17.7</v>
      </c>
      <c r="M576" s="51" t="n">
        <f aca="false">G576-F576</f>
        <v>15698</v>
      </c>
      <c r="N576" s="52" t="n">
        <f aca="false">IF(F576=0,0,M576/F576)</f>
        <v>0.0424464147137476</v>
      </c>
      <c r="O576" s="51" t="n">
        <f aca="false">G576-I576</f>
        <v>167882</v>
      </c>
      <c r="P576" s="51" t="n">
        <f aca="false">F576-H576</f>
        <v>168458</v>
      </c>
      <c r="Q576" s="51" t="n">
        <f aca="false">F576-H576-J576</f>
        <v>109840</v>
      </c>
      <c r="R576" s="51" t="n">
        <f aca="false">G576-I576-K576</f>
        <v>109822</v>
      </c>
      <c r="S576" s="51" t="n">
        <f aca="false">R576-Q576</f>
        <v>-18</v>
      </c>
      <c r="T576" s="52" t="n">
        <f aca="false">IF(Q576=0,0,S576/Q576)</f>
        <v>-0.000163874726875455</v>
      </c>
      <c r="U576" s="51" t="str">
        <f aca="false">IF(AND(Q576&gt;0,T576&lt;-0.15),"ADVERSE","")</f>
        <v/>
      </c>
    </row>
    <row r="577" customFormat="false" ht="15" hidden="false" customHeight="false" outlineLevel="0" collapsed="false">
      <c r="A577" s="47" t="s">
        <v>3</v>
      </c>
      <c r="B577" s="47" t="s">
        <v>137</v>
      </c>
      <c r="C577" s="48" t="n">
        <v>45962</v>
      </c>
      <c r="D577" s="47" t="s">
        <v>35</v>
      </c>
      <c r="E577" s="47" t="s">
        <v>43</v>
      </c>
      <c r="F577" s="49" t="n">
        <v>364535</v>
      </c>
      <c r="G577" s="49" t="n">
        <v>386016</v>
      </c>
      <c r="H577" s="49" t="n">
        <v>198489</v>
      </c>
      <c r="I577" s="49" t="n">
        <v>214031</v>
      </c>
      <c r="J577" s="49" t="n">
        <v>57779</v>
      </c>
      <c r="K577" s="49" t="n">
        <v>59356</v>
      </c>
      <c r="L577" s="50" t="n">
        <v>18.9</v>
      </c>
      <c r="M577" s="51" t="n">
        <f aca="false">G577-F577</f>
        <v>21481</v>
      </c>
      <c r="N577" s="52" t="n">
        <f aca="false">IF(F577=0,0,M577/F577)</f>
        <v>0.0589271263390347</v>
      </c>
      <c r="O577" s="51" t="n">
        <f aca="false">G577-I577</f>
        <v>171985</v>
      </c>
      <c r="P577" s="51" t="n">
        <f aca="false">F577-H577</f>
        <v>166046</v>
      </c>
      <c r="Q577" s="51" t="n">
        <f aca="false">F577-H577-J577</f>
        <v>108267</v>
      </c>
      <c r="R577" s="51" t="n">
        <f aca="false">G577-I577-K577</f>
        <v>112629</v>
      </c>
      <c r="S577" s="51" t="n">
        <f aca="false">R577-Q577</f>
        <v>4362</v>
      </c>
      <c r="T577" s="52" t="n">
        <f aca="false">IF(Q577=0,0,S577/Q577)</f>
        <v>0.0402892848236305</v>
      </c>
      <c r="U577" s="51" t="str">
        <f aca="false">IF(AND(Q577&gt;0,T577&lt;-0.15),"ADVERSE","")</f>
        <v/>
      </c>
    </row>
    <row r="578" customFormat="false" ht="15" hidden="false" customHeight="false" outlineLevel="0" collapsed="false">
      <c r="A578" s="47" t="s">
        <v>3</v>
      </c>
      <c r="B578" s="47" t="s">
        <v>137</v>
      </c>
      <c r="C578" s="48" t="n">
        <v>45992</v>
      </c>
      <c r="D578" s="47" t="s">
        <v>35</v>
      </c>
      <c r="E578" s="47" t="s">
        <v>43</v>
      </c>
      <c r="F578" s="49" t="n">
        <v>370408</v>
      </c>
      <c r="G578" s="49" t="n">
        <v>406732</v>
      </c>
      <c r="H578" s="49" t="n">
        <v>201687</v>
      </c>
      <c r="I578" s="49" t="n">
        <v>223778</v>
      </c>
      <c r="J578" s="49" t="n">
        <v>58710</v>
      </c>
      <c r="K578" s="49" t="n">
        <v>62513</v>
      </c>
      <c r="L578" s="50" t="n">
        <v>18.2</v>
      </c>
      <c r="M578" s="51" t="n">
        <f aca="false">G578-F578</f>
        <v>36324</v>
      </c>
      <c r="N578" s="52" t="n">
        <f aca="false">IF(F578=0,0,M578/F578)</f>
        <v>0.0980648366126002</v>
      </c>
      <c r="O578" s="51" t="n">
        <f aca="false">G578-I578</f>
        <v>182954</v>
      </c>
      <c r="P578" s="51" t="n">
        <f aca="false">F578-H578</f>
        <v>168721</v>
      </c>
      <c r="Q578" s="51" t="n">
        <f aca="false">F578-H578-J578</f>
        <v>110011</v>
      </c>
      <c r="R578" s="51" t="n">
        <f aca="false">G578-I578-K578</f>
        <v>120441</v>
      </c>
      <c r="S578" s="51" t="n">
        <f aca="false">R578-Q578</f>
        <v>10430</v>
      </c>
      <c r="T578" s="52" t="n">
        <f aca="false">IF(Q578=0,0,S578/Q578)</f>
        <v>0.094808700948087</v>
      </c>
      <c r="U578" s="51" t="str">
        <f aca="false">IF(AND(Q578&gt;0,T578&lt;-0.15),"ADVERSE","")</f>
        <v/>
      </c>
    </row>
    <row r="579" customFormat="false" ht="15" hidden="false" customHeight="false" outlineLevel="0" collapsed="false">
      <c r="A579" s="47" t="s">
        <v>3</v>
      </c>
      <c r="B579" s="47" t="s">
        <v>138</v>
      </c>
      <c r="C579" s="48" t="n">
        <v>46023</v>
      </c>
      <c r="D579" s="47" t="s">
        <v>35</v>
      </c>
      <c r="E579" s="47" t="s">
        <v>43</v>
      </c>
      <c r="F579" s="49" t="n">
        <v>365302</v>
      </c>
      <c r="G579" s="49" t="n">
        <v>407916</v>
      </c>
      <c r="H579" s="49" t="n">
        <v>198907</v>
      </c>
      <c r="I579" s="49" t="n">
        <v>223789</v>
      </c>
      <c r="J579" s="49" t="n">
        <v>57900</v>
      </c>
      <c r="K579" s="49" t="n">
        <v>65303</v>
      </c>
      <c r="L579" s="50" t="n">
        <v>18.8</v>
      </c>
      <c r="M579" s="51" t="n">
        <f aca="false">G579-F579</f>
        <v>42614</v>
      </c>
      <c r="N579" s="52" t="n">
        <f aca="false">IF(F579=0,0,M579/F579)</f>
        <v>0.116654165594494</v>
      </c>
      <c r="O579" s="51" t="n">
        <f aca="false">G579-I579</f>
        <v>184127</v>
      </c>
      <c r="P579" s="51" t="n">
        <f aca="false">F579-H579</f>
        <v>166395</v>
      </c>
      <c r="Q579" s="51" t="n">
        <f aca="false">F579-H579-J579</f>
        <v>108495</v>
      </c>
      <c r="R579" s="51" t="n">
        <f aca="false">G579-I579-K579</f>
        <v>118824</v>
      </c>
      <c r="S579" s="51" t="n">
        <f aca="false">R579-Q579</f>
        <v>10329</v>
      </c>
      <c r="T579" s="52" t="n">
        <f aca="false">IF(Q579=0,0,S579/Q579)</f>
        <v>0.0952025438960321</v>
      </c>
      <c r="U579" s="51" t="str">
        <f aca="false">IF(AND(Q579&gt;0,T579&lt;-0.15),"ADVERSE","")</f>
        <v/>
      </c>
    </row>
    <row r="580" customFormat="false" ht="15" hidden="false" customHeight="false" outlineLevel="0" collapsed="false">
      <c r="A580" s="47" t="s">
        <v>3</v>
      </c>
      <c r="B580" s="47" t="s">
        <v>138</v>
      </c>
      <c r="C580" s="48" t="n">
        <v>46054</v>
      </c>
      <c r="D580" s="47" t="s">
        <v>35</v>
      </c>
      <c r="E580" s="47" t="s">
        <v>43</v>
      </c>
      <c r="F580" s="49" t="n">
        <v>364720</v>
      </c>
      <c r="G580" s="49" t="n">
        <v>408519</v>
      </c>
      <c r="H580" s="49" t="n">
        <v>198590</v>
      </c>
      <c r="I580" s="49" t="n">
        <v>222894</v>
      </c>
      <c r="J580" s="49" t="n">
        <v>57808</v>
      </c>
      <c r="K580" s="49" t="n">
        <v>65403</v>
      </c>
      <c r="L580" s="50" t="n">
        <v>18.5</v>
      </c>
      <c r="M580" s="51" t="n">
        <f aca="false">G580-F580</f>
        <v>43799</v>
      </c>
      <c r="N580" s="52" t="n">
        <f aca="false">IF(F580=0,0,M580/F580)</f>
        <v>0.120089383636762</v>
      </c>
      <c r="O580" s="51" t="n">
        <f aca="false">G580-I580</f>
        <v>185625</v>
      </c>
      <c r="P580" s="51" t="n">
        <f aca="false">F580-H580</f>
        <v>166130</v>
      </c>
      <c r="Q580" s="51" t="n">
        <f aca="false">F580-H580-J580</f>
        <v>108322</v>
      </c>
      <c r="R580" s="51" t="n">
        <f aca="false">G580-I580-K580</f>
        <v>120222</v>
      </c>
      <c r="S580" s="51" t="n">
        <f aca="false">R580-Q580</f>
        <v>11900</v>
      </c>
      <c r="T580" s="52" t="n">
        <f aca="false">IF(Q580=0,0,S580/Q580)</f>
        <v>0.109857646646111</v>
      </c>
      <c r="U580" s="51" t="str">
        <f aca="false">IF(AND(Q580&gt;0,T580&lt;-0.15),"ADVERSE","")</f>
        <v/>
      </c>
    </row>
    <row r="581" customFormat="false" ht="15" hidden="false" customHeight="false" outlineLevel="0" collapsed="false">
      <c r="A581" s="47" t="s">
        <v>3</v>
      </c>
      <c r="B581" s="47" t="s">
        <v>138</v>
      </c>
      <c r="C581" s="48" t="n">
        <v>46082</v>
      </c>
      <c r="D581" s="47" t="s">
        <v>35</v>
      </c>
      <c r="E581" s="47" t="s">
        <v>43</v>
      </c>
      <c r="F581" s="49" t="n">
        <v>404813</v>
      </c>
      <c r="G581" s="49" t="n">
        <v>402344</v>
      </c>
      <c r="H581" s="49" t="n">
        <v>220421</v>
      </c>
      <c r="I581" s="49" t="n">
        <v>212536</v>
      </c>
      <c r="J581" s="49" t="n">
        <v>64163</v>
      </c>
      <c r="K581" s="49" t="n">
        <v>58558</v>
      </c>
      <c r="L581" s="50" t="n">
        <v>18.8</v>
      </c>
      <c r="M581" s="51" t="n">
        <f aca="false">G581-F581</f>
        <v>-2469</v>
      </c>
      <c r="N581" s="52" t="n">
        <f aca="false">IF(F581=0,0,M581/F581)</f>
        <v>-0.00609911242968976</v>
      </c>
      <c r="O581" s="51" t="n">
        <f aca="false">G581-I581</f>
        <v>189808</v>
      </c>
      <c r="P581" s="51" t="n">
        <f aca="false">F581-H581</f>
        <v>184392</v>
      </c>
      <c r="Q581" s="51" t="n">
        <f aca="false">F581-H581-J581</f>
        <v>120229</v>
      </c>
      <c r="R581" s="51" t="n">
        <f aca="false">G581-I581-K581</f>
        <v>131250</v>
      </c>
      <c r="S581" s="51" t="n">
        <f aca="false">R581-Q581</f>
        <v>11021</v>
      </c>
      <c r="T581" s="52" t="n">
        <f aca="false">IF(Q581=0,0,S581/Q581)</f>
        <v>0.0916667359788404</v>
      </c>
      <c r="U581" s="51" t="str">
        <f aca="false">IF(AND(Q581&gt;0,T581&lt;-0.15),"ADVERSE","")</f>
        <v/>
      </c>
    </row>
    <row r="582" customFormat="false" ht="15" hidden="false" customHeight="false" outlineLevel="0" collapsed="false">
      <c r="A582" s="47" t="s">
        <v>134</v>
      </c>
      <c r="B582" s="47" t="s">
        <v>135</v>
      </c>
      <c r="C582" s="48" t="n">
        <v>45017</v>
      </c>
      <c r="D582" s="47" t="s">
        <v>35</v>
      </c>
      <c r="E582" s="47" t="s">
        <v>44</v>
      </c>
      <c r="F582" s="49" t="n">
        <v>258996</v>
      </c>
      <c r="G582" s="49" t="n">
        <v>254676</v>
      </c>
      <c r="H582" s="49" t="n">
        <v>141023</v>
      </c>
      <c r="I582" s="49" t="n">
        <v>138974</v>
      </c>
      <c r="J582" s="49" t="n">
        <v>41051</v>
      </c>
      <c r="K582" s="49" t="n">
        <v>43430</v>
      </c>
      <c r="L582" s="50" t="n">
        <v>13.1</v>
      </c>
      <c r="M582" s="51" t="n">
        <f aca="false">G582-F582</f>
        <v>-4320</v>
      </c>
      <c r="N582" s="52" t="n">
        <f aca="false">IF(F582=0,0,M582/F582)</f>
        <v>-0.0166797942825372</v>
      </c>
      <c r="O582" s="51" t="n">
        <f aca="false">G582-I582</f>
        <v>115702</v>
      </c>
      <c r="P582" s="51" t="n">
        <f aca="false">F582-H582</f>
        <v>117973</v>
      </c>
      <c r="Q582" s="51" t="n">
        <f aca="false">F582-H582-J582</f>
        <v>76922</v>
      </c>
      <c r="R582" s="51" t="n">
        <f aca="false">G582-I582-K582</f>
        <v>72272</v>
      </c>
      <c r="S582" s="51" t="n">
        <f aca="false">R582-Q582</f>
        <v>-4650</v>
      </c>
      <c r="T582" s="52" t="n">
        <f aca="false">IF(Q582=0,0,S582/Q582)</f>
        <v>-0.0604508463118484</v>
      </c>
      <c r="U582" s="51" t="str">
        <f aca="false">IF(AND(Q582&gt;0,T582&lt;-0.15),"ADVERSE","")</f>
        <v/>
      </c>
    </row>
    <row r="583" customFormat="false" ht="15" hidden="false" customHeight="false" outlineLevel="0" collapsed="false">
      <c r="A583" s="47" t="s">
        <v>134</v>
      </c>
      <c r="B583" s="47" t="s">
        <v>135</v>
      </c>
      <c r="C583" s="48" t="n">
        <v>45047</v>
      </c>
      <c r="D583" s="47" t="s">
        <v>35</v>
      </c>
      <c r="E583" s="47" t="s">
        <v>44</v>
      </c>
      <c r="F583" s="49" t="n">
        <v>260783</v>
      </c>
      <c r="G583" s="49" t="n">
        <v>268704</v>
      </c>
      <c r="H583" s="49" t="n">
        <v>141996</v>
      </c>
      <c r="I583" s="49" t="n">
        <v>148827</v>
      </c>
      <c r="J583" s="49" t="n">
        <v>41334</v>
      </c>
      <c r="K583" s="49" t="n">
        <v>45613</v>
      </c>
      <c r="L583" s="50" t="n">
        <v>13.6</v>
      </c>
      <c r="M583" s="51" t="n">
        <f aca="false">G583-F583</f>
        <v>7921</v>
      </c>
      <c r="N583" s="52" t="n">
        <f aca="false">IF(F583=0,0,M583/F583)</f>
        <v>0.0303739124099347</v>
      </c>
      <c r="O583" s="51" t="n">
        <f aca="false">G583-I583</f>
        <v>119877</v>
      </c>
      <c r="P583" s="51" t="n">
        <f aca="false">F583-H583</f>
        <v>118787</v>
      </c>
      <c r="Q583" s="51" t="n">
        <f aca="false">F583-H583-J583</f>
        <v>77453</v>
      </c>
      <c r="R583" s="51" t="n">
        <f aca="false">G583-I583-K583</f>
        <v>74264</v>
      </c>
      <c r="S583" s="51" t="n">
        <f aca="false">R583-Q583</f>
        <v>-3189</v>
      </c>
      <c r="T583" s="52" t="n">
        <f aca="false">IF(Q583=0,0,S583/Q583)</f>
        <v>-0.0411733567453811</v>
      </c>
      <c r="U583" s="51" t="str">
        <f aca="false">IF(AND(Q583&gt;0,T583&lt;-0.15),"ADVERSE","")</f>
        <v/>
      </c>
    </row>
    <row r="584" customFormat="false" ht="15" hidden="false" customHeight="false" outlineLevel="0" collapsed="false">
      <c r="A584" s="47" t="s">
        <v>134</v>
      </c>
      <c r="B584" s="47" t="s">
        <v>135</v>
      </c>
      <c r="C584" s="48" t="n">
        <v>45078</v>
      </c>
      <c r="D584" s="47" t="s">
        <v>35</v>
      </c>
      <c r="E584" s="47" t="s">
        <v>44</v>
      </c>
      <c r="F584" s="49" t="n">
        <v>266053</v>
      </c>
      <c r="G584" s="49" t="n">
        <v>261843</v>
      </c>
      <c r="H584" s="49" t="n">
        <v>144866</v>
      </c>
      <c r="I584" s="49" t="n">
        <v>142837</v>
      </c>
      <c r="J584" s="49" t="n">
        <v>42169</v>
      </c>
      <c r="K584" s="49" t="n">
        <v>44103</v>
      </c>
      <c r="L584" s="50" t="n">
        <v>13.7</v>
      </c>
      <c r="M584" s="51" t="n">
        <f aca="false">G584-F584</f>
        <v>-4210</v>
      </c>
      <c r="N584" s="52" t="n">
        <f aca="false">IF(F584=0,0,M584/F584)</f>
        <v>-0.0158239147838964</v>
      </c>
      <c r="O584" s="51" t="n">
        <f aca="false">G584-I584</f>
        <v>119006</v>
      </c>
      <c r="P584" s="51" t="n">
        <f aca="false">F584-H584</f>
        <v>121187</v>
      </c>
      <c r="Q584" s="51" t="n">
        <f aca="false">F584-H584-J584</f>
        <v>79018</v>
      </c>
      <c r="R584" s="51" t="n">
        <f aca="false">G584-I584-K584</f>
        <v>74903</v>
      </c>
      <c r="S584" s="51" t="n">
        <f aca="false">R584-Q584</f>
        <v>-4115</v>
      </c>
      <c r="T584" s="52" t="n">
        <f aca="false">IF(Q584=0,0,S584/Q584)</f>
        <v>-0.05207674200815</v>
      </c>
      <c r="U584" s="51" t="str">
        <f aca="false">IF(AND(Q584&gt;0,T584&lt;-0.15),"ADVERSE","")</f>
        <v/>
      </c>
    </row>
    <row r="585" customFormat="false" ht="15" hidden="false" customHeight="false" outlineLevel="0" collapsed="false">
      <c r="A585" s="47" t="s">
        <v>134</v>
      </c>
      <c r="B585" s="47" t="s">
        <v>136</v>
      </c>
      <c r="C585" s="48" t="n">
        <v>45108</v>
      </c>
      <c r="D585" s="47" t="s">
        <v>35</v>
      </c>
      <c r="E585" s="47" t="s">
        <v>44</v>
      </c>
      <c r="F585" s="49" t="n">
        <v>277104</v>
      </c>
      <c r="G585" s="49" t="n">
        <v>272177</v>
      </c>
      <c r="H585" s="49" t="n">
        <v>150883</v>
      </c>
      <c r="I585" s="49" t="n">
        <v>151929</v>
      </c>
      <c r="J585" s="49" t="n">
        <v>43921</v>
      </c>
      <c r="K585" s="49" t="n">
        <v>43850</v>
      </c>
      <c r="L585" s="50" t="n">
        <v>13.7</v>
      </c>
      <c r="M585" s="51" t="n">
        <f aca="false">G585-F585</f>
        <v>-4927</v>
      </c>
      <c r="N585" s="52" t="n">
        <f aca="false">IF(F585=0,0,M585/F585)</f>
        <v>-0.0177803279635083</v>
      </c>
      <c r="O585" s="51" t="n">
        <f aca="false">G585-I585</f>
        <v>120248</v>
      </c>
      <c r="P585" s="51" t="n">
        <f aca="false">F585-H585</f>
        <v>126221</v>
      </c>
      <c r="Q585" s="51" t="n">
        <f aca="false">F585-H585-J585</f>
        <v>82300</v>
      </c>
      <c r="R585" s="51" t="n">
        <f aca="false">G585-I585-K585</f>
        <v>76398</v>
      </c>
      <c r="S585" s="51" t="n">
        <f aca="false">R585-Q585</f>
        <v>-5902</v>
      </c>
      <c r="T585" s="52" t="n">
        <f aca="false">IF(Q585=0,0,S585/Q585)</f>
        <v>-0.0717132442284326</v>
      </c>
      <c r="U585" s="51" t="str">
        <f aca="false">IF(AND(Q585&gt;0,T585&lt;-0.15),"ADVERSE","")</f>
        <v/>
      </c>
    </row>
    <row r="586" customFormat="false" ht="15" hidden="false" customHeight="false" outlineLevel="0" collapsed="false">
      <c r="A586" s="47" t="s">
        <v>134</v>
      </c>
      <c r="B586" s="47" t="s">
        <v>136</v>
      </c>
      <c r="C586" s="48" t="n">
        <v>45139</v>
      </c>
      <c r="D586" s="47" t="s">
        <v>35</v>
      </c>
      <c r="E586" s="47" t="s">
        <v>44</v>
      </c>
      <c r="F586" s="49" t="n">
        <v>268467</v>
      </c>
      <c r="G586" s="49" t="n">
        <v>273473</v>
      </c>
      <c r="H586" s="49" t="n">
        <v>146180</v>
      </c>
      <c r="I586" s="49" t="n">
        <v>147116</v>
      </c>
      <c r="J586" s="49" t="n">
        <v>42552</v>
      </c>
      <c r="K586" s="49" t="n">
        <v>47955</v>
      </c>
      <c r="L586" s="50" t="n">
        <v>13.6</v>
      </c>
      <c r="M586" s="51" t="n">
        <f aca="false">G586-F586</f>
        <v>5006</v>
      </c>
      <c r="N586" s="52" t="n">
        <f aca="false">IF(F586=0,0,M586/F586)</f>
        <v>0.0186466120603277</v>
      </c>
      <c r="O586" s="51" t="n">
        <f aca="false">G586-I586</f>
        <v>126357</v>
      </c>
      <c r="P586" s="51" t="n">
        <f aca="false">F586-H586</f>
        <v>122287</v>
      </c>
      <c r="Q586" s="51" t="n">
        <f aca="false">F586-H586-J586</f>
        <v>79735</v>
      </c>
      <c r="R586" s="51" t="n">
        <f aca="false">G586-I586-K586</f>
        <v>78402</v>
      </c>
      <c r="S586" s="51" t="n">
        <f aca="false">R586-Q586</f>
        <v>-1333</v>
      </c>
      <c r="T586" s="52" t="n">
        <f aca="false">IF(Q586=0,0,S586/Q586)</f>
        <v>-0.0167178779707782</v>
      </c>
      <c r="U586" s="51" t="str">
        <f aca="false">IF(AND(Q586&gt;0,T586&lt;-0.15),"ADVERSE","")</f>
        <v/>
      </c>
    </row>
    <row r="587" customFormat="false" ht="15" hidden="false" customHeight="false" outlineLevel="0" collapsed="false">
      <c r="A587" s="47" t="s">
        <v>134</v>
      </c>
      <c r="B587" s="47" t="s">
        <v>136</v>
      </c>
      <c r="C587" s="48" t="n">
        <v>45170</v>
      </c>
      <c r="D587" s="47" t="s">
        <v>35</v>
      </c>
      <c r="E587" s="47" t="s">
        <v>44</v>
      </c>
      <c r="F587" s="49" t="n">
        <v>277840</v>
      </c>
      <c r="G587" s="49" t="n">
        <v>263831</v>
      </c>
      <c r="H587" s="49" t="n">
        <v>151284</v>
      </c>
      <c r="I587" s="49" t="n">
        <v>144136</v>
      </c>
      <c r="J587" s="49" t="n">
        <v>44038</v>
      </c>
      <c r="K587" s="49" t="n">
        <v>42694</v>
      </c>
      <c r="L587" s="50" t="n">
        <v>13.8</v>
      </c>
      <c r="M587" s="51" t="n">
        <f aca="false">G587-F587</f>
        <v>-14009</v>
      </c>
      <c r="N587" s="52" t="n">
        <f aca="false">IF(F587=0,0,M587/F587)</f>
        <v>-0.0504211056723294</v>
      </c>
      <c r="O587" s="51" t="n">
        <f aca="false">G587-I587</f>
        <v>119695</v>
      </c>
      <c r="P587" s="51" t="n">
        <f aca="false">F587-H587</f>
        <v>126556</v>
      </c>
      <c r="Q587" s="51" t="n">
        <f aca="false">F587-H587-J587</f>
        <v>82518</v>
      </c>
      <c r="R587" s="51" t="n">
        <f aca="false">G587-I587-K587</f>
        <v>77001</v>
      </c>
      <c r="S587" s="51" t="n">
        <f aca="false">R587-Q587</f>
        <v>-5517</v>
      </c>
      <c r="T587" s="52" t="n">
        <f aca="false">IF(Q587=0,0,S587/Q587)</f>
        <v>-0.0668581400421726</v>
      </c>
      <c r="U587" s="51" t="str">
        <f aca="false">IF(AND(Q587&gt;0,T587&lt;-0.15),"ADVERSE","")</f>
        <v/>
      </c>
    </row>
    <row r="588" customFormat="false" ht="15" hidden="false" customHeight="false" outlineLevel="0" collapsed="false">
      <c r="A588" s="47" t="s">
        <v>134</v>
      </c>
      <c r="B588" s="47" t="s">
        <v>137</v>
      </c>
      <c r="C588" s="48" t="n">
        <v>45200</v>
      </c>
      <c r="D588" s="47" t="s">
        <v>35</v>
      </c>
      <c r="E588" s="47" t="s">
        <v>44</v>
      </c>
      <c r="F588" s="49" t="n">
        <v>296308</v>
      </c>
      <c r="G588" s="49" t="n">
        <v>292532</v>
      </c>
      <c r="H588" s="49" t="n">
        <v>161340</v>
      </c>
      <c r="I588" s="49" t="n">
        <v>158629</v>
      </c>
      <c r="J588" s="49" t="n">
        <v>46965</v>
      </c>
      <c r="K588" s="49" t="n">
        <v>46884</v>
      </c>
      <c r="L588" s="50" t="n">
        <v>14.4</v>
      </c>
      <c r="M588" s="51" t="n">
        <f aca="false">G588-F588</f>
        <v>-3776</v>
      </c>
      <c r="N588" s="52" t="n">
        <f aca="false">IF(F588=0,0,M588/F588)</f>
        <v>-0.012743496631883</v>
      </c>
      <c r="O588" s="51" t="n">
        <f aca="false">G588-I588</f>
        <v>133903</v>
      </c>
      <c r="P588" s="51" t="n">
        <f aca="false">F588-H588</f>
        <v>134968</v>
      </c>
      <c r="Q588" s="51" t="n">
        <f aca="false">F588-H588-J588</f>
        <v>88003</v>
      </c>
      <c r="R588" s="51" t="n">
        <f aca="false">G588-I588-K588</f>
        <v>87019</v>
      </c>
      <c r="S588" s="51" t="n">
        <f aca="false">R588-Q588</f>
        <v>-984</v>
      </c>
      <c r="T588" s="52" t="n">
        <f aca="false">IF(Q588=0,0,S588/Q588)</f>
        <v>-0.011181436996466</v>
      </c>
      <c r="U588" s="51" t="str">
        <f aca="false">IF(AND(Q588&gt;0,T588&lt;-0.15),"ADVERSE","")</f>
        <v/>
      </c>
    </row>
    <row r="589" customFormat="false" ht="15" hidden="false" customHeight="false" outlineLevel="0" collapsed="false">
      <c r="A589" s="47" t="s">
        <v>134</v>
      </c>
      <c r="B589" s="47" t="s">
        <v>137</v>
      </c>
      <c r="C589" s="48" t="n">
        <v>45231</v>
      </c>
      <c r="D589" s="47" t="s">
        <v>35</v>
      </c>
      <c r="E589" s="47" t="s">
        <v>44</v>
      </c>
      <c r="F589" s="49" t="n">
        <v>288889</v>
      </c>
      <c r="G589" s="49" t="n">
        <v>278649</v>
      </c>
      <c r="H589" s="49" t="n">
        <v>157300</v>
      </c>
      <c r="I589" s="49" t="n">
        <v>150256</v>
      </c>
      <c r="J589" s="49" t="n">
        <v>45789</v>
      </c>
      <c r="K589" s="49" t="n">
        <v>44390</v>
      </c>
      <c r="L589" s="50" t="n">
        <v>14.5</v>
      </c>
      <c r="M589" s="51" t="n">
        <f aca="false">G589-F589</f>
        <v>-10240</v>
      </c>
      <c r="N589" s="52" t="n">
        <f aca="false">IF(F589=0,0,M589/F589)</f>
        <v>-0.035446140213023</v>
      </c>
      <c r="O589" s="51" t="n">
        <f aca="false">G589-I589</f>
        <v>128393</v>
      </c>
      <c r="P589" s="51" t="n">
        <f aca="false">F589-H589</f>
        <v>131589</v>
      </c>
      <c r="Q589" s="51" t="n">
        <f aca="false">F589-H589-J589</f>
        <v>85800</v>
      </c>
      <c r="R589" s="51" t="n">
        <f aca="false">G589-I589-K589</f>
        <v>84003</v>
      </c>
      <c r="S589" s="51" t="n">
        <f aca="false">R589-Q589</f>
        <v>-1797</v>
      </c>
      <c r="T589" s="52" t="n">
        <f aca="false">IF(Q589=0,0,S589/Q589)</f>
        <v>-0.0209440559440559</v>
      </c>
      <c r="U589" s="51" t="str">
        <f aca="false">IF(AND(Q589&gt;0,T589&lt;-0.15),"ADVERSE","")</f>
        <v/>
      </c>
    </row>
    <row r="590" customFormat="false" ht="15" hidden="false" customHeight="false" outlineLevel="0" collapsed="false">
      <c r="A590" s="47" t="s">
        <v>134</v>
      </c>
      <c r="B590" s="47" t="s">
        <v>137</v>
      </c>
      <c r="C590" s="48" t="n">
        <v>45261</v>
      </c>
      <c r="D590" s="47" t="s">
        <v>35</v>
      </c>
      <c r="E590" s="47" t="s">
        <v>44</v>
      </c>
      <c r="F590" s="49" t="n">
        <v>288929</v>
      </c>
      <c r="G590" s="49" t="n">
        <v>271060</v>
      </c>
      <c r="H590" s="49" t="n">
        <v>157322</v>
      </c>
      <c r="I590" s="49" t="n">
        <v>145214</v>
      </c>
      <c r="J590" s="49" t="n">
        <v>45795</v>
      </c>
      <c r="K590" s="49" t="n">
        <v>40682</v>
      </c>
      <c r="L590" s="50" t="n">
        <v>14.2</v>
      </c>
      <c r="M590" s="51" t="n">
        <f aca="false">G590-F590</f>
        <v>-17869</v>
      </c>
      <c r="N590" s="52" t="n">
        <f aca="false">IF(F590=0,0,M590/F590)</f>
        <v>-0.0618456437394654</v>
      </c>
      <c r="O590" s="51" t="n">
        <f aca="false">G590-I590</f>
        <v>125846</v>
      </c>
      <c r="P590" s="51" t="n">
        <f aca="false">F590-H590</f>
        <v>131607</v>
      </c>
      <c r="Q590" s="51" t="n">
        <f aca="false">F590-H590-J590</f>
        <v>85812</v>
      </c>
      <c r="R590" s="51" t="n">
        <f aca="false">G590-I590-K590</f>
        <v>85164</v>
      </c>
      <c r="S590" s="51" t="n">
        <f aca="false">R590-Q590</f>
        <v>-648</v>
      </c>
      <c r="T590" s="52" t="n">
        <f aca="false">IF(Q590=0,0,S590/Q590)</f>
        <v>-0.00755139141378828</v>
      </c>
      <c r="U590" s="51" t="str">
        <f aca="false">IF(AND(Q590&gt;0,T590&lt;-0.15),"ADVERSE","")</f>
        <v/>
      </c>
    </row>
    <row r="591" customFormat="false" ht="15" hidden="false" customHeight="false" outlineLevel="0" collapsed="false">
      <c r="A591" s="47" t="s">
        <v>134</v>
      </c>
      <c r="B591" s="47" t="s">
        <v>138</v>
      </c>
      <c r="C591" s="48" t="n">
        <v>45292</v>
      </c>
      <c r="D591" s="47" t="s">
        <v>35</v>
      </c>
      <c r="E591" s="47" t="s">
        <v>44</v>
      </c>
      <c r="F591" s="49" t="n">
        <v>286655</v>
      </c>
      <c r="G591" s="49" t="n">
        <v>291910</v>
      </c>
      <c r="H591" s="49" t="n">
        <v>156084</v>
      </c>
      <c r="I591" s="49" t="n">
        <v>159472</v>
      </c>
      <c r="J591" s="49" t="n">
        <v>45435</v>
      </c>
      <c r="K591" s="49" t="n">
        <v>47829</v>
      </c>
      <c r="L591" s="50" t="n">
        <v>14.8</v>
      </c>
      <c r="M591" s="51" t="n">
        <f aca="false">G591-F591</f>
        <v>5255</v>
      </c>
      <c r="N591" s="52" t="n">
        <f aca="false">IF(F591=0,0,M591/F591)</f>
        <v>0.0183321414243603</v>
      </c>
      <c r="O591" s="51" t="n">
        <f aca="false">G591-I591</f>
        <v>132438</v>
      </c>
      <c r="P591" s="51" t="n">
        <f aca="false">F591-H591</f>
        <v>130571</v>
      </c>
      <c r="Q591" s="51" t="n">
        <f aca="false">F591-H591-J591</f>
        <v>85136</v>
      </c>
      <c r="R591" s="51" t="n">
        <f aca="false">G591-I591-K591</f>
        <v>84609</v>
      </c>
      <c r="S591" s="51" t="n">
        <f aca="false">R591-Q591</f>
        <v>-527</v>
      </c>
      <c r="T591" s="52" t="n">
        <f aca="false">IF(Q591=0,0,S591/Q591)</f>
        <v>-0.00619009584664537</v>
      </c>
      <c r="U591" s="51" t="str">
        <f aca="false">IF(AND(Q591&gt;0,T591&lt;-0.15),"ADVERSE","")</f>
        <v/>
      </c>
    </row>
    <row r="592" customFormat="false" ht="15" hidden="false" customHeight="false" outlineLevel="0" collapsed="false">
      <c r="A592" s="47" t="s">
        <v>134</v>
      </c>
      <c r="B592" s="47" t="s">
        <v>138</v>
      </c>
      <c r="C592" s="48" t="n">
        <v>45323</v>
      </c>
      <c r="D592" s="47" t="s">
        <v>35</v>
      </c>
      <c r="E592" s="47" t="s">
        <v>44</v>
      </c>
      <c r="F592" s="49" t="n">
        <v>299361</v>
      </c>
      <c r="G592" s="49" t="n">
        <v>296395</v>
      </c>
      <c r="H592" s="49" t="n">
        <v>163002</v>
      </c>
      <c r="I592" s="49" t="n">
        <v>163191</v>
      </c>
      <c r="J592" s="49" t="n">
        <v>47449</v>
      </c>
      <c r="K592" s="49" t="n">
        <v>42373</v>
      </c>
      <c r="L592" s="50" t="n">
        <v>15</v>
      </c>
      <c r="M592" s="51" t="n">
        <f aca="false">G592-F592</f>
        <v>-2966</v>
      </c>
      <c r="N592" s="52" t="n">
        <f aca="false">IF(F592=0,0,M592/F592)</f>
        <v>-0.00990777021722936</v>
      </c>
      <c r="O592" s="51" t="n">
        <f aca="false">G592-I592</f>
        <v>133204</v>
      </c>
      <c r="P592" s="51" t="n">
        <f aca="false">F592-H592</f>
        <v>136359</v>
      </c>
      <c r="Q592" s="51" t="n">
        <f aca="false">F592-H592-J592</f>
        <v>88910</v>
      </c>
      <c r="R592" s="51" t="n">
        <f aca="false">G592-I592-K592</f>
        <v>90831</v>
      </c>
      <c r="S592" s="51" t="n">
        <f aca="false">R592-Q592</f>
        <v>1921</v>
      </c>
      <c r="T592" s="52" t="n">
        <f aca="false">IF(Q592=0,0,S592/Q592)</f>
        <v>0.0216061185468451</v>
      </c>
      <c r="U592" s="51" t="str">
        <f aca="false">IF(AND(Q592&gt;0,T592&lt;-0.15),"ADVERSE","")</f>
        <v/>
      </c>
    </row>
    <row r="593" customFormat="false" ht="15" hidden="false" customHeight="false" outlineLevel="0" collapsed="false">
      <c r="A593" s="47" t="s">
        <v>134</v>
      </c>
      <c r="B593" s="47" t="s">
        <v>138</v>
      </c>
      <c r="C593" s="48" t="n">
        <v>45352</v>
      </c>
      <c r="D593" s="47" t="s">
        <v>35</v>
      </c>
      <c r="E593" s="47" t="s">
        <v>44</v>
      </c>
      <c r="F593" s="49" t="n">
        <v>323799</v>
      </c>
      <c r="G593" s="49" t="n">
        <v>332208</v>
      </c>
      <c r="H593" s="49" t="n">
        <v>176308</v>
      </c>
      <c r="I593" s="49" t="n">
        <v>179388</v>
      </c>
      <c r="J593" s="49" t="n">
        <v>51322</v>
      </c>
      <c r="K593" s="49" t="n">
        <v>51010</v>
      </c>
      <c r="L593" s="50" t="n">
        <v>15.1</v>
      </c>
      <c r="M593" s="51" t="n">
        <f aca="false">G593-F593</f>
        <v>8409</v>
      </c>
      <c r="N593" s="52" t="n">
        <f aca="false">IF(F593=0,0,M593/F593)</f>
        <v>0.02596981460721</v>
      </c>
      <c r="O593" s="51" t="n">
        <f aca="false">G593-I593</f>
        <v>152820</v>
      </c>
      <c r="P593" s="51" t="n">
        <f aca="false">F593-H593</f>
        <v>147491</v>
      </c>
      <c r="Q593" s="51" t="n">
        <f aca="false">F593-H593-J593</f>
        <v>96169</v>
      </c>
      <c r="R593" s="51" t="n">
        <f aca="false">G593-I593-K593</f>
        <v>101810</v>
      </c>
      <c r="S593" s="51" t="n">
        <f aca="false">R593-Q593</f>
        <v>5641</v>
      </c>
      <c r="T593" s="52" t="n">
        <f aca="false">IF(Q593=0,0,S593/Q593)</f>
        <v>0.0586571556322724</v>
      </c>
      <c r="U593" s="51" t="str">
        <f aca="false">IF(AND(Q593&gt;0,T593&lt;-0.15),"ADVERSE","")</f>
        <v/>
      </c>
    </row>
    <row r="594" customFormat="false" ht="15" hidden="false" customHeight="false" outlineLevel="0" collapsed="false">
      <c r="A594" s="47" t="s">
        <v>139</v>
      </c>
      <c r="B594" s="47" t="s">
        <v>135</v>
      </c>
      <c r="C594" s="48" t="n">
        <v>45383</v>
      </c>
      <c r="D594" s="47" t="s">
        <v>35</v>
      </c>
      <c r="E594" s="47" t="s">
        <v>44</v>
      </c>
      <c r="F594" s="49" t="n">
        <v>301609</v>
      </c>
      <c r="G594" s="49" t="n">
        <v>315326</v>
      </c>
      <c r="H594" s="49" t="n">
        <v>164226</v>
      </c>
      <c r="I594" s="49" t="n">
        <v>166998</v>
      </c>
      <c r="J594" s="49" t="n">
        <v>47805</v>
      </c>
      <c r="K594" s="49" t="n">
        <v>51115</v>
      </c>
      <c r="L594" s="50" t="n">
        <v>15.5</v>
      </c>
      <c r="M594" s="51" t="n">
        <f aca="false">G594-F594</f>
        <v>13717</v>
      </c>
      <c r="N594" s="52" t="n">
        <f aca="false">IF(F594=0,0,M594/F594)</f>
        <v>0.0454794120865094</v>
      </c>
      <c r="O594" s="51" t="n">
        <f aca="false">G594-I594</f>
        <v>148328</v>
      </c>
      <c r="P594" s="51" t="n">
        <f aca="false">F594-H594</f>
        <v>137383</v>
      </c>
      <c r="Q594" s="51" t="n">
        <f aca="false">F594-H594-J594</f>
        <v>89578</v>
      </c>
      <c r="R594" s="51" t="n">
        <f aca="false">G594-I594-K594</f>
        <v>97213</v>
      </c>
      <c r="S594" s="51" t="n">
        <f aca="false">R594-Q594</f>
        <v>7635</v>
      </c>
      <c r="T594" s="52" t="n">
        <f aca="false">IF(Q594=0,0,S594/Q594)</f>
        <v>0.0852329813123758</v>
      </c>
      <c r="U594" s="51" t="str">
        <f aca="false">IF(AND(Q594&gt;0,T594&lt;-0.15),"ADVERSE","")</f>
        <v/>
      </c>
    </row>
    <row r="595" customFormat="false" ht="15" hidden="false" customHeight="false" outlineLevel="0" collapsed="false">
      <c r="A595" s="47" t="s">
        <v>139</v>
      </c>
      <c r="B595" s="47" t="s">
        <v>135</v>
      </c>
      <c r="C595" s="48" t="n">
        <v>45413</v>
      </c>
      <c r="D595" s="47" t="s">
        <v>35</v>
      </c>
      <c r="E595" s="47" t="s">
        <v>44</v>
      </c>
      <c r="F595" s="49" t="n">
        <v>308216</v>
      </c>
      <c r="G595" s="49" t="n">
        <v>318352</v>
      </c>
      <c r="H595" s="49" t="n">
        <v>167824</v>
      </c>
      <c r="I595" s="49" t="n">
        <v>171646</v>
      </c>
      <c r="J595" s="49" t="n">
        <v>48852</v>
      </c>
      <c r="K595" s="49" t="n">
        <v>48518</v>
      </c>
      <c r="L595" s="50" t="n">
        <v>15.7</v>
      </c>
      <c r="M595" s="51" t="n">
        <f aca="false">G595-F595</f>
        <v>10136</v>
      </c>
      <c r="N595" s="52" t="n">
        <f aca="false">IF(F595=0,0,M595/F595)</f>
        <v>0.0328860279803774</v>
      </c>
      <c r="O595" s="51" t="n">
        <f aca="false">G595-I595</f>
        <v>146706</v>
      </c>
      <c r="P595" s="51" t="n">
        <f aca="false">F595-H595</f>
        <v>140392</v>
      </c>
      <c r="Q595" s="51" t="n">
        <f aca="false">F595-H595-J595</f>
        <v>91540</v>
      </c>
      <c r="R595" s="51" t="n">
        <f aca="false">G595-I595-K595</f>
        <v>98188</v>
      </c>
      <c r="S595" s="51" t="n">
        <f aca="false">R595-Q595</f>
        <v>6648</v>
      </c>
      <c r="T595" s="52" t="n">
        <f aca="false">IF(Q595=0,0,S595/Q595)</f>
        <v>0.0726239895127813</v>
      </c>
      <c r="U595" s="51" t="str">
        <f aca="false">IF(AND(Q595&gt;0,T595&lt;-0.15),"ADVERSE","")</f>
        <v/>
      </c>
    </row>
    <row r="596" customFormat="false" ht="15" hidden="false" customHeight="false" outlineLevel="0" collapsed="false">
      <c r="A596" s="47" t="s">
        <v>139</v>
      </c>
      <c r="B596" s="47" t="s">
        <v>135</v>
      </c>
      <c r="C596" s="48" t="n">
        <v>45444</v>
      </c>
      <c r="D596" s="47" t="s">
        <v>35</v>
      </c>
      <c r="E596" s="47" t="s">
        <v>44</v>
      </c>
      <c r="F596" s="49" t="n">
        <v>307485</v>
      </c>
      <c r="G596" s="49" t="n">
        <v>338779</v>
      </c>
      <c r="H596" s="49" t="n">
        <v>167425</v>
      </c>
      <c r="I596" s="49" t="n">
        <v>184769</v>
      </c>
      <c r="J596" s="49" t="n">
        <v>48736</v>
      </c>
      <c r="K596" s="49" t="n">
        <v>54711</v>
      </c>
      <c r="L596" s="50" t="n">
        <v>15.7</v>
      </c>
      <c r="M596" s="51" t="n">
        <f aca="false">G596-F596</f>
        <v>31294</v>
      </c>
      <c r="N596" s="52" t="n">
        <f aca="false">IF(F596=0,0,M596/F596)</f>
        <v>0.101774070279851</v>
      </c>
      <c r="O596" s="51" t="n">
        <f aca="false">G596-I596</f>
        <v>154010</v>
      </c>
      <c r="P596" s="51" t="n">
        <f aca="false">F596-H596</f>
        <v>140060</v>
      </c>
      <c r="Q596" s="51" t="n">
        <f aca="false">F596-H596-J596</f>
        <v>91324</v>
      </c>
      <c r="R596" s="51" t="n">
        <f aca="false">G596-I596-K596</f>
        <v>99299</v>
      </c>
      <c r="S596" s="51" t="n">
        <f aca="false">R596-Q596</f>
        <v>7975</v>
      </c>
      <c r="T596" s="52" t="n">
        <f aca="false">IF(Q596=0,0,S596/Q596)</f>
        <v>0.0873264421181727</v>
      </c>
      <c r="U596" s="51" t="str">
        <f aca="false">IF(AND(Q596&gt;0,T596&lt;-0.15),"ADVERSE","")</f>
        <v/>
      </c>
    </row>
    <row r="597" customFormat="false" ht="15" hidden="false" customHeight="false" outlineLevel="0" collapsed="false">
      <c r="A597" s="47" t="s">
        <v>139</v>
      </c>
      <c r="B597" s="47" t="s">
        <v>136</v>
      </c>
      <c r="C597" s="48" t="n">
        <v>45474</v>
      </c>
      <c r="D597" s="47" t="s">
        <v>35</v>
      </c>
      <c r="E597" s="47" t="s">
        <v>44</v>
      </c>
      <c r="F597" s="49" t="n">
        <v>326227</v>
      </c>
      <c r="G597" s="49" t="n">
        <v>344783</v>
      </c>
      <c r="H597" s="49" t="n">
        <v>177631</v>
      </c>
      <c r="I597" s="49" t="n">
        <v>186262</v>
      </c>
      <c r="J597" s="49" t="n">
        <v>51707</v>
      </c>
      <c r="K597" s="49" t="n">
        <v>54495</v>
      </c>
      <c r="L597" s="50" t="n">
        <v>15.5</v>
      </c>
      <c r="M597" s="51" t="n">
        <f aca="false">G597-F597</f>
        <v>18556</v>
      </c>
      <c r="N597" s="52" t="n">
        <f aca="false">IF(F597=0,0,M597/F597)</f>
        <v>0.0568806383285258</v>
      </c>
      <c r="O597" s="51" t="n">
        <f aca="false">G597-I597</f>
        <v>158521</v>
      </c>
      <c r="P597" s="51" t="n">
        <f aca="false">F597-H597</f>
        <v>148596</v>
      </c>
      <c r="Q597" s="51" t="n">
        <f aca="false">F597-H597-J597</f>
        <v>96889</v>
      </c>
      <c r="R597" s="51" t="n">
        <f aca="false">G597-I597-K597</f>
        <v>104026</v>
      </c>
      <c r="S597" s="51" t="n">
        <f aca="false">R597-Q597</f>
        <v>7137</v>
      </c>
      <c r="T597" s="52" t="n">
        <f aca="false">IF(Q597=0,0,S597/Q597)</f>
        <v>0.0736616127733799</v>
      </c>
      <c r="U597" s="51" t="str">
        <f aca="false">IF(AND(Q597&gt;0,T597&lt;-0.15),"ADVERSE","")</f>
        <v/>
      </c>
    </row>
    <row r="598" customFormat="false" ht="15" hidden="false" customHeight="false" outlineLevel="0" collapsed="false">
      <c r="A598" s="47" t="s">
        <v>139</v>
      </c>
      <c r="B598" s="47" t="s">
        <v>136</v>
      </c>
      <c r="C598" s="48" t="n">
        <v>45505</v>
      </c>
      <c r="D598" s="47" t="s">
        <v>35</v>
      </c>
      <c r="E598" s="47" t="s">
        <v>44</v>
      </c>
      <c r="F598" s="49" t="n">
        <v>306757</v>
      </c>
      <c r="G598" s="49" t="n">
        <v>331063</v>
      </c>
      <c r="H598" s="49" t="n">
        <v>167029</v>
      </c>
      <c r="I598" s="49" t="n">
        <v>180778</v>
      </c>
      <c r="J598" s="49" t="n">
        <v>48621</v>
      </c>
      <c r="K598" s="49" t="n">
        <v>53928</v>
      </c>
      <c r="L598" s="50" t="n">
        <v>16.4</v>
      </c>
      <c r="M598" s="51" t="n">
        <f aca="false">G598-F598</f>
        <v>24306</v>
      </c>
      <c r="N598" s="52" t="n">
        <f aca="false">IF(F598=0,0,M598/F598)</f>
        <v>0.0792353556724052</v>
      </c>
      <c r="O598" s="51" t="n">
        <f aca="false">G598-I598</f>
        <v>150285</v>
      </c>
      <c r="P598" s="51" t="n">
        <f aca="false">F598-H598</f>
        <v>139728</v>
      </c>
      <c r="Q598" s="51" t="n">
        <f aca="false">F598-H598-J598</f>
        <v>91107</v>
      </c>
      <c r="R598" s="51" t="n">
        <f aca="false">G598-I598-K598</f>
        <v>96357</v>
      </c>
      <c r="S598" s="51" t="n">
        <f aca="false">R598-Q598</f>
        <v>5250</v>
      </c>
      <c r="T598" s="52" t="n">
        <f aca="false">IF(Q598=0,0,S598/Q598)</f>
        <v>0.0576245513517073</v>
      </c>
      <c r="U598" s="51" t="str">
        <f aca="false">IF(AND(Q598&gt;0,T598&lt;-0.15),"ADVERSE","")</f>
        <v/>
      </c>
    </row>
    <row r="599" customFormat="false" ht="15" hidden="false" customHeight="false" outlineLevel="0" collapsed="false">
      <c r="A599" s="47" t="s">
        <v>139</v>
      </c>
      <c r="B599" s="47" t="s">
        <v>136</v>
      </c>
      <c r="C599" s="48" t="n">
        <v>45536</v>
      </c>
      <c r="D599" s="47" t="s">
        <v>35</v>
      </c>
      <c r="E599" s="47" t="s">
        <v>44</v>
      </c>
      <c r="F599" s="49" t="n">
        <v>319734</v>
      </c>
      <c r="G599" s="49" t="n">
        <v>333280</v>
      </c>
      <c r="H599" s="49" t="n">
        <v>174095</v>
      </c>
      <c r="I599" s="49" t="n">
        <v>179863</v>
      </c>
      <c r="J599" s="49" t="n">
        <v>50678</v>
      </c>
      <c r="K599" s="49" t="n">
        <v>55369</v>
      </c>
      <c r="L599" s="50" t="n">
        <v>16.2</v>
      </c>
      <c r="M599" s="51" t="n">
        <f aca="false">G599-F599</f>
        <v>13546</v>
      </c>
      <c r="N599" s="52" t="n">
        <f aca="false">IF(F599=0,0,M599/F599)</f>
        <v>0.0423664671257983</v>
      </c>
      <c r="O599" s="51" t="n">
        <f aca="false">G599-I599</f>
        <v>153417</v>
      </c>
      <c r="P599" s="51" t="n">
        <f aca="false">F599-H599</f>
        <v>145639</v>
      </c>
      <c r="Q599" s="51" t="n">
        <f aca="false">F599-H599-J599</f>
        <v>94961</v>
      </c>
      <c r="R599" s="51" t="n">
        <f aca="false">G599-I599-K599</f>
        <v>98048</v>
      </c>
      <c r="S599" s="51" t="n">
        <f aca="false">R599-Q599</f>
        <v>3087</v>
      </c>
      <c r="T599" s="52" t="n">
        <f aca="false">IF(Q599=0,0,S599/Q599)</f>
        <v>0.032508082265351</v>
      </c>
      <c r="U599" s="51" t="str">
        <f aca="false">IF(AND(Q599&gt;0,T599&lt;-0.15),"ADVERSE","")</f>
        <v/>
      </c>
    </row>
    <row r="600" customFormat="false" ht="15" hidden="false" customHeight="false" outlineLevel="0" collapsed="false">
      <c r="A600" s="47" t="s">
        <v>139</v>
      </c>
      <c r="B600" s="47" t="s">
        <v>137</v>
      </c>
      <c r="C600" s="48" t="n">
        <v>45566</v>
      </c>
      <c r="D600" s="47" t="s">
        <v>35</v>
      </c>
      <c r="E600" s="47" t="s">
        <v>44</v>
      </c>
      <c r="F600" s="49" t="n">
        <v>338493</v>
      </c>
      <c r="G600" s="49" t="n">
        <v>350311</v>
      </c>
      <c r="H600" s="49" t="n">
        <v>184310</v>
      </c>
      <c r="I600" s="49" t="n">
        <v>194698</v>
      </c>
      <c r="J600" s="49" t="n">
        <v>53651</v>
      </c>
      <c r="K600" s="49" t="n">
        <v>58574</v>
      </c>
      <c r="L600" s="50" t="n">
        <v>16.1</v>
      </c>
      <c r="M600" s="51" t="n">
        <f aca="false">G600-F600</f>
        <v>11818</v>
      </c>
      <c r="N600" s="52" t="n">
        <f aca="false">IF(F600=0,0,M600/F600)</f>
        <v>0.0349135728065278</v>
      </c>
      <c r="O600" s="51" t="n">
        <f aca="false">G600-I600</f>
        <v>155613</v>
      </c>
      <c r="P600" s="51" t="n">
        <f aca="false">F600-H600</f>
        <v>154183</v>
      </c>
      <c r="Q600" s="51" t="n">
        <f aca="false">F600-H600-J600</f>
        <v>100532</v>
      </c>
      <c r="R600" s="51" t="n">
        <f aca="false">G600-I600-K600</f>
        <v>97039</v>
      </c>
      <c r="S600" s="51" t="n">
        <f aca="false">R600-Q600</f>
        <v>-3493</v>
      </c>
      <c r="T600" s="52" t="n">
        <f aca="false">IF(Q600=0,0,S600/Q600)</f>
        <v>-0.0347451557712967</v>
      </c>
      <c r="U600" s="51" t="str">
        <f aca="false">IF(AND(Q600&gt;0,T600&lt;-0.15),"ADVERSE","")</f>
        <v/>
      </c>
    </row>
    <row r="601" customFormat="false" ht="15" hidden="false" customHeight="false" outlineLevel="0" collapsed="false">
      <c r="A601" s="47" t="s">
        <v>139</v>
      </c>
      <c r="B601" s="47" t="s">
        <v>137</v>
      </c>
      <c r="C601" s="48" t="n">
        <v>45597</v>
      </c>
      <c r="D601" s="47" t="s">
        <v>35</v>
      </c>
      <c r="E601" s="47" t="s">
        <v>44</v>
      </c>
      <c r="F601" s="49" t="n">
        <v>338686</v>
      </c>
      <c r="G601" s="49" t="n">
        <v>337952</v>
      </c>
      <c r="H601" s="49" t="n">
        <v>184415</v>
      </c>
      <c r="I601" s="49" t="n">
        <v>185798</v>
      </c>
      <c r="J601" s="49" t="n">
        <v>53682</v>
      </c>
      <c r="K601" s="49" t="n">
        <v>54650</v>
      </c>
      <c r="L601" s="50" t="n">
        <v>17</v>
      </c>
      <c r="M601" s="51" t="n">
        <f aca="false">G601-F601</f>
        <v>-734</v>
      </c>
      <c r="N601" s="52" t="n">
        <f aca="false">IF(F601=0,0,M601/F601)</f>
        <v>-0.00216719911658586</v>
      </c>
      <c r="O601" s="51" t="n">
        <f aca="false">G601-I601</f>
        <v>152154</v>
      </c>
      <c r="P601" s="51" t="n">
        <f aca="false">F601-H601</f>
        <v>154271</v>
      </c>
      <c r="Q601" s="51" t="n">
        <f aca="false">F601-H601-J601</f>
        <v>100589</v>
      </c>
      <c r="R601" s="51" t="n">
        <f aca="false">G601-I601-K601</f>
        <v>97504</v>
      </c>
      <c r="S601" s="51" t="n">
        <f aca="false">R601-Q601</f>
        <v>-3085</v>
      </c>
      <c r="T601" s="52" t="n">
        <f aca="false">IF(Q601=0,0,S601/Q601)</f>
        <v>-0.0306693574844168</v>
      </c>
      <c r="U601" s="51" t="str">
        <f aca="false">IF(AND(Q601&gt;0,T601&lt;-0.15),"ADVERSE","")</f>
        <v/>
      </c>
    </row>
    <row r="602" customFormat="false" ht="15" hidden="false" customHeight="false" outlineLevel="0" collapsed="false">
      <c r="A602" s="47" t="s">
        <v>139</v>
      </c>
      <c r="B602" s="47" t="s">
        <v>137</v>
      </c>
      <c r="C602" s="48" t="n">
        <v>45627</v>
      </c>
      <c r="D602" s="47" t="s">
        <v>35</v>
      </c>
      <c r="E602" s="47" t="s">
        <v>44</v>
      </c>
      <c r="F602" s="49" t="n">
        <v>335383</v>
      </c>
      <c r="G602" s="49" t="n">
        <v>370334</v>
      </c>
      <c r="H602" s="49" t="n">
        <v>182616</v>
      </c>
      <c r="I602" s="49" t="n">
        <v>202386</v>
      </c>
      <c r="J602" s="49" t="n">
        <v>53158</v>
      </c>
      <c r="K602" s="49" t="n">
        <v>61765</v>
      </c>
      <c r="L602" s="50" t="n">
        <v>17.1</v>
      </c>
      <c r="M602" s="51" t="n">
        <f aca="false">G602-F602</f>
        <v>34951</v>
      </c>
      <c r="N602" s="52" t="n">
        <f aca="false">IF(F602=0,0,M602/F602)</f>
        <v>0.104212199187198</v>
      </c>
      <c r="O602" s="51" t="n">
        <f aca="false">G602-I602</f>
        <v>167948</v>
      </c>
      <c r="P602" s="51" t="n">
        <f aca="false">F602-H602</f>
        <v>152767</v>
      </c>
      <c r="Q602" s="51" t="n">
        <f aca="false">F602-H602-J602</f>
        <v>99609</v>
      </c>
      <c r="R602" s="51" t="n">
        <f aca="false">G602-I602-K602</f>
        <v>106183</v>
      </c>
      <c r="S602" s="51" t="n">
        <f aca="false">R602-Q602</f>
        <v>6574</v>
      </c>
      <c r="T602" s="52" t="n">
        <f aca="false">IF(Q602=0,0,S602/Q602)</f>
        <v>0.0659980523848247</v>
      </c>
      <c r="U602" s="51" t="str">
        <f aca="false">IF(AND(Q602&gt;0,T602&lt;-0.15),"ADVERSE","")</f>
        <v/>
      </c>
    </row>
    <row r="603" customFormat="false" ht="15" hidden="false" customHeight="false" outlineLevel="0" collapsed="false">
      <c r="A603" s="47" t="s">
        <v>139</v>
      </c>
      <c r="B603" s="47" t="s">
        <v>138</v>
      </c>
      <c r="C603" s="48" t="n">
        <v>45658</v>
      </c>
      <c r="D603" s="47" t="s">
        <v>35</v>
      </c>
      <c r="E603" s="47" t="s">
        <v>44</v>
      </c>
      <c r="F603" s="49" t="n">
        <v>325888</v>
      </c>
      <c r="G603" s="49" t="n">
        <v>333167</v>
      </c>
      <c r="H603" s="49" t="n">
        <v>177446</v>
      </c>
      <c r="I603" s="49" t="n">
        <v>176690</v>
      </c>
      <c r="J603" s="49" t="n">
        <v>51653</v>
      </c>
      <c r="K603" s="49" t="n">
        <v>53274</v>
      </c>
      <c r="L603" s="50" t="n">
        <v>17</v>
      </c>
      <c r="M603" s="51" t="n">
        <f aca="false">G603-F603</f>
        <v>7279</v>
      </c>
      <c r="N603" s="52" t="n">
        <f aca="false">IF(F603=0,0,M603/F603)</f>
        <v>0.0223358945404556</v>
      </c>
      <c r="O603" s="51" t="n">
        <f aca="false">G603-I603</f>
        <v>156477</v>
      </c>
      <c r="P603" s="51" t="n">
        <f aca="false">F603-H603</f>
        <v>148442</v>
      </c>
      <c r="Q603" s="51" t="n">
        <f aca="false">F603-H603-J603</f>
        <v>96789</v>
      </c>
      <c r="R603" s="51" t="n">
        <f aca="false">G603-I603-K603</f>
        <v>103203</v>
      </c>
      <c r="S603" s="51" t="n">
        <f aca="false">R603-Q603</f>
        <v>6414</v>
      </c>
      <c r="T603" s="52" t="n">
        <f aca="false">IF(Q603=0,0,S603/Q603)</f>
        <v>0.0662678610172644</v>
      </c>
      <c r="U603" s="51" t="str">
        <f aca="false">IF(AND(Q603&gt;0,T603&lt;-0.15),"ADVERSE","")</f>
        <v/>
      </c>
    </row>
    <row r="604" customFormat="false" ht="15" hidden="false" customHeight="false" outlineLevel="0" collapsed="false">
      <c r="A604" s="47" t="s">
        <v>139</v>
      </c>
      <c r="B604" s="47" t="s">
        <v>138</v>
      </c>
      <c r="C604" s="48" t="n">
        <v>45689</v>
      </c>
      <c r="D604" s="47" t="s">
        <v>35</v>
      </c>
      <c r="E604" s="47" t="s">
        <v>44</v>
      </c>
      <c r="F604" s="49" t="n">
        <v>333191</v>
      </c>
      <c r="G604" s="49" t="n">
        <v>346276</v>
      </c>
      <c r="H604" s="49" t="n">
        <v>181422</v>
      </c>
      <c r="I604" s="49" t="n">
        <v>188542</v>
      </c>
      <c r="J604" s="49" t="n">
        <v>52811</v>
      </c>
      <c r="K604" s="49" t="n">
        <v>52134</v>
      </c>
      <c r="L604" s="50" t="n">
        <v>17.1</v>
      </c>
      <c r="M604" s="51" t="n">
        <f aca="false">G604-F604</f>
        <v>13085</v>
      </c>
      <c r="N604" s="52" t="n">
        <f aca="false">IF(F604=0,0,M604/F604)</f>
        <v>0.0392717690453824</v>
      </c>
      <c r="O604" s="51" t="n">
        <f aca="false">G604-I604</f>
        <v>157734</v>
      </c>
      <c r="P604" s="51" t="n">
        <f aca="false">F604-H604</f>
        <v>151769</v>
      </c>
      <c r="Q604" s="51" t="n">
        <f aca="false">F604-H604-J604</f>
        <v>98958</v>
      </c>
      <c r="R604" s="51" t="n">
        <f aca="false">G604-I604-K604</f>
        <v>105600</v>
      </c>
      <c r="S604" s="51" t="n">
        <f aca="false">R604-Q604</f>
        <v>6642</v>
      </c>
      <c r="T604" s="52" t="n">
        <f aca="false">IF(Q604=0,0,S604/Q604)</f>
        <v>0.0671193839810829</v>
      </c>
      <c r="U604" s="51" t="str">
        <f aca="false">IF(AND(Q604&gt;0,T604&lt;-0.15),"ADVERSE","")</f>
        <v/>
      </c>
    </row>
    <row r="605" customFormat="false" ht="15" hidden="false" customHeight="false" outlineLevel="0" collapsed="false">
      <c r="A605" s="47" t="s">
        <v>139</v>
      </c>
      <c r="B605" s="47" t="s">
        <v>138</v>
      </c>
      <c r="C605" s="48" t="n">
        <v>45717</v>
      </c>
      <c r="D605" s="47" t="s">
        <v>35</v>
      </c>
      <c r="E605" s="47" t="s">
        <v>44</v>
      </c>
      <c r="F605" s="49" t="n">
        <v>373332</v>
      </c>
      <c r="G605" s="49" t="n">
        <v>385215</v>
      </c>
      <c r="H605" s="49" t="n">
        <v>203279</v>
      </c>
      <c r="I605" s="49" t="n">
        <v>210003</v>
      </c>
      <c r="J605" s="49" t="n">
        <v>59173</v>
      </c>
      <c r="K605" s="49" t="n">
        <v>63238</v>
      </c>
      <c r="L605" s="50" t="n">
        <v>17.6</v>
      </c>
      <c r="M605" s="51" t="n">
        <f aca="false">G605-F605</f>
        <v>11883</v>
      </c>
      <c r="N605" s="52" t="n">
        <f aca="false">IF(F605=0,0,M605/F605)</f>
        <v>0.0318295779627784</v>
      </c>
      <c r="O605" s="51" t="n">
        <f aca="false">G605-I605</f>
        <v>175212</v>
      </c>
      <c r="P605" s="51" t="n">
        <f aca="false">F605-H605</f>
        <v>170053</v>
      </c>
      <c r="Q605" s="51" t="n">
        <f aca="false">F605-H605-J605</f>
        <v>110880</v>
      </c>
      <c r="R605" s="51" t="n">
        <f aca="false">G605-I605-K605</f>
        <v>111974</v>
      </c>
      <c r="S605" s="51" t="n">
        <f aca="false">R605-Q605</f>
        <v>1094</v>
      </c>
      <c r="T605" s="52" t="n">
        <f aca="false">IF(Q605=0,0,S605/Q605)</f>
        <v>0.00986652236652237</v>
      </c>
      <c r="U605" s="51" t="str">
        <f aca="false">IF(AND(Q605&gt;0,T605&lt;-0.15),"ADVERSE","")</f>
        <v/>
      </c>
    </row>
    <row r="606" customFormat="false" ht="15" hidden="false" customHeight="false" outlineLevel="0" collapsed="false">
      <c r="A606" s="47" t="s">
        <v>3</v>
      </c>
      <c r="B606" s="47" t="s">
        <v>135</v>
      </c>
      <c r="C606" s="48" t="n">
        <v>45748</v>
      </c>
      <c r="D606" s="47" t="s">
        <v>35</v>
      </c>
      <c r="E606" s="47" t="s">
        <v>44</v>
      </c>
      <c r="F606" s="49" t="n">
        <v>346967</v>
      </c>
      <c r="G606" s="49" t="n">
        <v>368482</v>
      </c>
      <c r="H606" s="49" t="n">
        <v>188924</v>
      </c>
      <c r="I606" s="49" t="n">
        <v>198045</v>
      </c>
      <c r="J606" s="49" t="n">
        <v>54994</v>
      </c>
      <c r="K606" s="49" t="n">
        <v>58981</v>
      </c>
      <c r="L606" s="50" t="n">
        <v>18.1</v>
      </c>
      <c r="M606" s="51" t="n">
        <f aca="false">G606-F606</f>
        <v>21515</v>
      </c>
      <c r="N606" s="52" t="n">
        <f aca="false">IF(F606=0,0,M606/F606)</f>
        <v>0.0620087789328668</v>
      </c>
      <c r="O606" s="51" t="n">
        <f aca="false">G606-I606</f>
        <v>170437</v>
      </c>
      <c r="P606" s="51" t="n">
        <f aca="false">F606-H606</f>
        <v>158043</v>
      </c>
      <c r="Q606" s="51" t="n">
        <f aca="false">F606-H606-J606</f>
        <v>103049</v>
      </c>
      <c r="R606" s="51" t="n">
        <f aca="false">G606-I606-K606</f>
        <v>111456</v>
      </c>
      <c r="S606" s="51" t="n">
        <f aca="false">R606-Q606</f>
        <v>8407</v>
      </c>
      <c r="T606" s="52" t="n">
        <f aca="false">IF(Q606=0,0,S606/Q606)</f>
        <v>0.0815825481081815</v>
      </c>
      <c r="U606" s="51" t="str">
        <f aca="false">IF(AND(Q606&gt;0,T606&lt;-0.15),"ADVERSE","")</f>
        <v/>
      </c>
    </row>
    <row r="607" customFormat="false" ht="15" hidden="false" customHeight="false" outlineLevel="0" collapsed="false">
      <c r="A607" s="47" t="s">
        <v>3</v>
      </c>
      <c r="B607" s="47" t="s">
        <v>135</v>
      </c>
      <c r="C607" s="48" t="n">
        <v>45778</v>
      </c>
      <c r="D607" s="47" t="s">
        <v>35</v>
      </c>
      <c r="E607" s="47" t="s">
        <v>44</v>
      </c>
      <c r="F607" s="49" t="n">
        <v>352255</v>
      </c>
      <c r="G607" s="49" t="n">
        <v>386472</v>
      </c>
      <c r="H607" s="49" t="n">
        <v>191803</v>
      </c>
      <c r="I607" s="49" t="n">
        <v>211752</v>
      </c>
      <c r="J607" s="49" t="n">
        <v>55832</v>
      </c>
      <c r="K607" s="49" t="n">
        <v>62329</v>
      </c>
      <c r="L607" s="50" t="n">
        <v>18.1</v>
      </c>
      <c r="M607" s="51" t="n">
        <f aca="false">G607-F607</f>
        <v>34217</v>
      </c>
      <c r="N607" s="52" t="n">
        <f aca="false">IF(F607=0,0,M607/F607)</f>
        <v>0.0971370172176406</v>
      </c>
      <c r="O607" s="51" t="n">
        <f aca="false">G607-I607</f>
        <v>174720</v>
      </c>
      <c r="P607" s="51" t="n">
        <f aca="false">F607-H607</f>
        <v>160452</v>
      </c>
      <c r="Q607" s="51" t="n">
        <f aca="false">F607-H607-J607</f>
        <v>104620</v>
      </c>
      <c r="R607" s="51" t="n">
        <f aca="false">G607-I607-K607</f>
        <v>112391</v>
      </c>
      <c r="S607" s="51" t="n">
        <f aca="false">R607-Q607</f>
        <v>7771</v>
      </c>
      <c r="T607" s="52" t="n">
        <f aca="false">IF(Q607=0,0,S607/Q607)</f>
        <v>0.0742783406614414</v>
      </c>
      <c r="U607" s="51" t="str">
        <f aca="false">IF(AND(Q607&gt;0,T607&lt;-0.15),"ADVERSE","")</f>
        <v/>
      </c>
    </row>
    <row r="608" customFormat="false" ht="15" hidden="false" customHeight="false" outlineLevel="0" collapsed="false">
      <c r="A608" s="47" t="s">
        <v>3</v>
      </c>
      <c r="B608" s="47" t="s">
        <v>135</v>
      </c>
      <c r="C608" s="48" t="n">
        <v>45809</v>
      </c>
      <c r="D608" s="47" t="s">
        <v>35</v>
      </c>
      <c r="E608" s="47" t="s">
        <v>44</v>
      </c>
      <c r="F608" s="49" t="n">
        <v>357808</v>
      </c>
      <c r="G608" s="49" t="n">
        <v>375425</v>
      </c>
      <c r="H608" s="49" t="n">
        <v>194826</v>
      </c>
      <c r="I608" s="49" t="n">
        <v>201641</v>
      </c>
      <c r="J608" s="49" t="n">
        <v>56713</v>
      </c>
      <c r="K608" s="49" t="n">
        <v>62157</v>
      </c>
      <c r="L608" s="50" t="n">
        <v>18.1</v>
      </c>
      <c r="M608" s="51" t="n">
        <f aca="false">G608-F608</f>
        <v>17617</v>
      </c>
      <c r="N608" s="52" t="n">
        <f aca="false">IF(F608=0,0,M608/F608)</f>
        <v>0.0492359030541519</v>
      </c>
      <c r="O608" s="51" t="n">
        <f aca="false">G608-I608</f>
        <v>173784</v>
      </c>
      <c r="P608" s="51" t="n">
        <f aca="false">F608-H608</f>
        <v>162982</v>
      </c>
      <c r="Q608" s="51" t="n">
        <f aca="false">F608-H608-J608</f>
        <v>106269</v>
      </c>
      <c r="R608" s="51" t="n">
        <f aca="false">G608-I608-K608</f>
        <v>111627</v>
      </c>
      <c r="S608" s="51" t="n">
        <f aca="false">R608-Q608</f>
        <v>5358</v>
      </c>
      <c r="T608" s="52" t="n">
        <f aca="false">IF(Q608=0,0,S608/Q608)</f>
        <v>0.0504192191513988</v>
      </c>
      <c r="U608" s="51" t="str">
        <f aca="false">IF(AND(Q608&gt;0,T608&lt;-0.15),"ADVERSE","")</f>
        <v/>
      </c>
    </row>
    <row r="609" customFormat="false" ht="15" hidden="false" customHeight="false" outlineLevel="0" collapsed="false">
      <c r="A609" s="47" t="s">
        <v>3</v>
      </c>
      <c r="B609" s="47" t="s">
        <v>136</v>
      </c>
      <c r="C609" s="48" t="n">
        <v>45839</v>
      </c>
      <c r="D609" s="47" t="s">
        <v>35</v>
      </c>
      <c r="E609" s="47" t="s">
        <v>44</v>
      </c>
      <c r="F609" s="49" t="n">
        <v>366555</v>
      </c>
      <c r="G609" s="49" t="n">
        <v>409777</v>
      </c>
      <c r="H609" s="49" t="n">
        <v>199589</v>
      </c>
      <c r="I609" s="49" t="n">
        <v>222336</v>
      </c>
      <c r="J609" s="49" t="n">
        <v>58099</v>
      </c>
      <c r="K609" s="49" t="n">
        <v>63070</v>
      </c>
      <c r="L609" s="50" t="n">
        <v>18.7</v>
      </c>
      <c r="M609" s="51" t="n">
        <f aca="false">G609-F609</f>
        <v>43222</v>
      </c>
      <c r="N609" s="52" t="n">
        <f aca="false">IF(F609=0,0,M609/F609)</f>
        <v>0.117914092018933</v>
      </c>
      <c r="O609" s="51" t="n">
        <f aca="false">G609-I609</f>
        <v>187441</v>
      </c>
      <c r="P609" s="51" t="n">
        <f aca="false">F609-H609</f>
        <v>166966</v>
      </c>
      <c r="Q609" s="51" t="n">
        <f aca="false">F609-H609-J609</f>
        <v>108867</v>
      </c>
      <c r="R609" s="51" t="n">
        <f aca="false">G609-I609-K609</f>
        <v>124371</v>
      </c>
      <c r="S609" s="51" t="n">
        <f aca="false">R609-Q609</f>
        <v>15504</v>
      </c>
      <c r="T609" s="52" t="n">
        <f aca="false">IF(Q609=0,0,S609/Q609)</f>
        <v>0.142412301248312</v>
      </c>
      <c r="U609" s="51" t="str">
        <f aca="false">IF(AND(Q609&gt;0,T609&lt;-0.15),"ADVERSE","")</f>
        <v/>
      </c>
    </row>
    <row r="610" customFormat="false" ht="15" hidden="false" customHeight="false" outlineLevel="0" collapsed="false">
      <c r="A610" s="47" t="s">
        <v>3</v>
      </c>
      <c r="B610" s="47" t="s">
        <v>136</v>
      </c>
      <c r="C610" s="48" t="n">
        <v>45870</v>
      </c>
      <c r="D610" s="47" t="s">
        <v>35</v>
      </c>
      <c r="E610" s="47" t="s">
        <v>44</v>
      </c>
      <c r="F610" s="49" t="n">
        <v>356982</v>
      </c>
      <c r="G610" s="49" t="n">
        <v>418763</v>
      </c>
      <c r="H610" s="49" t="n">
        <v>194377</v>
      </c>
      <c r="I610" s="49" t="n">
        <v>229142</v>
      </c>
      <c r="J610" s="49" t="n">
        <v>56582</v>
      </c>
      <c r="K610" s="49" t="n">
        <v>64843</v>
      </c>
      <c r="L610" s="50" t="n">
        <v>19</v>
      </c>
      <c r="M610" s="51" t="n">
        <f aca="false">G610-F610</f>
        <v>61781</v>
      </c>
      <c r="N610" s="52" t="n">
        <f aca="false">IF(F610=0,0,M610/F610)</f>
        <v>0.173064748362663</v>
      </c>
      <c r="O610" s="51" t="n">
        <f aca="false">G610-I610</f>
        <v>189621</v>
      </c>
      <c r="P610" s="51" t="n">
        <f aca="false">F610-H610</f>
        <v>162605</v>
      </c>
      <c r="Q610" s="51" t="n">
        <f aca="false">F610-H610-J610</f>
        <v>106023</v>
      </c>
      <c r="R610" s="51" t="n">
        <f aca="false">G610-I610-K610</f>
        <v>124778</v>
      </c>
      <c r="S610" s="51" t="n">
        <f aca="false">R610-Q610</f>
        <v>18755</v>
      </c>
      <c r="T610" s="52" t="n">
        <f aca="false">IF(Q610=0,0,S610/Q610)</f>
        <v>0.176895579261104</v>
      </c>
      <c r="U610" s="51" t="str">
        <f aca="false">IF(AND(Q610&gt;0,T610&lt;-0.15),"ADVERSE","")</f>
        <v/>
      </c>
    </row>
    <row r="611" customFormat="false" ht="15" hidden="false" customHeight="false" outlineLevel="0" collapsed="false">
      <c r="A611" s="47" t="s">
        <v>3</v>
      </c>
      <c r="B611" s="47" t="s">
        <v>136</v>
      </c>
      <c r="C611" s="48" t="n">
        <v>45901</v>
      </c>
      <c r="D611" s="47" t="s">
        <v>35</v>
      </c>
      <c r="E611" s="47" t="s">
        <v>44</v>
      </c>
      <c r="F611" s="49" t="n">
        <v>372317</v>
      </c>
      <c r="G611" s="49" t="n">
        <v>430188</v>
      </c>
      <c r="H611" s="49" t="n">
        <v>202727</v>
      </c>
      <c r="I611" s="49" t="n">
        <v>237896</v>
      </c>
      <c r="J611" s="49" t="n">
        <v>59012</v>
      </c>
      <c r="K611" s="49" t="n">
        <v>68494</v>
      </c>
      <c r="L611" s="50" t="n">
        <v>18.8</v>
      </c>
      <c r="M611" s="51" t="n">
        <f aca="false">G611-F611</f>
        <v>57871</v>
      </c>
      <c r="N611" s="52" t="n">
        <f aca="false">IF(F611=0,0,M611/F611)</f>
        <v>0.155434750494874</v>
      </c>
      <c r="O611" s="51" t="n">
        <f aca="false">G611-I611</f>
        <v>192292</v>
      </c>
      <c r="P611" s="51" t="n">
        <f aca="false">F611-H611</f>
        <v>169590</v>
      </c>
      <c r="Q611" s="51" t="n">
        <f aca="false">F611-H611-J611</f>
        <v>110578</v>
      </c>
      <c r="R611" s="51" t="n">
        <f aca="false">G611-I611-K611</f>
        <v>123798</v>
      </c>
      <c r="S611" s="51" t="n">
        <f aca="false">R611-Q611</f>
        <v>13220</v>
      </c>
      <c r="T611" s="52" t="n">
        <f aca="false">IF(Q611=0,0,S611/Q611)</f>
        <v>0.119553618260413</v>
      </c>
      <c r="U611" s="51" t="str">
        <f aca="false">IF(AND(Q611&gt;0,T611&lt;-0.15),"ADVERSE","")</f>
        <v/>
      </c>
    </row>
    <row r="612" customFormat="false" ht="15" hidden="false" customHeight="false" outlineLevel="0" collapsed="false">
      <c r="A612" s="47" t="s">
        <v>3</v>
      </c>
      <c r="B612" s="47" t="s">
        <v>137</v>
      </c>
      <c r="C612" s="48" t="n">
        <v>45931</v>
      </c>
      <c r="D612" s="47" t="s">
        <v>35</v>
      </c>
      <c r="E612" s="47" t="s">
        <v>44</v>
      </c>
      <c r="F612" s="49" t="n">
        <v>395830</v>
      </c>
      <c r="G612" s="49" t="n">
        <v>419390</v>
      </c>
      <c r="H612" s="49" t="n">
        <v>215530</v>
      </c>
      <c r="I612" s="49" t="n">
        <v>230003</v>
      </c>
      <c r="J612" s="49" t="n">
        <v>62739</v>
      </c>
      <c r="K612" s="49" t="n">
        <v>66902</v>
      </c>
      <c r="L612" s="50" t="n">
        <v>19.2</v>
      </c>
      <c r="M612" s="51" t="n">
        <f aca="false">G612-F612</f>
        <v>23560</v>
      </c>
      <c r="N612" s="52" t="n">
        <f aca="false">IF(F612=0,0,M612/F612)</f>
        <v>0.0595205012252735</v>
      </c>
      <c r="O612" s="51" t="n">
        <f aca="false">G612-I612</f>
        <v>189387</v>
      </c>
      <c r="P612" s="51" t="n">
        <f aca="false">F612-H612</f>
        <v>180300</v>
      </c>
      <c r="Q612" s="51" t="n">
        <f aca="false">F612-H612-J612</f>
        <v>117561</v>
      </c>
      <c r="R612" s="51" t="n">
        <f aca="false">G612-I612-K612</f>
        <v>122485</v>
      </c>
      <c r="S612" s="51" t="n">
        <f aca="false">R612-Q612</f>
        <v>4924</v>
      </c>
      <c r="T612" s="52" t="n">
        <f aca="false">IF(Q612=0,0,S612/Q612)</f>
        <v>0.0418846386131455</v>
      </c>
      <c r="U612" s="51" t="str">
        <f aca="false">IF(AND(Q612&gt;0,T612&lt;-0.15),"ADVERSE","")</f>
        <v/>
      </c>
    </row>
    <row r="613" customFormat="false" ht="15" hidden="false" customHeight="false" outlineLevel="0" collapsed="false">
      <c r="A613" s="47" t="s">
        <v>3</v>
      </c>
      <c r="B613" s="47" t="s">
        <v>137</v>
      </c>
      <c r="C613" s="48" t="n">
        <v>45962</v>
      </c>
      <c r="D613" s="47" t="s">
        <v>35</v>
      </c>
      <c r="E613" s="47" t="s">
        <v>44</v>
      </c>
      <c r="F613" s="49" t="n">
        <v>395708</v>
      </c>
      <c r="G613" s="49" t="n">
        <v>418792</v>
      </c>
      <c r="H613" s="49" t="n">
        <v>215463</v>
      </c>
      <c r="I613" s="49" t="n">
        <v>235596</v>
      </c>
      <c r="J613" s="49" t="n">
        <v>62720</v>
      </c>
      <c r="K613" s="49" t="n">
        <v>66593</v>
      </c>
      <c r="L613" s="50" t="n">
        <v>19.2</v>
      </c>
      <c r="M613" s="51" t="n">
        <f aca="false">G613-F613</f>
        <v>23084</v>
      </c>
      <c r="N613" s="52" t="n">
        <f aca="false">IF(F613=0,0,M613/F613)</f>
        <v>0.058335944686486</v>
      </c>
      <c r="O613" s="51" t="n">
        <f aca="false">G613-I613</f>
        <v>183196</v>
      </c>
      <c r="P613" s="51" t="n">
        <f aca="false">F613-H613</f>
        <v>180245</v>
      </c>
      <c r="Q613" s="51" t="n">
        <f aca="false">F613-H613-J613</f>
        <v>117525</v>
      </c>
      <c r="R613" s="51" t="n">
        <f aca="false">G613-I613-K613</f>
        <v>116603</v>
      </c>
      <c r="S613" s="51" t="n">
        <f aca="false">R613-Q613</f>
        <v>-922</v>
      </c>
      <c r="T613" s="52" t="n">
        <f aca="false">IF(Q613=0,0,S613/Q613)</f>
        <v>-0.00784513933205701</v>
      </c>
      <c r="U613" s="51" t="str">
        <f aca="false">IF(AND(Q613&gt;0,T613&lt;-0.15),"ADVERSE","")</f>
        <v/>
      </c>
    </row>
    <row r="614" customFormat="false" ht="15" hidden="false" customHeight="false" outlineLevel="0" collapsed="false">
      <c r="A614" s="47" t="s">
        <v>3</v>
      </c>
      <c r="B614" s="47" t="s">
        <v>137</v>
      </c>
      <c r="C614" s="48" t="n">
        <v>45992</v>
      </c>
      <c r="D614" s="47" t="s">
        <v>35</v>
      </c>
      <c r="E614" s="47" t="s">
        <v>44</v>
      </c>
      <c r="F614" s="49" t="n">
        <v>393170</v>
      </c>
      <c r="G614" s="49" t="n">
        <v>432641</v>
      </c>
      <c r="H614" s="49" t="n">
        <v>214081</v>
      </c>
      <c r="I614" s="49" t="n">
        <v>239624</v>
      </c>
      <c r="J614" s="49" t="n">
        <v>62317</v>
      </c>
      <c r="K614" s="49" t="n">
        <v>66038</v>
      </c>
      <c r="L614" s="50" t="n">
        <v>19.9</v>
      </c>
      <c r="M614" s="51" t="n">
        <f aca="false">G614-F614</f>
        <v>39471</v>
      </c>
      <c r="N614" s="52" t="n">
        <f aca="false">IF(F614=0,0,M614/F614)</f>
        <v>0.100391688073861</v>
      </c>
      <c r="O614" s="51" t="n">
        <f aca="false">G614-I614</f>
        <v>193017</v>
      </c>
      <c r="P614" s="51" t="n">
        <f aca="false">F614-H614</f>
        <v>179089</v>
      </c>
      <c r="Q614" s="51" t="n">
        <f aca="false">F614-H614-J614</f>
        <v>116772</v>
      </c>
      <c r="R614" s="51" t="n">
        <f aca="false">G614-I614-K614</f>
        <v>126979</v>
      </c>
      <c r="S614" s="51" t="n">
        <f aca="false">R614-Q614</f>
        <v>10207</v>
      </c>
      <c r="T614" s="52" t="n">
        <f aca="false">IF(Q614=0,0,S614/Q614)</f>
        <v>0.0874096529990066</v>
      </c>
      <c r="U614" s="51" t="str">
        <f aca="false">IF(AND(Q614&gt;0,T614&lt;-0.15),"ADVERSE","")</f>
        <v/>
      </c>
    </row>
    <row r="615" customFormat="false" ht="15" hidden="false" customHeight="false" outlineLevel="0" collapsed="false">
      <c r="A615" s="47" t="s">
        <v>3</v>
      </c>
      <c r="B615" s="47" t="s">
        <v>138</v>
      </c>
      <c r="C615" s="48" t="n">
        <v>46023</v>
      </c>
      <c r="D615" s="47" t="s">
        <v>35</v>
      </c>
      <c r="E615" s="47" t="s">
        <v>44</v>
      </c>
      <c r="F615" s="49" t="n">
        <v>390258</v>
      </c>
      <c r="G615" s="49" t="n">
        <v>408094</v>
      </c>
      <c r="H615" s="49" t="n">
        <v>212496</v>
      </c>
      <c r="I615" s="49" t="n">
        <v>224958</v>
      </c>
      <c r="J615" s="49" t="n">
        <v>61856</v>
      </c>
      <c r="K615" s="49" t="n">
        <v>64839</v>
      </c>
      <c r="L615" s="50" t="n">
        <v>19.7</v>
      </c>
      <c r="M615" s="51" t="n">
        <f aca="false">G615-F615</f>
        <v>17836</v>
      </c>
      <c r="N615" s="52" t="n">
        <f aca="false">IF(F615=0,0,M615/F615)</f>
        <v>0.0457030989755495</v>
      </c>
      <c r="O615" s="51" t="n">
        <f aca="false">G615-I615</f>
        <v>183136</v>
      </c>
      <c r="P615" s="51" t="n">
        <f aca="false">F615-H615</f>
        <v>177762</v>
      </c>
      <c r="Q615" s="51" t="n">
        <f aca="false">F615-H615-J615</f>
        <v>115906</v>
      </c>
      <c r="R615" s="51" t="n">
        <f aca="false">G615-I615-K615</f>
        <v>118297</v>
      </c>
      <c r="S615" s="51" t="n">
        <f aca="false">R615-Q615</f>
        <v>2391</v>
      </c>
      <c r="T615" s="52" t="n">
        <f aca="false">IF(Q615=0,0,S615/Q615)</f>
        <v>0.0206287853950615</v>
      </c>
      <c r="U615" s="51" t="str">
        <f aca="false">IF(AND(Q615&gt;0,T615&lt;-0.15),"ADVERSE","")</f>
        <v/>
      </c>
    </row>
    <row r="616" customFormat="false" ht="15" hidden="false" customHeight="false" outlineLevel="0" collapsed="false">
      <c r="A616" s="47" t="s">
        <v>3</v>
      </c>
      <c r="B616" s="47" t="s">
        <v>138</v>
      </c>
      <c r="C616" s="48" t="n">
        <v>46054</v>
      </c>
      <c r="D616" s="47" t="s">
        <v>35</v>
      </c>
      <c r="E616" s="47" t="s">
        <v>44</v>
      </c>
      <c r="F616" s="49" t="n">
        <v>393897</v>
      </c>
      <c r="G616" s="49" t="n">
        <v>461664</v>
      </c>
      <c r="H616" s="49" t="n">
        <v>214477</v>
      </c>
      <c r="I616" s="49" t="n">
        <v>255056</v>
      </c>
      <c r="J616" s="49" t="n">
        <v>62433</v>
      </c>
      <c r="K616" s="49" t="n">
        <v>68458</v>
      </c>
      <c r="L616" s="50" t="n">
        <v>20.4</v>
      </c>
      <c r="M616" s="51" t="n">
        <f aca="false">G616-F616</f>
        <v>67767</v>
      </c>
      <c r="N616" s="52" t="n">
        <f aca="false">IF(F616=0,0,M616/F616)</f>
        <v>0.172042437490004</v>
      </c>
      <c r="O616" s="51" t="n">
        <f aca="false">G616-I616</f>
        <v>206608</v>
      </c>
      <c r="P616" s="51" t="n">
        <f aca="false">F616-H616</f>
        <v>179420</v>
      </c>
      <c r="Q616" s="51" t="n">
        <f aca="false">F616-H616-J616</f>
        <v>116987</v>
      </c>
      <c r="R616" s="51" t="n">
        <f aca="false">G616-I616-K616</f>
        <v>138150</v>
      </c>
      <c r="S616" s="51" t="n">
        <f aca="false">R616-Q616</f>
        <v>21163</v>
      </c>
      <c r="T616" s="52" t="n">
        <f aca="false">IF(Q616=0,0,S616/Q616)</f>
        <v>0.180900441929445</v>
      </c>
      <c r="U616" s="51" t="str">
        <f aca="false">IF(AND(Q616&gt;0,T616&lt;-0.15),"ADVERSE","")</f>
        <v/>
      </c>
    </row>
    <row r="617" customFormat="false" ht="15" hidden="false" customHeight="false" outlineLevel="0" collapsed="false">
      <c r="A617" s="47" t="s">
        <v>3</v>
      </c>
      <c r="B617" s="47" t="s">
        <v>138</v>
      </c>
      <c r="C617" s="48" t="n">
        <v>46082</v>
      </c>
      <c r="D617" s="47" t="s">
        <v>35</v>
      </c>
      <c r="E617" s="47" t="s">
        <v>44</v>
      </c>
      <c r="F617" s="49" t="n">
        <v>423356</v>
      </c>
      <c r="G617" s="49" t="n">
        <v>488409</v>
      </c>
      <c r="H617" s="49" t="n">
        <v>230517</v>
      </c>
      <c r="I617" s="49" t="n">
        <v>267307</v>
      </c>
      <c r="J617" s="49" t="n">
        <v>67102</v>
      </c>
      <c r="K617" s="49" t="n">
        <v>81976</v>
      </c>
      <c r="L617" s="50" t="n">
        <v>20.1</v>
      </c>
      <c r="M617" s="51" t="n">
        <f aca="false">G617-F617</f>
        <v>65053</v>
      </c>
      <c r="N617" s="52" t="n">
        <f aca="false">IF(F617=0,0,M617/F617)</f>
        <v>0.153660276457639</v>
      </c>
      <c r="O617" s="51" t="n">
        <f aca="false">G617-I617</f>
        <v>221102</v>
      </c>
      <c r="P617" s="51" t="n">
        <f aca="false">F617-H617</f>
        <v>192839</v>
      </c>
      <c r="Q617" s="51" t="n">
        <f aca="false">F617-H617-J617</f>
        <v>125737</v>
      </c>
      <c r="R617" s="51" t="n">
        <f aca="false">G617-I617-K617</f>
        <v>139126</v>
      </c>
      <c r="S617" s="51" t="n">
        <f aca="false">R617-Q617</f>
        <v>13389</v>
      </c>
      <c r="T617" s="52" t="n">
        <f aca="false">IF(Q617=0,0,S617/Q617)</f>
        <v>0.106484169337586</v>
      </c>
      <c r="U617" s="51" t="str">
        <f aca="false">IF(AND(Q617&gt;0,T617&lt;-0.15),"ADVERSE","")</f>
        <v/>
      </c>
    </row>
    <row r="618" customFormat="false" ht="15" hidden="false" customHeight="false" outlineLevel="0" collapsed="false">
      <c r="A618" s="47" t="s">
        <v>134</v>
      </c>
      <c r="B618" s="47" t="s">
        <v>135</v>
      </c>
      <c r="C618" s="48" t="n">
        <v>45017</v>
      </c>
      <c r="D618" s="47" t="s">
        <v>35</v>
      </c>
      <c r="E618" s="47" t="s">
        <v>45</v>
      </c>
      <c r="F618" s="49" t="n">
        <v>129099</v>
      </c>
      <c r="G618" s="49" t="n">
        <v>136153</v>
      </c>
      <c r="H618" s="49" t="n">
        <v>70295</v>
      </c>
      <c r="I618" s="49" t="n">
        <v>73510</v>
      </c>
      <c r="J618" s="49" t="n">
        <v>20462</v>
      </c>
      <c r="K618" s="49" t="n">
        <v>21267</v>
      </c>
      <c r="L618" s="50" t="n">
        <v>6.8</v>
      </c>
      <c r="M618" s="51" t="n">
        <f aca="false">G618-F618</f>
        <v>7054</v>
      </c>
      <c r="N618" s="52" t="n">
        <f aca="false">IF(F618=0,0,M618/F618)</f>
        <v>0.0546402373372373</v>
      </c>
      <c r="O618" s="51" t="n">
        <f aca="false">G618-I618</f>
        <v>62643</v>
      </c>
      <c r="P618" s="51" t="n">
        <f aca="false">F618-H618</f>
        <v>58804</v>
      </c>
      <c r="Q618" s="51" t="n">
        <f aca="false">F618-H618-J618</f>
        <v>38342</v>
      </c>
      <c r="R618" s="51" t="n">
        <f aca="false">G618-I618-K618</f>
        <v>41376</v>
      </c>
      <c r="S618" s="51" t="n">
        <f aca="false">R618-Q618</f>
        <v>3034</v>
      </c>
      <c r="T618" s="52" t="n">
        <f aca="false">IF(Q618=0,0,S618/Q618)</f>
        <v>0.0791299358405926</v>
      </c>
      <c r="U618" s="51" t="str">
        <f aca="false">IF(AND(Q618&gt;0,T618&lt;-0.15),"ADVERSE","")</f>
        <v/>
      </c>
    </row>
    <row r="619" customFormat="false" ht="15" hidden="false" customHeight="false" outlineLevel="0" collapsed="false">
      <c r="A619" s="47" t="s">
        <v>134</v>
      </c>
      <c r="B619" s="47" t="s">
        <v>135</v>
      </c>
      <c r="C619" s="48" t="n">
        <v>45047</v>
      </c>
      <c r="D619" s="47" t="s">
        <v>35</v>
      </c>
      <c r="E619" s="47" t="s">
        <v>45</v>
      </c>
      <c r="F619" s="49" t="n">
        <v>130047</v>
      </c>
      <c r="G619" s="49" t="n">
        <v>133420</v>
      </c>
      <c r="H619" s="49" t="n">
        <v>70811</v>
      </c>
      <c r="I619" s="49" t="n">
        <v>72799</v>
      </c>
      <c r="J619" s="49" t="n">
        <v>20612</v>
      </c>
      <c r="K619" s="49" t="n">
        <v>20259</v>
      </c>
      <c r="L619" s="50" t="n">
        <v>6.9</v>
      </c>
      <c r="M619" s="51" t="n">
        <f aca="false">G619-F619</f>
        <v>3373</v>
      </c>
      <c r="N619" s="52" t="n">
        <f aca="false">IF(F619=0,0,M619/F619)</f>
        <v>0.0259367767038071</v>
      </c>
      <c r="O619" s="51" t="n">
        <f aca="false">G619-I619</f>
        <v>60621</v>
      </c>
      <c r="P619" s="51" t="n">
        <f aca="false">F619-H619</f>
        <v>59236</v>
      </c>
      <c r="Q619" s="51" t="n">
        <f aca="false">F619-H619-J619</f>
        <v>38624</v>
      </c>
      <c r="R619" s="51" t="n">
        <f aca="false">G619-I619-K619</f>
        <v>40362</v>
      </c>
      <c r="S619" s="51" t="n">
        <f aca="false">R619-Q619</f>
        <v>1738</v>
      </c>
      <c r="T619" s="52" t="n">
        <f aca="false">IF(Q619=0,0,S619/Q619)</f>
        <v>0.0449979287489644</v>
      </c>
      <c r="U619" s="51" t="str">
        <f aca="false">IF(AND(Q619&gt;0,T619&lt;-0.15),"ADVERSE","")</f>
        <v/>
      </c>
    </row>
    <row r="620" customFormat="false" ht="15" hidden="false" customHeight="false" outlineLevel="0" collapsed="false">
      <c r="A620" s="47" t="s">
        <v>134</v>
      </c>
      <c r="B620" s="47" t="s">
        <v>135</v>
      </c>
      <c r="C620" s="48" t="n">
        <v>45078</v>
      </c>
      <c r="D620" s="47" t="s">
        <v>35</v>
      </c>
      <c r="E620" s="47" t="s">
        <v>45</v>
      </c>
      <c r="F620" s="49" t="n">
        <v>136333</v>
      </c>
      <c r="G620" s="49" t="n">
        <v>142287</v>
      </c>
      <c r="H620" s="49" t="n">
        <v>74233</v>
      </c>
      <c r="I620" s="49" t="n">
        <v>78942</v>
      </c>
      <c r="J620" s="49" t="n">
        <v>21609</v>
      </c>
      <c r="K620" s="49" t="n">
        <v>22742</v>
      </c>
      <c r="L620" s="50" t="n">
        <v>7.1</v>
      </c>
      <c r="M620" s="51" t="n">
        <f aca="false">G620-F620</f>
        <v>5954</v>
      </c>
      <c r="N620" s="52" t="n">
        <f aca="false">IF(F620=0,0,M620/F620)</f>
        <v>0.0436724784168176</v>
      </c>
      <c r="O620" s="51" t="n">
        <f aca="false">G620-I620</f>
        <v>63345</v>
      </c>
      <c r="P620" s="51" t="n">
        <f aca="false">F620-H620</f>
        <v>62100</v>
      </c>
      <c r="Q620" s="51" t="n">
        <f aca="false">F620-H620-J620</f>
        <v>40491</v>
      </c>
      <c r="R620" s="51" t="n">
        <f aca="false">G620-I620-K620</f>
        <v>40603</v>
      </c>
      <c r="S620" s="51" t="n">
        <f aca="false">R620-Q620</f>
        <v>112</v>
      </c>
      <c r="T620" s="52" t="n">
        <f aca="false">IF(Q620=0,0,S620/Q620)</f>
        <v>0.00276604677582673</v>
      </c>
      <c r="U620" s="51" t="str">
        <f aca="false">IF(AND(Q620&gt;0,T620&lt;-0.15),"ADVERSE","")</f>
        <v/>
      </c>
    </row>
    <row r="621" customFormat="false" ht="15" hidden="false" customHeight="false" outlineLevel="0" collapsed="false">
      <c r="A621" s="47" t="s">
        <v>134</v>
      </c>
      <c r="B621" s="47" t="s">
        <v>136</v>
      </c>
      <c r="C621" s="48" t="n">
        <v>45108</v>
      </c>
      <c r="D621" s="47" t="s">
        <v>35</v>
      </c>
      <c r="E621" s="47" t="s">
        <v>45</v>
      </c>
      <c r="F621" s="49" t="n">
        <v>138122</v>
      </c>
      <c r="G621" s="49" t="n">
        <v>137777</v>
      </c>
      <c r="H621" s="49" t="n">
        <v>75207</v>
      </c>
      <c r="I621" s="49" t="n">
        <v>72978</v>
      </c>
      <c r="J621" s="49" t="n">
        <v>21892</v>
      </c>
      <c r="K621" s="49" t="n">
        <v>21721</v>
      </c>
      <c r="L621" s="50" t="n">
        <v>7</v>
      </c>
      <c r="M621" s="51" t="n">
        <f aca="false">G621-F621</f>
        <v>-345</v>
      </c>
      <c r="N621" s="52" t="n">
        <f aca="false">IF(F621=0,0,M621/F621)</f>
        <v>-0.00249779180724287</v>
      </c>
      <c r="O621" s="51" t="n">
        <f aca="false">G621-I621</f>
        <v>64799</v>
      </c>
      <c r="P621" s="51" t="n">
        <f aca="false">F621-H621</f>
        <v>62915</v>
      </c>
      <c r="Q621" s="51" t="n">
        <f aca="false">F621-H621-J621</f>
        <v>41023</v>
      </c>
      <c r="R621" s="51" t="n">
        <f aca="false">G621-I621-K621</f>
        <v>43078</v>
      </c>
      <c r="S621" s="51" t="n">
        <f aca="false">R621-Q621</f>
        <v>2055</v>
      </c>
      <c r="T621" s="52" t="n">
        <f aca="false">IF(Q621=0,0,S621/Q621)</f>
        <v>0.0500938497915803</v>
      </c>
      <c r="U621" s="51" t="str">
        <f aca="false">IF(AND(Q621&gt;0,T621&lt;-0.15),"ADVERSE","")</f>
        <v/>
      </c>
    </row>
    <row r="622" customFormat="false" ht="15" hidden="false" customHeight="false" outlineLevel="0" collapsed="false">
      <c r="A622" s="47" t="s">
        <v>134</v>
      </c>
      <c r="B622" s="47" t="s">
        <v>136</v>
      </c>
      <c r="C622" s="48" t="n">
        <v>45139</v>
      </c>
      <c r="D622" s="47" t="s">
        <v>35</v>
      </c>
      <c r="E622" s="47" t="s">
        <v>45</v>
      </c>
      <c r="F622" s="49" t="n">
        <v>134724</v>
      </c>
      <c r="G622" s="49" t="n">
        <v>137400</v>
      </c>
      <c r="H622" s="49" t="n">
        <v>73357</v>
      </c>
      <c r="I622" s="49" t="n">
        <v>75110</v>
      </c>
      <c r="J622" s="49" t="n">
        <v>21354</v>
      </c>
      <c r="K622" s="49" t="n">
        <v>23029</v>
      </c>
      <c r="L622" s="50" t="n">
        <v>7.3</v>
      </c>
      <c r="M622" s="51" t="n">
        <f aca="false">G622-F622</f>
        <v>2676</v>
      </c>
      <c r="N622" s="52" t="n">
        <f aca="false">IF(F622=0,0,M622/F622)</f>
        <v>0.0198628306760488</v>
      </c>
      <c r="O622" s="51" t="n">
        <f aca="false">G622-I622</f>
        <v>62290</v>
      </c>
      <c r="P622" s="51" t="n">
        <f aca="false">F622-H622</f>
        <v>61367</v>
      </c>
      <c r="Q622" s="51" t="n">
        <f aca="false">F622-H622-J622</f>
        <v>40013</v>
      </c>
      <c r="R622" s="51" t="n">
        <f aca="false">G622-I622-K622</f>
        <v>39261</v>
      </c>
      <c r="S622" s="51" t="n">
        <f aca="false">R622-Q622</f>
        <v>-752</v>
      </c>
      <c r="T622" s="52" t="n">
        <f aca="false">IF(Q622=0,0,S622/Q622)</f>
        <v>-0.0187938919851048</v>
      </c>
      <c r="U622" s="51" t="str">
        <f aca="false">IF(AND(Q622&gt;0,T622&lt;-0.15),"ADVERSE","")</f>
        <v/>
      </c>
    </row>
    <row r="623" customFormat="false" ht="15" hidden="false" customHeight="false" outlineLevel="0" collapsed="false">
      <c r="A623" s="47" t="s">
        <v>134</v>
      </c>
      <c r="B623" s="47" t="s">
        <v>136</v>
      </c>
      <c r="C623" s="48" t="n">
        <v>45170</v>
      </c>
      <c r="D623" s="47" t="s">
        <v>35</v>
      </c>
      <c r="E623" s="47" t="s">
        <v>45</v>
      </c>
      <c r="F623" s="49" t="n">
        <v>140181</v>
      </c>
      <c r="G623" s="49" t="n">
        <v>143332</v>
      </c>
      <c r="H623" s="49" t="n">
        <v>76329</v>
      </c>
      <c r="I623" s="49" t="n">
        <v>76173</v>
      </c>
      <c r="J623" s="49" t="n">
        <v>22219</v>
      </c>
      <c r="K623" s="49" t="n">
        <v>24384</v>
      </c>
      <c r="L623" s="50" t="n">
        <v>7.1</v>
      </c>
      <c r="M623" s="51" t="n">
        <f aca="false">G623-F623</f>
        <v>3151</v>
      </c>
      <c r="N623" s="52" t="n">
        <f aca="false">IF(F623=0,0,M623/F623)</f>
        <v>0.0224780819083899</v>
      </c>
      <c r="O623" s="51" t="n">
        <f aca="false">G623-I623</f>
        <v>67159</v>
      </c>
      <c r="P623" s="51" t="n">
        <f aca="false">F623-H623</f>
        <v>63852</v>
      </c>
      <c r="Q623" s="51" t="n">
        <f aca="false">F623-H623-J623</f>
        <v>41633</v>
      </c>
      <c r="R623" s="51" t="n">
        <f aca="false">G623-I623-K623</f>
        <v>42775</v>
      </c>
      <c r="S623" s="51" t="n">
        <f aca="false">R623-Q623</f>
        <v>1142</v>
      </c>
      <c r="T623" s="52" t="n">
        <f aca="false">IF(Q623=0,0,S623/Q623)</f>
        <v>0.0274301635721663</v>
      </c>
      <c r="U623" s="51" t="str">
        <f aca="false">IF(AND(Q623&gt;0,T623&lt;-0.15),"ADVERSE","")</f>
        <v/>
      </c>
    </row>
    <row r="624" customFormat="false" ht="15" hidden="false" customHeight="false" outlineLevel="0" collapsed="false">
      <c r="A624" s="47" t="s">
        <v>134</v>
      </c>
      <c r="B624" s="47" t="s">
        <v>137</v>
      </c>
      <c r="C624" s="48" t="n">
        <v>45200</v>
      </c>
      <c r="D624" s="47" t="s">
        <v>35</v>
      </c>
      <c r="E624" s="47" t="s">
        <v>45</v>
      </c>
      <c r="F624" s="49" t="n">
        <v>146347</v>
      </c>
      <c r="G624" s="49" t="n">
        <v>155868</v>
      </c>
      <c r="H624" s="49" t="n">
        <v>79686</v>
      </c>
      <c r="I624" s="49" t="n">
        <v>84203</v>
      </c>
      <c r="J624" s="49" t="n">
        <v>23196</v>
      </c>
      <c r="K624" s="49" t="n">
        <v>24508</v>
      </c>
      <c r="L624" s="50" t="n">
        <v>7.2</v>
      </c>
      <c r="M624" s="51" t="n">
        <f aca="false">G624-F624</f>
        <v>9521</v>
      </c>
      <c r="N624" s="52" t="n">
        <f aca="false">IF(F624=0,0,M624/F624)</f>
        <v>0.0650577053168155</v>
      </c>
      <c r="O624" s="51" t="n">
        <f aca="false">G624-I624</f>
        <v>71665</v>
      </c>
      <c r="P624" s="51" t="n">
        <f aca="false">F624-H624</f>
        <v>66661</v>
      </c>
      <c r="Q624" s="51" t="n">
        <f aca="false">F624-H624-J624</f>
        <v>43465</v>
      </c>
      <c r="R624" s="51" t="n">
        <f aca="false">G624-I624-K624</f>
        <v>47157</v>
      </c>
      <c r="S624" s="51" t="n">
        <f aca="false">R624-Q624</f>
        <v>3692</v>
      </c>
      <c r="T624" s="52" t="n">
        <f aca="false">IF(Q624=0,0,S624/Q624)</f>
        <v>0.0849419072817209</v>
      </c>
      <c r="U624" s="51" t="str">
        <f aca="false">IF(AND(Q624&gt;0,T624&lt;-0.15),"ADVERSE","")</f>
        <v/>
      </c>
    </row>
    <row r="625" customFormat="false" ht="15" hidden="false" customHeight="false" outlineLevel="0" collapsed="false">
      <c r="A625" s="47" t="s">
        <v>134</v>
      </c>
      <c r="B625" s="47" t="s">
        <v>137</v>
      </c>
      <c r="C625" s="48" t="n">
        <v>45231</v>
      </c>
      <c r="D625" s="47" t="s">
        <v>35</v>
      </c>
      <c r="E625" s="47" t="s">
        <v>45</v>
      </c>
      <c r="F625" s="49" t="n">
        <v>147032</v>
      </c>
      <c r="G625" s="49" t="n">
        <v>153385</v>
      </c>
      <c r="H625" s="49" t="n">
        <v>80059</v>
      </c>
      <c r="I625" s="49" t="n">
        <v>82909</v>
      </c>
      <c r="J625" s="49" t="n">
        <v>23305</v>
      </c>
      <c r="K625" s="49" t="n">
        <v>24924</v>
      </c>
      <c r="L625" s="50" t="n">
        <v>7.5</v>
      </c>
      <c r="M625" s="51" t="n">
        <f aca="false">G625-F625</f>
        <v>6353</v>
      </c>
      <c r="N625" s="52" t="n">
        <f aca="false">IF(F625=0,0,M625/F625)</f>
        <v>0.0432082811904891</v>
      </c>
      <c r="O625" s="51" t="n">
        <f aca="false">G625-I625</f>
        <v>70476</v>
      </c>
      <c r="P625" s="51" t="n">
        <f aca="false">F625-H625</f>
        <v>66973</v>
      </c>
      <c r="Q625" s="51" t="n">
        <f aca="false">F625-H625-J625</f>
        <v>43668</v>
      </c>
      <c r="R625" s="51" t="n">
        <f aca="false">G625-I625-K625</f>
        <v>45552</v>
      </c>
      <c r="S625" s="51" t="n">
        <f aca="false">R625-Q625</f>
        <v>1884</v>
      </c>
      <c r="T625" s="52" t="n">
        <f aca="false">IF(Q625=0,0,S625/Q625)</f>
        <v>0.0431437208024182</v>
      </c>
      <c r="U625" s="51" t="str">
        <f aca="false">IF(AND(Q625&gt;0,T625&lt;-0.15),"ADVERSE","")</f>
        <v/>
      </c>
    </row>
    <row r="626" customFormat="false" ht="15" hidden="false" customHeight="false" outlineLevel="0" collapsed="false">
      <c r="A626" s="47" t="s">
        <v>134</v>
      </c>
      <c r="B626" s="47" t="s">
        <v>137</v>
      </c>
      <c r="C626" s="48" t="n">
        <v>45261</v>
      </c>
      <c r="D626" s="47" t="s">
        <v>35</v>
      </c>
      <c r="E626" s="47" t="s">
        <v>45</v>
      </c>
      <c r="F626" s="49" t="n">
        <v>146707</v>
      </c>
      <c r="G626" s="49" t="n">
        <v>147670</v>
      </c>
      <c r="H626" s="49" t="n">
        <v>79882</v>
      </c>
      <c r="I626" s="49" t="n">
        <v>81008</v>
      </c>
      <c r="J626" s="49" t="n">
        <v>23253</v>
      </c>
      <c r="K626" s="49" t="n">
        <v>23680</v>
      </c>
      <c r="L626" s="50" t="n">
        <v>7.6</v>
      </c>
      <c r="M626" s="51" t="n">
        <f aca="false">G626-F626</f>
        <v>963</v>
      </c>
      <c r="N626" s="52" t="n">
        <f aca="false">IF(F626=0,0,M626/F626)</f>
        <v>0.00656410396231945</v>
      </c>
      <c r="O626" s="51" t="n">
        <f aca="false">G626-I626</f>
        <v>66662</v>
      </c>
      <c r="P626" s="51" t="n">
        <f aca="false">F626-H626</f>
        <v>66825</v>
      </c>
      <c r="Q626" s="51" t="n">
        <f aca="false">F626-H626-J626</f>
        <v>43572</v>
      </c>
      <c r="R626" s="51" t="n">
        <f aca="false">G626-I626-K626</f>
        <v>42982</v>
      </c>
      <c r="S626" s="51" t="n">
        <f aca="false">R626-Q626</f>
        <v>-590</v>
      </c>
      <c r="T626" s="52" t="n">
        <f aca="false">IF(Q626=0,0,S626/Q626)</f>
        <v>-0.0135408060222161</v>
      </c>
      <c r="U626" s="51" t="str">
        <f aca="false">IF(AND(Q626&gt;0,T626&lt;-0.15),"ADVERSE","")</f>
        <v/>
      </c>
    </row>
    <row r="627" customFormat="false" ht="15" hidden="false" customHeight="false" outlineLevel="0" collapsed="false">
      <c r="A627" s="47" t="s">
        <v>134</v>
      </c>
      <c r="B627" s="47" t="s">
        <v>138</v>
      </c>
      <c r="C627" s="48" t="n">
        <v>45292</v>
      </c>
      <c r="D627" s="47" t="s">
        <v>35</v>
      </c>
      <c r="E627" s="47" t="s">
        <v>45</v>
      </c>
      <c r="F627" s="49" t="n">
        <v>142118</v>
      </c>
      <c r="G627" s="49" t="n">
        <v>150797</v>
      </c>
      <c r="H627" s="49" t="n">
        <v>77383</v>
      </c>
      <c r="I627" s="49" t="n">
        <v>81389</v>
      </c>
      <c r="J627" s="49" t="n">
        <v>22526</v>
      </c>
      <c r="K627" s="49" t="n">
        <v>24319</v>
      </c>
      <c r="L627" s="50" t="n">
        <v>7.7</v>
      </c>
      <c r="M627" s="51" t="n">
        <f aca="false">G627-F627</f>
        <v>8679</v>
      </c>
      <c r="N627" s="52" t="n">
        <f aca="false">IF(F627=0,0,M627/F627)</f>
        <v>0.0610689708552048</v>
      </c>
      <c r="O627" s="51" t="n">
        <f aca="false">G627-I627</f>
        <v>69408</v>
      </c>
      <c r="P627" s="51" t="n">
        <f aca="false">F627-H627</f>
        <v>64735</v>
      </c>
      <c r="Q627" s="51" t="n">
        <f aca="false">F627-H627-J627</f>
        <v>42209</v>
      </c>
      <c r="R627" s="51" t="n">
        <f aca="false">G627-I627-K627</f>
        <v>45089</v>
      </c>
      <c r="S627" s="51" t="n">
        <f aca="false">R627-Q627</f>
        <v>2880</v>
      </c>
      <c r="T627" s="52" t="n">
        <f aca="false">IF(Q627=0,0,S627/Q627)</f>
        <v>0.0682318936719657</v>
      </c>
      <c r="U627" s="51" t="str">
        <f aca="false">IF(AND(Q627&gt;0,T627&lt;-0.15),"ADVERSE","")</f>
        <v/>
      </c>
    </row>
    <row r="628" customFormat="false" ht="15" hidden="false" customHeight="false" outlineLevel="0" collapsed="false">
      <c r="A628" s="47" t="s">
        <v>134</v>
      </c>
      <c r="B628" s="47" t="s">
        <v>138</v>
      </c>
      <c r="C628" s="48" t="n">
        <v>45323</v>
      </c>
      <c r="D628" s="47" t="s">
        <v>35</v>
      </c>
      <c r="E628" s="47" t="s">
        <v>45</v>
      </c>
      <c r="F628" s="49" t="n">
        <v>146169</v>
      </c>
      <c r="G628" s="49" t="n">
        <v>153644</v>
      </c>
      <c r="H628" s="49" t="n">
        <v>79589</v>
      </c>
      <c r="I628" s="49" t="n">
        <v>83771</v>
      </c>
      <c r="J628" s="49" t="n">
        <v>23168</v>
      </c>
      <c r="K628" s="49" t="n">
        <v>23486</v>
      </c>
      <c r="L628" s="50" t="n">
        <v>7.8</v>
      </c>
      <c r="M628" s="51" t="n">
        <f aca="false">G628-F628</f>
        <v>7475</v>
      </c>
      <c r="N628" s="52" t="n">
        <f aca="false">IF(F628=0,0,M628/F628)</f>
        <v>0.0511394344902134</v>
      </c>
      <c r="O628" s="51" t="n">
        <f aca="false">G628-I628</f>
        <v>69873</v>
      </c>
      <c r="P628" s="51" t="n">
        <f aca="false">F628-H628</f>
        <v>66580</v>
      </c>
      <c r="Q628" s="51" t="n">
        <f aca="false">F628-H628-J628</f>
        <v>43412</v>
      </c>
      <c r="R628" s="51" t="n">
        <f aca="false">G628-I628-K628</f>
        <v>46387</v>
      </c>
      <c r="S628" s="51" t="n">
        <f aca="false">R628-Q628</f>
        <v>2975</v>
      </c>
      <c r="T628" s="52" t="n">
        <f aca="false">IF(Q628=0,0,S628/Q628)</f>
        <v>0.06852943886483</v>
      </c>
      <c r="U628" s="51" t="str">
        <f aca="false">IF(AND(Q628&gt;0,T628&lt;-0.15),"ADVERSE","")</f>
        <v/>
      </c>
    </row>
    <row r="629" customFormat="false" ht="15" hidden="false" customHeight="false" outlineLevel="0" collapsed="false">
      <c r="A629" s="47" t="s">
        <v>134</v>
      </c>
      <c r="B629" s="47" t="s">
        <v>138</v>
      </c>
      <c r="C629" s="48" t="n">
        <v>45352</v>
      </c>
      <c r="D629" s="47" t="s">
        <v>35</v>
      </c>
      <c r="E629" s="47" t="s">
        <v>45</v>
      </c>
      <c r="F629" s="49" t="n">
        <v>163727</v>
      </c>
      <c r="G629" s="49" t="n">
        <v>175598</v>
      </c>
      <c r="H629" s="49" t="n">
        <v>89149</v>
      </c>
      <c r="I629" s="49" t="n">
        <v>96925</v>
      </c>
      <c r="J629" s="49" t="n">
        <v>25951</v>
      </c>
      <c r="K629" s="49" t="n">
        <v>27365</v>
      </c>
      <c r="L629" s="50" t="n">
        <v>7.8</v>
      </c>
      <c r="M629" s="51" t="n">
        <f aca="false">G629-F629</f>
        <v>11871</v>
      </c>
      <c r="N629" s="52" t="n">
        <f aca="false">IF(F629=0,0,M629/F629)</f>
        <v>0.0725048403745259</v>
      </c>
      <c r="O629" s="51" t="n">
        <f aca="false">G629-I629</f>
        <v>78673</v>
      </c>
      <c r="P629" s="51" t="n">
        <f aca="false">F629-H629</f>
        <v>74578</v>
      </c>
      <c r="Q629" s="51" t="n">
        <f aca="false">F629-H629-J629</f>
        <v>48627</v>
      </c>
      <c r="R629" s="51" t="n">
        <f aca="false">G629-I629-K629</f>
        <v>51308</v>
      </c>
      <c r="S629" s="51" t="n">
        <f aca="false">R629-Q629</f>
        <v>2681</v>
      </c>
      <c r="T629" s="52" t="n">
        <f aca="false">IF(Q629=0,0,S629/Q629)</f>
        <v>0.0551339790651284</v>
      </c>
      <c r="U629" s="51" t="str">
        <f aca="false">IF(AND(Q629&gt;0,T629&lt;-0.15),"ADVERSE","")</f>
        <v/>
      </c>
    </row>
    <row r="630" customFormat="false" ht="15" hidden="false" customHeight="false" outlineLevel="0" collapsed="false">
      <c r="A630" s="47" t="s">
        <v>139</v>
      </c>
      <c r="B630" s="47" t="s">
        <v>135</v>
      </c>
      <c r="C630" s="48" t="n">
        <v>45383</v>
      </c>
      <c r="D630" s="47" t="s">
        <v>35</v>
      </c>
      <c r="E630" s="47" t="s">
        <v>45</v>
      </c>
      <c r="F630" s="49" t="n">
        <v>150058</v>
      </c>
      <c r="G630" s="49" t="n">
        <v>157668</v>
      </c>
      <c r="H630" s="49" t="n">
        <v>81706</v>
      </c>
      <c r="I630" s="49" t="n">
        <v>87597</v>
      </c>
      <c r="J630" s="49" t="n">
        <v>23784</v>
      </c>
      <c r="K630" s="49" t="n">
        <v>22891</v>
      </c>
      <c r="L630" s="50" t="n">
        <v>7.9</v>
      </c>
      <c r="M630" s="51" t="n">
        <f aca="false">G630-F630</f>
        <v>7610</v>
      </c>
      <c r="N630" s="52" t="n">
        <f aca="false">IF(F630=0,0,M630/F630)</f>
        <v>0.0507137240267097</v>
      </c>
      <c r="O630" s="51" t="n">
        <f aca="false">G630-I630</f>
        <v>70071</v>
      </c>
      <c r="P630" s="51" t="n">
        <f aca="false">F630-H630</f>
        <v>68352</v>
      </c>
      <c r="Q630" s="51" t="n">
        <f aca="false">F630-H630-J630</f>
        <v>44568</v>
      </c>
      <c r="R630" s="51" t="n">
        <f aca="false">G630-I630-K630</f>
        <v>47180</v>
      </c>
      <c r="S630" s="51" t="n">
        <f aca="false">R630-Q630</f>
        <v>2612</v>
      </c>
      <c r="T630" s="52" t="n">
        <f aca="false">IF(Q630=0,0,S630/Q630)</f>
        <v>0.0586070723388979</v>
      </c>
      <c r="U630" s="51" t="str">
        <f aca="false">IF(AND(Q630&gt;0,T630&lt;-0.15),"ADVERSE","")</f>
        <v/>
      </c>
    </row>
    <row r="631" customFormat="false" ht="15" hidden="false" customHeight="false" outlineLevel="0" collapsed="false">
      <c r="A631" s="47" t="s">
        <v>139</v>
      </c>
      <c r="B631" s="47" t="s">
        <v>135</v>
      </c>
      <c r="C631" s="48" t="n">
        <v>45413</v>
      </c>
      <c r="D631" s="47" t="s">
        <v>35</v>
      </c>
      <c r="E631" s="47" t="s">
        <v>45</v>
      </c>
      <c r="F631" s="49" t="n">
        <v>150497</v>
      </c>
      <c r="G631" s="49" t="n">
        <v>161755</v>
      </c>
      <c r="H631" s="49" t="n">
        <v>81946</v>
      </c>
      <c r="I631" s="49" t="n">
        <v>88983</v>
      </c>
      <c r="J631" s="49" t="n">
        <v>23854</v>
      </c>
      <c r="K631" s="49" t="n">
        <v>25015</v>
      </c>
      <c r="L631" s="50" t="n">
        <v>8.1</v>
      </c>
      <c r="M631" s="51" t="n">
        <f aca="false">G631-F631</f>
        <v>11258</v>
      </c>
      <c r="N631" s="52" t="n">
        <f aca="false">IF(F631=0,0,M631/F631)</f>
        <v>0.0748054778500568</v>
      </c>
      <c r="O631" s="51" t="n">
        <f aca="false">G631-I631</f>
        <v>72772</v>
      </c>
      <c r="P631" s="51" t="n">
        <f aca="false">F631-H631</f>
        <v>68551</v>
      </c>
      <c r="Q631" s="51" t="n">
        <f aca="false">F631-H631-J631</f>
        <v>44697</v>
      </c>
      <c r="R631" s="51" t="n">
        <f aca="false">G631-I631-K631</f>
        <v>47757</v>
      </c>
      <c r="S631" s="51" t="n">
        <f aca="false">R631-Q631</f>
        <v>3060</v>
      </c>
      <c r="T631" s="52" t="n">
        <f aca="false">IF(Q631=0,0,S631/Q631)</f>
        <v>0.0684609705349352</v>
      </c>
      <c r="U631" s="51" t="str">
        <f aca="false">IF(AND(Q631&gt;0,T631&lt;-0.15),"ADVERSE","")</f>
        <v/>
      </c>
    </row>
    <row r="632" customFormat="false" ht="15" hidden="false" customHeight="false" outlineLevel="0" collapsed="false">
      <c r="A632" s="47" t="s">
        <v>139</v>
      </c>
      <c r="B632" s="47" t="s">
        <v>135</v>
      </c>
      <c r="C632" s="48" t="n">
        <v>45444</v>
      </c>
      <c r="D632" s="47" t="s">
        <v>35</v>
      </c>
      <c r="E632" s="47" t="s">
        <v>45</v>
      </c>
      <c r="F632" s="49" t="n">
        <v>155028</v>
      </c>
      <c r="G632" s="49" t="n">
        <v>167604</v>
      </c>
      <c r="H632" s="49" t="n">
        <v>84413</v>
      </c>
      <c r="I632" s="49" t="n">
        <v>91339</v>
      </c>
      <c r="J632" s="49" t="n">
        <v>24572</v>
      </c>
      <c r="K632" s="49" t="n">
        <v>26360</v>
      </c>
      <c r="L632" s="50" t="n">
        <v>8</v>
      </c>
      <c r="M632" s="51" t="n">
        <f aca="false">G632-F632</f>
        <v>12576</v>
      </c>
      <c r="N632" s="52" t="n">
        <f aca="false">IF(F632=0,0,M632/F632)</f>
        <v>0.0811208297855871</v>
      </c>
      <c r="O632" s="51" t="n">
        <f aca="false">G632-I632</f>
        <v>76265</v>
      </c>
      <c r="P632" s="51" t="n">
        <f aca="false">F632-H632</f>
        <v>70615</v>
      </c>
      <c r="Q632" s="51" t="n">
        <f aca="false">F632-H632-J632</f>
        <v>46043</v>
      </c>
      <c r="R632" s="51" t="n">
        <f aca="false">G632-I632-K632</f>
        <v>49905</v>
      </c>
      <c r="S632" s="51" t="n">
        <f aca="false">R632-Q632</f>
        <v>3862</v>
      </c>
      <c r="T632" s="52" t="n">
        <f aca="false">IF(Q632=0,0,S632/Q632)</f>
        <v>0.083878113936972</v>
      </c>
      <c r="U632" s="51" t="str">
        <f aca="false">IF(AND(Q632&gt;0,T632&lt;-0.15),"ADVERSE","")</f>
        <v/>
      </c>
    </row>
    <row r="633" customFormat="false" ht="15" hidden="false" customHeight="false" outlineLevel="0" collapsed="false">
      <c r="A633" s="47" t="s">
        <v>139</v>
      </c>
      <c r="B633" s="47" t="s">
        <v>136</v>
      </c>
      <c r="C633" s="48" t="n">
        <v>45474</v>
      </c>
      <c r="D633" s="47" t="s">
        <v>35</v>
      </c>
      <c r="E633" s="47" t="s">
        <v>45</v>
      </c>
      <c r="F633" s="49" t="n">
        <v>157142</v>
      </c>
      <c r="G633" s="49" t="n">
        <v>173041</v>
      </c>
      <c r="H633" s="49" t="n">
        <v>85564</v>
      </c>
      <c r="I633" s="49" t="n">
        <v>93798</v>
      </c>
      <c r="J633" s="49" t="n">
        <v>24907</v>
      </c>
      <c r="K633" s="49" t="n">
        <v>27178</v>
      </c>
      <c r="L633" s="50" t="n">
        <v>8.1</v>
      </c>
      <c r="M633" s="51" t="n">
        <f aca="false">G633-F633</f>
        <v>15899</v>
      </c>
      <c r="N633" s="52" t="n">
        <f aca="false">IF(F633=0,0,M633/F633)</f>
        <v>0.10117600641458</v>
      </c>
      <c r="O633" s="51" t="n">
        <f aca="false">G633-I633</f>
        <v>79243</v>
      </c>
      <c r="P633" s="51" t="n">
        <f aca="false">F633-H633</f>
        <v>71578</v>
      </c>
      <c r="Q633" s="51" t="n">
        <f aca="false">F633-H633-J633</f>
        <v>46671</v>
      </c>
      <c r="R633" s="51" t="n">
        <f aca="false">G633-I633-K633</f>
        <v>52065</v>
      </c>
      <c r="S633" s="51" t="n">
        <f aca="false">R633-Q633</f>
        <v>5394</v>
      </c>
      <c r="T633" s="52" t="n">
        <f aca="false">IF(Q633=0,0,S633/Q633)</f>
        <v>0.11557498232307</v>
      </c>
      <c r="U633" s="51" t="str">
        <f aca="false">IF(AND(Q633&gt;0,T633&lt;-0.15),"ADVERSE","")</f>
        <v/>
      </c>
    </row>
    <row r="634" customFormat="false" ht="15" hidden="false" customHeight="false" outlineLevel="0" collapsed="false">
      <c r="A634" s="47" t="s">
        <v>139</v>
      </c>
      <c r="B634" s="47" t="s">
        <v>136</v>
      </c>
      <c r="C634" s="48" t="n">
        <v>45505</v>
      </c>
      <c r="D634" s="47" t="s">
        <v>35</v>
      </c>
      <c r="E634" s="47" t="s">
        <v>45</v>
      </c>
      <c r="F634" s="49" t="n">
        <v>152442</v>
      </c>
      <c r="G634" s="49" t="n">
        <v>163452</v>
      </c>
      <c r="H634" s="49" t="n">
        <v>83005</v>
      </c>
      <c r="I634" s="49" t="n">
        <v>89652</v>
      </c>
      <c r="J634" s="49" t="n">
        <v>24162</v>
      </c>
      <c r="K634" s="49" t="n">
        <v>27290</v>
      </c>
      <c r="L634" s="50" t="n">
        <v>8.1</v>
      </c>
      <c r="M634" s="51" t="n">
        <f aca="false">G634-F634</f>
        <v>11010</v>
      </c>
      <c r="N634" s="52" t="n">
        <f aca="false">IF(F634=0,0,M634/F634)</f>
        <v>0.0722241901838076</v>
      </c>
      <c r="O634" s="51" t="n">
        <f aca="false">G634-I634</f>
        <v>73800</v>
      </c>
      <c r="P634" s="51" t="n">
        <f aca="false">F634-H634</f>
        <v>69437</v>
      </c>
      <c r="Q634" s="51" t="n">
        <f aca="false">F634-H634-J634</f>
        <v>45275</v>
      </c>
      <c r="R634" s="51" t="n">
        <f aca="false">G634-I634-K634</f>
        <v>46510</v>
      </c>
      <c r="S634" s="51" t="n">
        <f aca="false">R634-Q634</f>
        <v>1235</v>
      </c>
      <c r="T634" s="52" t="n">
        <f aca="false">IF(Q634=0,0,S634/Q634)</f>
        <v>0.0272777471010491</v>
      </c>
      <c r="U634" s="51" t="str">
        <f aca="false">IF(AND(Q634&gt;0,T634&lt;-0.15),"ADVERSE","")</f>
        <v/>
      </c>
    </row>
    <row r="635" customFormat="false" ht="15" hidden="false" customHeight="false" outlineLevel="0" collapsed="false">
      <c r="A635" s="47" t="s">
        <v>139</v>
      </c>
      <c r="B635" s="47" t="s">
        <v>136</v>
      </c>
      <c r="C635" s="48" t="n">
        <v>45536</v>
      </c>
      <c r="D635" s="47" t="s">
        <v>35</v>
      </c>
      <c r="E635" s="47" t="s">
        <v>45</v>
      </c>
      <c r="F635" s="49" t="n">
        <v>159538</v>
      </c>
      <c r="G635" s="49" t="n">
        <v>171639</v>
      </c>
      <c r="H635" s="49" t="n">
        <v>86869</v>
      </c>
      <c r="I635" s="49" t="n">
        <v>93780</v>
      </c>
      <c r="J635" s="49" t="n">
        <v>25287</v>
      </c>
      <c r="K635" s="49" t="n">
        <v>27218</v>
      </c>
      <c r="L635" s="50" t="n">
        <v>8.4</v>
      </c>
      <c r="M635" s="51" t="n">
        <f aca="false">G635-F635</f>
        <v>12101</v>
      </c>
      <c r="N635" s="52" t="n">
        <f aca="false">IF(F635=0,0,M635/F635)</f>
        <v>0.0758502676478331</v>
      </c>
      <c r="O635" s="51" t="n">
        <f aca="false">G635-I635</f>
        <v>77859</v>
      </c>
      <c r="P635" s="51" t="n">
        <f aca="false">F635-H635</f>
        <v>72669</v>
      </c>
      <c r="Q635" s="51" t="n">
        <f aca="false">F635-H635-J635</f>
        <v>47382</v>
      </c>
      <c r="R635" s="51" t="n">
        <f aca="false">G635-I635-K635</f>
        <v>50641</v>
      </c>
      <c r="S635" s="51" t="n">
        <f aca="false">R635-Q635</f>
        <v>3259</v>
      </c>
      <c r="T635" s="52" t="n">
        <f aca="false">IF(Q635=0,0,S635/Q635)</f>
        <v>0.068781393778228</v>
      </c>
      <c r="U635" s="51" t="str">
        <f aca="false">IF(AND(Q635&gt;0,T635&lt;-0.15),"ADVERSE","")</f>
        <v/>
      </c>
    </row>
    <row r="636" customFormat="false" ht="15" hidden="false" customHeight="false" outlineLevel="0" collapsed="false">
      <c r="A636" s="47" t="s">
        <v>139</v>
      </c>
      <c r="B636" s="47" t="s">
        <v>137</v>
      </c>
      <c r="C636" s="48" t="n">
        <v>45566</v>
      </c>
      <c r="D636" s="47" t="s">
        <v>35</v>
      </c>
      <c r="E636" s="47" t="s">
        <v>45</v>
      </c>
      <c r="F636" s="49" t="n">
        <v>168948</v>
      </c>
      <c r="G636" s="49" t="n">
        <v>174657</v>
      </c>
      <c r="H636" s="49" t="n">
        <v>91992</v>
      </c>
      <c r="I636" s="49" t="n">
        <v>94156</v>
      </c>
      <c r="J636" s="49" t="n">
        <v>26778</v>
      </c>
      <c r="K636" s="49" t="n">
        <v>27359</v>
      </c>
      <c r="L636" s="50" t="n">
        <v>8.4</v>
      </c>
      <c r="M636" s="51" t="n">
        <f aca="false">G636-F636</f>
        <v>5709</v>
      </c>
      <c r="N636" s="52" t="n">
        <f aca="false">IF(F636=0,0,M636/F636)</f>
        <v>0.0337914624618226</v>
      </c>
      <c r="O636" s="51" t="n">
        <f aca="false">G636-I636</f>
        <v>80501</v>
      </c>
      <c r="P636" s="51" t="n">
        <f aca="false">F636-H636</f>
        <v>76956</v>
      </c>
      <c r="Q636" s="51" t="n">
        <f aca="false">F636-H636-J636</f>
        <v>50178</v>
      </c>
      <c r="R636" s="51" t="n">
        <f aca="false">G636-I636-K636</f>
        <v>53142</v>
      </c>
      <c r="S636" s="51" t="n">
        <f aca="false">R636-Q636</f>
        <v>2964</v>
      </c>
      <c r="T636" s="52" t="n">
        <f aca="false">IF(Q636=0,0,S636/Q636)</f>
        <v>0.0590697118258998</v>
      </c>
      <c r="U636" s="51" t="str">
        <f aca="false">IF(AND(Q636&gt;0,T636&lt;-0.15),"ADVERSE","")</f>
        <v/>
      </c>
    </row>
    <row r="637" customFormat="false" ht="15" hidden="false" customHeight="false" outlineLevel="0" collapsed="false">
      <c r="A637" s="47" t="s">
        <v>139</v>
      </c>
      <c r="B637" s="47" t="s">
        <v>137</v>
      </c>
      <c r="C637" s="48" t="n">
        <v>45597</v>
      </c>
      <c r="D637" s="47" t="s">
        <v>35</v>
      </c>
      <c r="E637" s="47" t="s">
        <v>45</v>
      </c>
      <c r="F637" s="49" t="n">
        <v>167191</v>
      </c>
      <c r="G637" s="49" t="n">
        <v>168552</v>
      </c>
      <c r="H637" s="49" t="n">
        <v>91036</v>
      </c>
      <c r="I637" s="49" t="n">
        <v>92937</v>
      </c>
      <c r="J637" s="49" t="n">
        <v>26500</v>
      </c>
      <c r="K637" s="49" t="n">
        <v>26254</v>
      </c>
      <c r="L637" s="50" t="n">
        <v>8.3</v>
      </c>
      <c r="M637" s="51" t="n">
        <f aca="false">G637-F637</f>
        <v>1361</v>
      </c>
      <c r="N637" s="52" t="n">
        <f aca="false">IF(F637=0,0,M637/F637)</f>
        <v>0.00814039033201548</v>
      </c>
      <c r="O637" s="51" t="n">
        <f aca="false">G637-I637</f>
        <v>75615</v>
      </c>
      <c r="P637" s="51" t="n">
        <f aca="false">F637-H637</f>
        <v>76155</v>
      </c>
      <c r="Q637" s="51" t="n">
        <f aca="false">F637-H637-J637</f>
        <v>49655</v>
      </c>
      <c r="R637" s="51" t="n">
        <f aca="false">G637-I637-K637</f>
        <v>49361</v>
      </c>
      <c r="S637" s="51" t="n">
        <f aca="false">R637-Q637</f>
        <v>-294</v>
      </c>
      <c r="T637" s="52" t="n">
        <f aca="false">IF(Q637=0,0,S637/Q637)</f>
        <v>-0.00592085389185379</v>
      </c>
      <c r="U637" s="51" t="str">
        <f aca="false">IF(AND(Q637&gt;0,T637&lt;-0.15),"ADVERSE","")</f>
        <v/>
      </c>
    </row>
    <row r="638" customFormat="false" ht="15" hidden="false" customHeight="false" outlineLevel="0" collapsed="false">
      <c r="A638" s="47" t="s">
        <v>139</v>
      </c>
      <c r="B638" s="47" t="s">
        <v>137</v>
      </c>
      <c r="C638" s="48" t="n">
        <v>45627</v>
      </c>
      <c r="D638" s="47" t="s">
        <v>35</v>
      </c>
      <c r="E638" s="47" t="s">
        <v>45</v>
      </c>
      <c r="F638" s="49" t="n">
        <v>167913</v>
      </c>
      <c r="G638" s="49" t="n">
        <v>168628</v>
      </c>
      <c r="H638" s="49" t="n">
        <v>91429</v>
      </c>
      <c r="I638" s="49" t="n">
        <v>91116</v>
      </c>
      <c r="J638" s="49" t="n">
        <v>26614</v>
      </c>
      <c r="K638" s="49" t="n">
        <v>27002</v>
      </c>
      <c r="L638" s="50" t="n">
        <v>8.2</v>
      </c>
      <c r="M638" s="51" t="n">
        <f aca="false">G638-F638</f>
        <v>715</v>
      </c>
      <c r="N638" s="52" t="n">
        <f aca="false">IF(F638=0,0,M638/F638)</f>
        <v>0.00425815749822825</v>
      </c>
      <c r="O638" s="51" t="n">
        <f aca="false">G638-I638</f>
        <v>77512</v>
      </c>
      <c r="P638" s="51" t="n">
        <f aca="false">F638-H638</f>
        <v>76484</v>
      </c>
      <c r="Q638" s="51" t="n">
        <f aca="false">F638-H638-J638</f>
        <v>49870</v>
      </c>
      <c r="R638" s="51" t="n">
        <f aca="false">G638-I638-K638</f>
        <v>50510</v>
      </c>
      <c r="S638" s="51" t="n">
        <f aca="false">R638-Q638</f>
        <v>640</v>
      </c>
      <c r="T638" s="52" t="n">
        <f aca="false">IF(Q638=0,0,S638/Q638)</f>
        <v>0.0128333667535593</v>
      </c>
      <c r="U638" s="51" t="str">
        <f aca="false">IF(AND(Q638&gt;0,T638&lt;-0.15),"ADVERSE","")</f>
        <v/>
      </c>
    </row>
    <row r="639" customFormat="false" ht="15" hidden="false" customHeight="false" outlineLevel="0" collapsed="false">
      <c r="A639" s="47" t="s">
        <v>139</v>
      </c>
      <c r="B639" s="47" t="s">
        <v>138</v>
      </c>
      <c r="C639" s="48" t="n">
        <v>45658</v>
      </c>
      <c r="D639" s="47" t="s">
        <v>35</v>
      </c>
      <c r="E639" s="47" t="s">
        <v>45</v>
      </c>
      <c r="F639" s="49" t="n">
        <v>163824</v>
      </c>
      <c r="G639" s="49" t="n">
        <v>169528</v>
      </c>
      <c r="H639" s="49" t="n">
        <v>89202</v>
      </c>
      <c r="I639" s="49" t="n">
        <v>93357</v>
      </c>
      <c r="J639" s="49" t="n">
        <v>25966</v>
      </c>
      <c r="K639" s="49" t="n">
        <v>27974</v>
      </c>
      <c r="L639" s="50" t="n">
        <v>8.7</v>
      </c>
      <c r="M639" s="51" t="n">
        <f aca="false">G639-F639</f>
        <v>5704</v>
      </c>
      <c r="N639" s="52" t="n">
        <f aca="false">IF(F639=0,0,M639/F639)</f>
        <v>0.0348178533059869</v>
      </c>
      <c r="O639" s="51" t="n">
        <f aca="false">G639-I639</f>
        <v>76171</v>
      </c>
      <c r="P639" s="51" t="n">
        <f aca="false">F639-H639</f>
        <v>74622</v>
      </c>
      <c r="Q639" s="51" t="n">
        <f aca="false">F639-H639-J639</f>
        <v>48656</v>
      </c>
      <c r="R639" s="51" t="n">
        <f aca="false">G639-I639-K639</f>
        <v>48197</v>
      </c>
      <c r="S639" s="51" t="n">
        <f aca="false">R639-Q639</f>
        <v>-459</v>
      </c>
      <c r="T639" s="52" t="n">
        <f aca="false">IF(Q639=0,0,S639/Q639)</f>
        <v>-0.00943357448207827</v>
      </c>
      <c r="U639" s="51" t="str">
        <f aca="false">IF(AND(Q639&gt;0,T639&lt;-0.15),"ADVERSE","")</f>
        <v/>
      </c>
    </row>
    <row r="640" customFormat="false" ht="15" hidden="false" customHeight="false" outlineLevel="0" collapsed="false">
      <c r="A640" s="47" t="s">
        <v>139</v>
      </c>
      <c r="B640" s="47" t="s">
        <v>138</v>
      </c>
      <c r="C640" s="48" t="n">
        <v>45689</v>
      </c>
      <c r="D640" s="47" t="s">
        <v>35</v>
      </c>
      <c r="E640" s="47" t="s">
        <v>45</v>
      </c>
      <c r="F640" s="49" t="n">
        <v>170651</v>
      </c>
      <c r="G640" s="49" t="n">
        <v>165947</v>
      </c>
      <c r="H640" s="49" t="n">
        <v>92919</v>
      </c>
      <c r="I640" s="49" t="n">
        <v>91964</v>
      </c>
      <c r="J640" s="49" t="n">
        <v>27048</v>
      </c>
      <c r="K640" s="49" t="n">
        <v>25712</v>
      </c>
      <c r="L640" s="50" t="n">
        <v>8.8</v>
      </c>
      <c r="M640" s="51" t="n">
        <f aca="false">G640-F640</f>
        <v>-4704</v>
      </c>
      <c r="N640" s="52" t="n">
        <f aca="false">IF(F640=0,0,M640/F640)</f>
        <v>-0.0275650303836485</v>
      </c>
      <c r="O640" s="51" t="n">
        <f aca="false">G640-I640</f>
        <v>73983</v>
      </c>
      <c r="P640" s="51" t="n">
        <f aca="false">F640-H640</f>
        <v>77732</v>
      </c>
      <c r="Q640" s="51" t="n">
        <f aca="false">F640-H640-J640</f>
        <v>50684</v>
      </c>
      <c r="R640" s="51" t="n">
        <f aca="false">G640-I640-K640</f>
        <v>48271</v>
      </c>
      <c r="S640" s="51" t="n">
        <f aca="false">R640-Q640</f>
        <v>-2413</v>
      </c>
      <c r="T640" s="52" t="n">
        <f aca="false">IF(Q640=0,0,S640/Q640)</f>
        <v>-0.0476087128087759</v>
      </c>
      <c r="U640" s="51" t="str">
        <f aca="false">IF(AND(Q640&gt;0,T640&lt;-0.15),"ADVERSE","")</f>
        <v/>
      </c>
    </row>
    <row r="641" customFormat="false" ht="15" hidden="false" customHeight="false" outlineLevel="0" collapsed="false">
      <c r="A641" s="47" t="s">
        <v>139</v>
      </c>
      <c r="B641" s="47" t="s">
        <v>138</v>
      </c>
      <c r="C641" s="48" t="n">
        <v>45717</v>
      </c>
      <c r="D641" s="47" t="s">
        <v>35</v>
      </c>
      <c r="E641" s="47" t="s">
        <v>45</v>
      </c>
      <c r="F641" s="49" t="n">
        <v>184936</v>
      </c>
      <c r="G641" s="49" t="n">
        <v>198398</v>
      </c>
      <c r="H641" s="49" t="n">
        <v>100698</v>
      </c>
      <c r="I641" s="49" t="n">
        <v>108248</v>
      </c>
      <c r="J641" s="49" t="n">
        <v>29312</v>
      </c>
      <c r="K641" s="49" t="n">
        <v>30724</v>
      </c>
      <c r="L641" s="50" t="n">
        <v>8.8</v>
      </c>
      <c r="M641" s="51" t="n">
        <f aca="false">G641-F641</f>
        <v>13462</v>
      </c>
      <c r="N641" s="52" t="n">
        <f aca="false">IF(F641=0,0,M641/F641)</f>
        <v>0.0727927499242981</v>
      </c>
      <c r="O641" s="51" t="n">
        <f aca="false">G641-I641</f>
        <v>90150</v>
      </c>
      <c r="P641" s="51" t="n">
        <f aca="false">F641-H641</f>
        <v>84238</v>
      </c>
      <c r="Q641" s="51" t="n">
        <f aca="false">F641-H641-J641</f>
        <v>54926</v>
      </c>
      <c r="R641" s="51" t="n">
        <f aca="false">G641-I641-K641</f>
        <v>59426</v>
      </c>
      <c r="S641" s="51" t="n">
        <f aca="false">R641-Q641</f>
        <v>4500</v>
      </c>
      <c r="T641" s="52" t="n">
        <f aca="false">IF(Q641=0,0,S641/Q641)</f>
        <v>0.0819284127735499</v>
      </c>
      <c r="U641" s="51" t="str">
        <f aca="false">IF(AND(Q641&gt;0,T641&lt;-0.15),"ADVERSE","")</f>
        <v/>
      </c>
    </row>
    <row r="642" customFormat="false" ht="15" hidden="false" customHeight="false" outlineLevel="0" collapsed="false">
      <c r="A642" s="47" t="s">
        <v>3</v>
      </c>
      <c r="B642" s="47" t="s">
        <v>135</v>
      </c>
      <c r="C642" s="48" t="n">
        <v>45748</v>
      </c>
      <c r="D642" s="47" t="s">
        <v>35</v>
      </c>
      <c r="E642" s="47" t="s">
        <v>45</v>
      </c>
      <c r="F642" s="49" t="n">
        <v>174471</v>
      </c>
      <c r="G642" s="49" t="n">
        <v>186014</v>
      </c>
      <c r="H642" s="49" t="n">
        <v>94999</v>
      </c>
      <c r="I642" s="49" t="n">
        <v>104110</v>
      </c>
      <c r="J642" s="49" t="n">
        <v>27654</v>
      </c>
      <c r="K642" s="49" t="n">
        <v>28533</v>
      </c>
      <c r="L642" s="50" t="n">
        <v>9.1</v>
      </c>
      <c r="M642" s="51" t="n">
        <f aca="false">G642-F642</f>
        <v>11543</v>
      </c>
      <c r="N642" s="52" t="n">
        <f aca="false">IF(F642=0,0,M642/F642)</f>
        <v>0.0661599922050083</v>
      </c>
      <c r="O642" s="51" t="n">
        <f aca="false">G642-I642</f>
        <v>81904</v>
      </c>
      <c r="P642" s="51" t="n">
        <f aca="false">F642-H642</f>
        <v>79472</v>
      </c>
      <c r="Q642" s="51" t="n">
        <f aca="false">F642-H642-J642</f>
        <v>51818</v>
      </c>
      <c r="R642" s="51" t="n">
        <f aca="false">G642-I642-K642</f>
        <v>53371</v>
      </c>
      <c r="S642" s="51" t="n">
        <f aca="false">R642-Q642</f>
        <v>1553</v>
      </c>
      <c r="T642" s="52" t="n">
        <f aca="false">IF(Q642=0,0,S642/Q642)</f>
        <v>0.0299702805974758</v>
      </c>
      <c r="U642" s="51" t="str">
        <f aca="false">IF(AND(Q642&gt;0,T642&lt;-0.15),"ADVERSE","")</f>
        <v/>
      </c>
    </row>
    <row r="643" customFormat="false" ht="15" hidden="false" customHeight="false" outlineLevel="0" collapsed="false">
      <c r="A643" s="47" t="s">
        <v>3</v>
      </c>
      <c r="B643" s="47" t="s">
        <v>135</v>
      </c>
      <c r="C643" s="48" t="n">
        <v>45778</v>
      </c>
      <c r="D643" s="47" t="s">
        <v>35</v>
      </c>
      <c r="E643" s="47" t="s">
        <v>45</v>
      </c>
      <c r="F643" s="49" t="n">
        <v>174823</v>
      </c>
      <c r="G643" s="49" t="n">
        <v>188093</v>
      </c>
      <c r="H643" s="49" t="n">
        <v>95191</v>
      </c>
      <c r="I643" s="49" t="n">
        <v>99272</v>
      </c>
      <c r="J643" s="49" t="n">
        <v>27709</v>
      </c>
      <c r="K643" s="49" t="n">
        <v>31143</v>
      </c>
      <c r="L643" s="50" t="n">
        <v>8.8</v>
      </c>
      <c r="M643" s="51" t="n">
        <f aca="false">G643-F643</f>
        <v>13270</v>
      </c>
      <c r="N643" s="52" t="n">
        <f aca="false">IF(F643=0,0,M643/F643)</f>
        <v>0.0759053442624826</v>
      </c>
      <c r="O643" s="51" t="n">
        <f aca="false">G643-I643</f>
        <v>88821</v>
      </c>
      <c r="P643" s="51" t="n">
        <f aca="false">F643-H643</f>
        <v>79632</v>
      </c>
      <c r="Q643" s="51" t="n">
        <f aca="false">F643-H643-J643</f>
        <v>51923</v>
      </c>
      <c r="R643" s="51" t="n">
        <f aca="false">G643-I643-K643</f>
        <v>57678</v>
      </c>
      <c r="S643" s="51" t="n">
        <f aca="false">R643-Q643</f>
        <v>5755</v>
      </c>
      <c r="T643" s="52" t="n">
        <f aca="false">IF(Q643=0,0,S643/Q643)</f>
        <v>0.110837201240298</v>
      </c>
      <c r="U643" s="51" t="str">
        <f aca="false">IF(AND(Q643&gt;0,T643&lt;-0.15),"ADVERSE","")</f>
        <v/>
      </c>
    </row>
    <row r="644" customFormat="false" ht="15" hidden="false" customHeight="false" outlineLevel="0" collapsed="false">
      <c r="A644" s="47" t="s">
        <v>3</v>
      </c>
      <c r="B644" s="47" t="s">
        <v>135</v>
      </c>
      <c r="C644" s="48" t="n">
        <v>45809</v>
      </c>
      <c r="D644" s="47" t="s">
        <v>35</v>
      </c>
      <c r="E644" s="47" t="s">
        <v>45</v>
      </c>
      <c r="F644" s="49" t="n">
        <v>180449</v>
      </c>
      <c r="G644" s="49" t="n">
        <v>187411</v>
      </c>
      <c r="H644" s="49" t="n">
        <v>98254</v>
      </c>
      <c r="I644" s="49" t="n">
        <v>101593</v>
      </c>
      <c r="J644" s="49" t="n">
        <v>28601</v>
      </c>
      <c r="K644" s="49" t="n">
        <v>28970</v>
      </c>
      <c r="L644" s="50" t="n">
        <v>9.3</v>
      </c>
      <c r="M644" s="51" t="n">
        <f aca="false">G644-F644</f>
        <v>6962</v>
      </c>
      <c r="N644" s="52" t="n">
        <f aca="false">IF(F644=0,0,M644/F644)</f>
        <v>0.0385815382739722</v>
      </c>
      <c r="O644" s="51" t="n">
        <f aca="false">G644-I644</f>
        <v>85818</v>
      </c>
      <c r="P644" s="51" t="n">
        <f aca="false">F644-H644</f>
        <v>82195</v>
      </c>
      <c r="Q644" s="51" t="n">
        <f aca="false">F644-H644-J644</f>
        <v>53594</v>
      </c>
      <c r="R644" s="51" t="n">
        <f aca="false">G644-I644-K644</f>
        <v>56848</v>
      </c>
      <c r="S644" s="51" t="n">
        <f aca="false">R644-Q644</f>
        <v>3254</v>
      </c>
      <c r="T644" s="52" t="n">
        <f aca="false">IF(Q644=0,0,S644/Q644)</f>
        <v>0.0607157517632571</v>
      </c>
      <c r="U644" s="51" t="str">
        <f aca="false">IF(AND(Q644&gt;0,T644&lt;-0.15),"ADVERSE","")</f>
        <v/>
      </c>
    </row>
    <row r="645" customFormat="false" ht="15" hidden="false" customHeight="false" outlineLevel="0" collapsed="false">
      <c r="A645" s="47" t="s">
        <v>3</v>
      </c>
      <c r="B645" s="47" t="s">
        <v>136</v>
      </c>
      <c r="C645" s="48" t="n">
        <v>45839</v>
      </c>
      <c r="D645" s="47" t="s">
        <v>35</v>
      </c>
      <c r="E645" s="47" t="s">
        <v>45</v>
      </c>
      <c r="F645" s="49" t="n">
        <v>189876</v>
      </c>
      <c r="G645" s="49" t="n">
        <v>202990</v>
      </c>
      <c r="H645" s="49" t="n">
        <v>103388</v>
      </c>
      <c r="I645" s="49" t="n">
        <v>109373</v>
      </c>
      <c r="J645" s="49" t="n">
        <v>30095</v>
      </c>
      <c r="K645" s="49" t="n">
        <v>31483</v>
      </c>
      <c r="L645" s="50" t="n">
        <v>9.5</v>
      </c>
      <c r="M645" s="51" t="n">
        <f aca="false">G645-F645</f>
        <v>13114</v>
      </c>
      <c r="N645" s="52" t="n">
        <f aca="false">IF(F645=0,0,M645/F645)</f>
        <v>0.0690661273673345</v>
      </c>
      <c r="O645" s="51" t="n">
        <f aca="false">G645-I645</f>
        <v>93617</v>
      </c>
      <c r="P645" s="51" t="n">
        <f aca="false">F645-H645</f>
        <v>86488</v>
      </c>
      <c r="Q645" s="51" t="n">
        <f aca="false">F645-H645-J645</f>
        <v>56393</v>
      </c>
      <c r="R645" s="51" t="n">
        <f aca="false">G645-I645-K645</f>
        <v>62134</v>
      </c>
      <c r="S645" s="51" t="n">
        <f aca="false">R645-Q645</f>
        <v>5741</v>
      </c>
      <c r="T645" s="52" t="n">
        <f aca="false">IF(Q645=0,0,S645/Q645)</f>
        <v>0.101803415317504</v>
      </c>
      <c r="U645" s="51" t="str">
        <f aca="false">IF(AND(Q645&gt;0,T645&lt;-0.15),"ADVERSE","")</f>
        <v/>
      </c>
    </row>
    <row r="646" customFormat="false" ht="15" hidden="false" customHeight="false" outlineLevel="0" collapsed="false">
      <c r="A646" s="47" t="s">
        <v>3</v>
      </c>
      <c r="B646" s="47" t="s">
        <v>136</v>
      </c>
      <c r="C646" s="48" t="n">
        <v>45870</v>
      </c>
      <c r="D646" s="47" t="s">
        <v>35</v>
      </c>
      <c r="E646" s="47" t="s">
        <v>45</v>
      </c>
      <c r="F646" s="49" t="n">
        <v>181272</v>
      </c>
      <c r="G646" s="49" t="n">
        <v>184586</v>
      </c>
      <c r="H646" s="49" t="n">
        <v>98702</v>
      </c>
      <c r="I646" s="49" t="n">
        <v>100127</v>
      </c>
      <c r="J646" s="49" t="n">
        <v>28732</v>
      </c>
      <c r="K646" s="49" t="n">
        <v>29232</v>
      </c>
      <c r="L646" s="50" t="n">
        <v>9.1</v>
      </c>
      <c r="M646" s="51" t="n">
        <f aca="false">G646-F646</f>
        <v>3314</v>
      </c>
      <c r="N646" s="52" t="n">
        <f aca="false">IF(F646=0,0,M646/F646)</f>
        <v>0.0182819188843285</v>
      </c>
      <c r="O646" s="51" t="n">
        <f aca="false">G646-I646</f>
        <v>84459</v>
      </c>
      <c r="P646" s="51" t="n">
        <f aca="false">F646-H646</f>
        <v>82570</v>
      </c>
      <c r="Q646" s="51" t="n">
        <f aca="false">F646-H646-J646</f>
        <v>53838</v>
      </c>
      <c r="R646" s="51" t="n">
        <f aca="false">G646-I646-K646</f>
        <v>55227</v>
      </c>
      <c r="S646" s="51" t="n">
        <f aca="false">R646-Q646</f>
        <v>1389</v>
      </c>
      <c r="T646" s="52" t="n">
        <f aca="false">IF(Q646=0,0,S646/Q646)</f>
        <v>0.0257996210854787</v>
      </c>
      <c r="U646" s="51" t="str">
        <f aca="false">IF(AND(Q646&gt;0,T646&lt;-0.15),"ADVERSE","")</f>
        <v/>
      </c>
    </row>
    <row r="647" customFormat="false" ht="15" hidden="false" customHeight="false" outlineLevel="0" collapsed="false">
      <c r="A647" s="47" t="s">
        <v>3</v>
      </c>
      <c r="B647" s="47" t="s">
        <v>136</v>
      </c>
      <c r="C647" s="48" t="n">
        <v>45901</v>
      </c>
      <c r="D647" s="47" t="s">
        <v>35</v>
      </c>
      <c r="E647" s="47" t="s">
        <v>45</v>
      </c>
      <c r="F647" s="49" t="n">
        <v>190837</v>
      </c>
      <c r="G647" s="49" t="n">
        <v>195038</v>
      </c>
      <c r="H647" s="49" t="n">
        <v>103911</v>
      </c>
      <c r="I647" s="49" t="n">
        <v>106537</v>
      </c>
      <c r="J647" s="49" t="n">
        <v>30248</v>
      </c>
      <c r="K647" s="49" t="n">
        <v>32971</v>
      </c>
      <c r="L647" s="50" t="n">
        <v>9.3</v>
      </c>
      <c r="M647" s="51" t="n">
        <f aca="false">G647-F647</f>
        <v>4201</v>
      </c>
      <c r="N647" s="52" t="n">
        <f aca="false">IF(F647=0,0,M647/F647)</f>
        <v>0.0220135508313377</v>
      </c>
      <c r="O647" s="51" t="n">
        <f aca="false">G647-I647</f>
        <v>88501</v>
      </c>
      <c r="P647" s="51" t="n">
        <f aca="false">F647-H647</f>
        <v>86926</v>
      </c>
      <c r="Q647" s="51" t="n">
        <f aca="false">F647-H647-J647</f>
        <v>56678</v>
      </c>
      <c r="R647" s="51" t="n">
        <f aca="false">G647-I647-K647</f>
        <v>55530</v>
      </c>
      <c r="S647" s="51" t="n">
        <f aca="false">R647-Q647</f>
        <v>-1148</v>
      </c>
      <c r="T647" s="52" t="n">
        <f aca="false">IF(Q647=0,0,S647/Q647)</f>
        <v>-0.0202547725748968</v>
      </c>
      <c r="U647" s="51" t="str">
        <f aca="false">IF(AND(Q647&gt;0,T647&lt;-0.15),"ADVERSE","")</f>
        <v/>
      </c>
    </row>
    <row r="648" customFormat="false" ht="15" hidden="false" customHeight="false" outlineLevel="0" collapsed="false">
      <c r="A648" s="47" t="s">
        <v>3</v>
      </c>
      <c r="B648" s="47" t="s">
        <v>137</v>
      </c>
      <c r="C648" s="48" t="n">
        <v>45931</v>
      </c>
      <c r="D648" s="47" t="s">
        <v>35</v>
      </c>
      <c r="E648" s="47" t="s">
        <v>45</v>
      </c>
      <c r="F648" s="49" t="n">
        <v>196891</v>
      </c>
      <c r="G648" s="49" t="n">
        <v>209575</v>
      </c>
      <c r="H648" s="49" t="n">
        <v>107207</v>
      </c>
      <c r="I648" s="49" t="n">
        <v>115287</v>
      </c>
      <c r="J648" s="49" t="n">
        <v>31207</v>
      </c>
      <c r="K648" s="49" t="n">
        <v>33300</v>
      </c>
      <c r="L648" s="50" t="n">
        <v>9.5</v>
      </c>
      <c r="M648" s="51" t="n">
        <f aca="false">G648-F648</f>
        <v>12684</v>
      </c>
      <c r="N648" s="52" t="n">
        <f aca="false">IF(F648=0,0,M648/F648)</f>
        <v>0.064421431147183</v>
      </c>
      <c r="O648" s="51" t="n">
        <f aca="false">G648-I648</f>
        <v>94288</v>
      </c>
      <c r="P648" s="51" t="n">
        <f aca="false">F648-H648</f>
        <v>89684</v>
      </c>
      <c r="Q648" s="51" t="n">
        <f aca="false">F648-H648-J648</f>
        <v>58477</v>
      </c>
      <c r="R648" s="51" t="n">
        <f aca="false">G648-I648-K648</f>
        <v>60988</v>
      </c>
      <c r="S648" s="51" t="n">
        <f aca="false">R648-Q648</f>
        <v>2511</v>
      </c>
      <c r="T648" s="52" t="n">
        <f aca="false">IF(Q648=0,0,S648/Q648)</f>
        <v>0.0429399593002377</v>
      </c>
      <c r="U648" s="51" t="str">
        <f aca="false">IF(AND(Q648&gt;0,T648&lt;-0.15),"ADVERSE","")</f>
        <v/>
      </c>
    </row>
    <row r="649" customFormat="false" ht="15" hidden="false" customHeight="false" outlineLevel="0" collapsed="false">
      <c r="A649" s="47" t="s">
        <v>3</v>
      </c>
      <c r="B649" s="47" t="s">
        <v>137</v>
      </c>
      <c r="C649" s="48" t="n">
        <v>45962</v>
      </c>
      <c r="D649" s="47" t="s">
        <v>35</v>
      </c>
      <c r="E649" s="47" t="s">
        <v>45</v>
      </c>
      <c r="F649" s="49" t="n">
        <v>197189</v>
      </c>
      <c r="G649" s="49" t="n">
        <v>217311</v>
      </c>
      <c r="H649" s="49" t="n">
        <v>107369</v>
      </c>
      <c r="I649" s="49" t="n">
        <v>115366</v>
      </c>
      <c r="J649" s="49" t="n">
        <v>31254</v>
      </c>
      <c r="K649" s="49" t="n">
        <v>33984</v>
      </c>
      <c r="L649" s="50" t="n">
        <v>9.4</v>
      </c>
      <c r="M649" s="51" t="n">
        <f aca="false">G649-F649</f>
        <v>20122</v>
      </c>
      <c r="N649" s="52" t="n">
        <f aca="false">IF(F649=0,0,M649/F649)</f>
        <v>0.102044231676209</v>
      </c>
      <c r="O649" s="51" t="n">
        <f aca="false">G649-I649</f>
        <v>101945</v>
      </c>
      <c r="P649" s="51" t="n">
        <f aca="false">F649-H649</f>
        <v>89820</v>
      </c>
      <c r="Q649" s="51" t="n">
        <f aca="false">F649-H649-J649</f>
        <v>58566</v>
      </c>
      <c r="R649" s="51" t="n">
        <f aca="false">G649-I649-K649</f>
        <v>67961</v>
      </c>
      <c r="S649" s="51" t="n">
        <f aca="false">R649-Q649</f>
        <v>9395</v>
      </c>
      <c r="T649" s="52" t="n">
        <f aca="false">IF(Q649=0,0,S649/Q649)</f>
        <v>0.160417306969914</v>
      </c>
      <c r="U649" s="51" t="str">
        <f aca="false">IF(AND(Q649&gt;0,T649&lt;-0.15),"ADVERSE","")</f>
        <v/>
      </c>
    </row>
    <row r="650" customFormat="false" ht="15" hidden="false" customHeight="false" outlineLevel="0" collapsed="false">
      <c r="A650" s="47" t="s">
        <v>3</v>
      </c>
      <c r="B650" s="47" t="s">
        <v>137</v>
      </c>
      <c r="C650" s="48" t="n">
        <v>45992</v>
      </c>
      <c r="D650" s="47" t="s">
        <v>35</v>
      </c>
      <c r="E650" s="47" t="s">
        <v>45</v>
      </c>
      <c r="F650" s="49" t="n">
        <v>197098</v>
      </c>
      <c r="G650" s="49" t="n">
        <v>195585</v>
      </c>
      <c r="H650" s="49" t="n">
        <v>107320</v>
      </c>
      <c r="I650" s="49" t="n">
        <v>108281</v>
      </c>
      <c r="J650" s="49" t="n">
        <v>31240</v>
      </c>
      <c r="K650" s="49" t="n">
        <v>30397</v>
      </c>
      <c r="L650" s="50" t="n">
        <v>9.6</v>
      </c>
      <c r="M650" s="51" t="n">
        <f aca="false">G650-F650</f>
        <v>-1513</v>
      </c>
      <c r="N650" s="52" t="n">
        <f aca="false">IF(F650=0,0,M650/F650)</f>
        <v>-0.00767638433672589</v>
      </c>
      <c r="O650" s="51" t="n">
        <f aca="false">G650-I650</f>
        <v>87304</v>
      </c>
      <c r="P650" s="51" t="n">
        <f aca="false">F650-H650</f>
        <v>89778</v>
      </c>
      <c r="Q650" s="51" t="n">
        <f aca="false">F650-H650-J650</f>
        <v>58538</v>
      </c>
      <c r="R650" s="51" t="n">
        <f aca="false">G650-I650-K650</f>
        <v>56907</v>
      </c>
      <c r="S650" s="51" t="n">
        <f aca="false">R650-Q650</f>
        <v>-1631</v>
      </c>
      <c r="T650" s="52" t="n">
        <f aca="false">IF(Q650=0,0,S650/Q650)</f>
        <v>-0.0278622433291195</v>
      </c>
      <c r="U650" s="51" t="str">
        <f aca="false">IF(AND(Q650&gt;0,T650&lt;-0.15),"ADVERSE","")</f>
        <v/>
      </c>
    </row>
    <row r="651" customFormat="false" ht="15" hidden="false" customHeight="false" outlineLevel="0" collapsed="false">
      <c r="A651" s="47" t="s">
        <v>3</v>
      </c>
      <c r="B651" s="47" t="s">
        <v>138</v>
      </c>
      <c r="C651" s="48" t="n">
        <v>46023</v>
      </c>
      <c r="D651" s="47" t="s">
        <v>35</v>
      </c>
      <c r="E651" s="47" t="s">
        <v>45</v>
      </c>
      <c r="F651" s="49" t="n">
        <v>192121</v>
      </c>
      <c r="G651" s="49" t="n">
        <v>218491</v>
      </c>
      <c r="H651" s="49" t="n">
        <v>104610</v>
      </c>
      <c r="I651" s="49" t="n">
        <v>118941</v>
      </c>
      <c r="J651" s="49" t="n">
        <v>30451</v>
      </c>
      <c r="K651" s="49" t="n">
        <v>35379</v>
      </c>
      <c r="L651" s="50" t="n">
        <v>10</v>
      </c>
      <c r="M651" s="51" t="n">
        <f aca="false">G651-F651</f>
        <v>26370</v>
      </c>
      <c r="N651" s="52" t="n">
        <f aca="false">IF(F651=0,0,M651/F651)</f>
        <v>0.137257249337657</v>
      </c>
      <c r="O651" s="51" t="n">
        <f aca="false">G651-I651</f>
        <v>99550</v>
      </c>
      <c r="P651" s="51" t="n">
        <f aca="false">F651-H651</f>
        <v>87511</v>
      </c>
      <c r="Q651" s="51" t="n">
        <f aca="false">F651-H651-J651</f>
        <v>57060</v>
      </c>
      <c r="R651" s="51" t="n">
        <f aca="false">G651-I651-K651</f>
        <v>64171</v>
      </c>
      <c r="S651" s="51" t="n">
        <f aca="false">R651-Q651</f>
        <v>7111</v>
      </c>
      <c r="T651" s="52" t="n">
        <f aca="false">IF(Q651=0,0,S651/Q651)</f>
        <v>0.124623203645286</v>
      </c>
      <c r="U651" s="51" t="str">
        <f aca="false">IF(AND(Q651&gt;0,T651&lt;-0.15),"ADVERSE","")</f>
        <v/>
      </c>
    </row>
    <row r="652" customFormat="false" ht="15" hidden="false" customHeight="false" outlineLevel="0" collapsed="false">
      <c r="A652" s="47" t="s">
        <v>3</v>
      </c>
      <c r="B652" s="47" t="s">
        <v>138</v>
      </c>
      <c r="C652" s="48" t="n">
        <v>46054</v>
      </c>
      <c r="D652" s="47" t="s">
        <v>35</v>
      </c>
      <c r="E652" s="47" t="s">
        <v>45</v>
      </c>
      <c r="F652" s="49" t="n">
        <v>199367</v>
      </c>
      <c r="G652" s="49" t="n">
        <v>212849</v>
      </c>
      <c r="H652" s="49" t="n">
        <v>108555</v>
      </c>
      <c r="I652" s="49" t="n">
        <v>114376</v>
      </c>
      <c r="J652" s="49" t="n">
        <v>31600</v>
      </c>
      <c r="K652" s="49" t="n">
        <v>35172</v>
      </c>
      <c r="L652" s="50" t="n">
        <v>9.9</v>
      </c>
      <c r="M652" s="51" t="n">
        <f aca="false">G652-F652</f>
        <v>13482</v>
      </c>
      <c r="N652" s="52" t="n">
        <f aca="false">IF(F652=0,0,M652/F652)</f>
        <v>0.0676240300551245</v>
      </c>
      <c r="O652" s="51" t="n">
        <f aca="false">G652-I652</f>
        <v>98473</v>
      </c>
      <c r="P652" s="51" t="n">
        <f aca="false">F652-H652</f>
        <v>90812</v>
      </c>
      <c r="Q652" s="51" t="n">
        <f aca="false">F652-H652-J652</f>
        <v>59212</v>
      </c>
      <c r="R652" s="51" t="n">
        <f aca="false">G652-I652-K652</f>
        <v>63301</v>
      </c>
      <c r="S652" s="51" t="n">
        <f aca="false">R652-Q652</f>
        <v>4089</v>
      </c>
      <c r="T652" s="52" t="n">
        <f aca="false">IF(Q652=0,0,S652/Q652)</f>
        <v>0.069056947915963</v>
      </c>
      <c r="U652" s="51" t="str">
        <f aca="false">IF(AND(Q652&gt;0,T652&lt;-0.15),"ADVERSE","")</f>
        <v/>
      </c>
    </row>
    <row r="653" customFormat="false" ht="15" hidden="false" customHeight="false" outlineLevel="0" collapsed="false">
      <c r="A653" s="47" t="s">
        <v>3</v>
      </c>
      <c r="B653" s="47" t="s">
        <v>138</v>
      </c>
      <c r="C653" s="48" t="n">
        <v>46082</v>
      </c>
      <c r="D653" s="47" t="s">
        <v>35</v>
      </c>
      <c r="E653" s="47" t="s">
        <v>45</v>
      </c>
      <c r="F653" s="49" t="n">
        <v>217674</v>
      </c>
      <c r="G653" s="49" t="n">
        <v>222813</v>
      </c>
      <c r="H653" s="49" t="n">
        <v>118523</v>
      </c>
      <c r="I653" s="49" t="n">
        <v>125985</v>
      </c>
      <c r="J653" s="49" t="n">
        <v>34501</v>
      </c>
      <c r="K653" s="49" t="n">
        <v>35962</v>
      </c>
      <c r="L653" s="50" t="n">
        <v>10.2</v>
      </c>
      <c r="M653" s="51" t="n">
        <f aca="false">G653-F653</f>
        <v>5139</v>
      </c>
      <c r="N653" s="52" t="n">
        <f aca="false">IF(F653=0,0,M653/F653)</f>
        <v>0.0236086992474986</v>
      </c>
      <c r="O653" s="51" t="n">
        <f aca="false">G653-I653</f>
        <v>96828</v>
      </c>
      <c r="P653" s="51" t="n">
        <f aca="false">F653-H653</f>
        <v>99151</v>
      </c>
      <c r="Q653" s="51" t="n">
        <f aca="false">F653-H653-J653</f>
        <v>64650</v>
      </c>
      <c r="R653" s="51" t="n">
        <f aca="false">G653-I653-K653</f>
        <v>60866</v>
      </c>
      <c r="S653" s="51" t="n">
        <f aca="false">R653-Q653</f>
        <v>-3784</v>
      </c>
      <c r="T653" s="52" t="n">
        <f aca="false">IF(Q653=0,0,S653/Q653)</f>
        <v>-0.0585305491105955</v>
      </c>
      <c r="U653" s="51" t="str">
        <f aca="false">IF(AND(Q653&gt;0,T653&lt;-0.15),"ADVERSE","")</f>
        <v/>
      </c>
    </row>
    <row r="654" customFormat="false" ht="15" hidden="false" customHeight="false" outlineLevel="0" collapsed="false">
      <c r="A654" s="47" t="s">
        <v>134</v>
      </c>
      <c r="B654" s="47" t="s">
        <v>135</v>
      </c>
      <c r="C654" s="48" t="n">
        <v>45017</v>
      </c>
      <c r="D654" s="47" t="s">
        <v>36</v>
      </c>
      <c r="E654" s="47" t="s">
        <v>40</v>
      </c>
      <c r="F654" s="49" t="n">
        <v>582860</v>
      </c>
      <c r="G654" s="49" t="n">
        <v>598111</v>
      </c>
      <c r="H654" s="49" t="n">
        <v>393139</v>
      </c>
      <c r="I654" s="49" t="n">
        <v>406427</v>
      </c>
      <c r="J654" s="49" t="n">
        <v>77812</v>
      </c>
      <c r="K654" s="49" t="n">
        <v>77195</v>
      </c>
      <c r="L654" s="50" t="n">
        <v>39.1</v>
      </c>
      <c r="M654" s="51" t="n">
        <f aca="false">G654-F654</f>
        <v>15251</v>
      </c>
      <c r="N654" s="52" t="n">
        <f aca="false">IF(F654=0,0,M654/F654)</f>
        <v>0.0261658031088083</v>
      </c>
      <c r="O654" s="51" t="n">
        <f aca="false">G654-I654</f>
        <v>191684</v>
      </c>
      <c r="P654" s="51" t="n">
        <f aca="false">F654-H654</f>
        <v>189721</v>
      </c>
      <c r="Q654" s="51" t="n">
        <f aca="false">F654-H654-J654</f>
        <v>111909</v>
      </c>
      <c r="R654" s="51" t="n">
        <f aca="false">G654-I654-K654</f>
        <v>114489</v>
      </c>
      <c r="S654" s="51" t="n">
        <f aca="false">R654-Q654</f>
        <v>2580</v>
      </c>
      <c r="T654" s="52" t="n">
        <f aca="false">IF(Q654=0,0,S654/Q654)</f>
        <v>0.0230544460231081</v>
      </c>
      <c r="U654" s="51" t="str">
        <f aca="false">IF(AND(Q654&gt;0,T654&lt;-0.15),"ADVERSE","")</f>
        <v/>
      </c>
    </row>
    <row r="655" customFormat="false" ht="15" hidden="false" customHeight="false" outlineLevel="0" collapsed="false">
      <c r="A655" s="47" t="s">
        <v>134</v>
      </c>
      <c r="B655" s="47" t="s">
        <v>135</v>
      </c>
      <c r="C655" s="48" t="n">
        <v>45047</v>
      </c>
      <c r="D655" s="47" t="s">
        <v>36</v>
      </c>
      <c r="E655" s="47" t="s">
        <v>40</v>
      </c>
      <c r="F655" s="49" t="n">
        <v>577456</v>
      </c>
      <c r="G655" s="49" t="n">
        <v>639742</v>
      </c>
      <c r="H655" s="49" t="n">
        <v>389494</v>
      </c>
      <c r="I655" s="49" t="n">
        <v>433766</v>
      </c>
      <c r="J655" s="49" t="n">
        <v>77090</v>
      </c>
      <c r="K655" s="49" t="n">
        <v>88415</v>
      </c>
      <c r="L655" s="50" t="n">
        <v>39.5</v>
      </c>
      <c r="M655" s="51" t="n">
        <f aca="false">G655-F655</f>
        <v>62286</v>
      </c>
      <c r="N655" s="52" t="n">
        <f aca="false">IF(F655=0,0,M655/F655)</f>
        <v>0.107862763569865</v>
      </c>
      <c r="O655" s="51" t="n">
        <f aca="false">G655-I655</f>
        <v>205976</v>
      </c>
      <c r="P655" s="51" t="n">
        <f aca="false">F655-H655</f>
        <v>187962</v>
      </c>
      <c r="Q655" s="51" t="n">
        <f aca="false">F655-H655-J655</f>
        <v>110872</v>
      </c>
      <c r="R655" s="51" t="n">
        <f aca="false">G655-I655-K655</f>
        <v>117561</v>
      </c>
      <c r="S655" s="51" t="n">
        <f aca="false">R655-Q655</f>
        <v>6689</v>
      </c>
      <c r="T655" s="52" t="n">
        <f aca="false">IF(Q655=0,0,S655/Q655)</f>
        <v>0.0603308319503572</v>
      </c>
      <c r="U655" s="51" t="str">
        <f aca="false">IF(AND(Q655&gt;0,T655&lt;-0.15),"ADVERSE","")</f>
        <v/>
      </c>
    </row>
    <row r="656" customFormat="false" ht="15" hidden="false" customHeight="false" outlineLevel="0" collapsed="false">
      <c r="A656" s="47" t="s">
        <v>134</v>
      </c>
      <c r="B656" s="47" t="s">
        <v>135</v>
      </c>
      <c r="C656" s="48" t="n">
        <v>45078</v>
      </c>
      <c r="D656" s="47" t="s">
        <v>36</v>
      </c>
      <c r="E656" s="47" t="s">
        <v>40</v>
      </c>
      <c r="F656" s="49" t="n">
        <v>603022</v>
      </c>
      <c r="G656" s="49" t="n">
        <v>599250</v>
      </c>
      <c r="H656" s="49" t="n">
        <v>406738</v>
      </c>
      <c r="I656" s="49" t="n">
        <v>400029</v>
      </c>
      <c r="J656" s="49" t="n">
        <v>80503</v>
      </c>
      <c r="K656" s="49" t="n">
        <v>86546</v>
      </c>
      <c r="L656" s="50" t="n">
        <v>39.4</v>
      </c>
      <c r="M656" s="51" t="n">
        <f aca="false">G656-F656</f>
        <v>-3772</v>
      </c>
      <c r="N656" s="52" t="n">
        <f aca="false">IF(F656=0,0,M656/F656)</f>
        <v>-0.00625516150322874</v>
      </c>
      <c r="O656" s="51" t="n">
        <f aca="false">G656-I656</f>
        <v>199221</v>
      </c>
      <c r="P656" s="51" t="n">
        <f aca="false">F656-H656</f>
        <v>196284</v>
      </c>
      <c r="Q656" s="51" t="n">
        <f aca="false">F656-H656-J656</f>
        <v>115781</v>
      </c>
      <c r="R656" s="51" t="n">
        <f aca="false">G656-I656-K656</f>
        <v>112675</v>
      </c>
      <c r="S656" s="51" t="n">
        <f aca="false">R656-Q656</f>
        <v>-3106</v>
      </c>
      <c r="T656" s="52" t="n">
        <f aca="false">IF(Q656=0,0,S656/Q656)</f>
        <v>-0.0268265086672252</v>
      </c>
      <c r="U656" s="51" t="str">
        <f aca="false">IF(AND(Q656&gt;0,T656&lt;-0.15),"ADVERSE","")</f>
        <v/>
      </c>
    </row>
    <row r="657" customFormat="false" ht="15" hidden="false" customHeight="false" outlineLevel="0" collapsed="false">
      <c r="A657" s="47" t="s">
        <v>134</v>
      </c>
      <c r="B657" s="47" t="s">
        <v>136</v>
      </c>
      <c r="C657" s="48" t="n">
        <v>45108</v>
      </c>
      <c r="D657" s="47" t="s">
        <v>36</v>
      </c>
      <c r="E657" s="47" t="s">
        <v>40</v>
      </c>
      <c r="F657" s="49" t="n">
        <v>608084</v>
      </c>
      <c r="G657" s="49" t="n">
        <v>647386</v>
      </c>
      <c r="H657" s="49" t="n">
        <v>410153</v>
      </c>
      <c r="I657" s="49" t="n">
        <v>441600</v>
      </c>
      <c r="J657" s="49" t="n">
        <v>81179</v>
      </c>
      <c r="K657" s="49" t="n">
        <v>90168</v>
      </c>
      <c r="L657" s="50" t="n">
        <v>38.7</v>
      </c>
      <c r="M657" s="51" t="n">
        <f aca="false">G657-F657</f>
        <v>39302</v>
      </c>
      <c r="N657" s="52" t="n">
        <f aca="false">IF(F657=0,0,M657/F657)</f>
        <v>0.0646325178758198</v>
      </c>
      <c r="O657" s="51" t="n">
        <f aca="false">G657-I657</f>
        <v>205786</v>
      </c>
      <c r="P657" s="51" t="n">
        <f aca="false">F657-H657</f>
        <v>197931</v>
      </c>
      <c r="Q657" s="51" t="n">
        <f aca="false">F657-H657-J657</f>
        <v>116752</v>
      </c>
      <c r="R657" s="51" t="n">
        <f aca="false">G657-I657-K657</f>
        <v>115618</v>
      </c>
      <c r="S657" s="51" t="n">
        <f aca="false">R657-Q657</f>
        <v>-1134</v>
      </c>
      <c r="T657" s="52" t="n">
        <f aca="false">IF(Q657=0,0,S657/Q657)</f>
        <v>-0.00971289571056599</v>
      </c>
      <c r="U657" s="51" t="str">
        <f aca="false">IF(AND(Q657&gt;0,T657&lt;-0.15),"ADVERSE","")</f>
        <v/>
      </c>
    </row>
    <row r="658" customFormat="false" ht="15" hidden="false" customHeight="false" outlineLevel="0" collapsed="false">
      <c r="A658" s="47" t="s">
        <v>134</v>
      </c>
      <c r="B658" s="47" t="s">
        <v>136</v>
      </c>
      <c r="C658" s="48" t="n">
        <v>45139</v>
      </c>
      <c r="D658" s="47" t="s">
        <v>36</v>
      </c>
      <c r="E658" s="47" t="s">
        <v>40</v>
      </c>
      <c r="F658" s="49" t="n">
        <v>603756</v>
      </c>
      <c r="G658" s="49" t="n">
        <v>628662</v>
      </c>
      <c r="H658" s="49" t="n">
        <v>407233</v>
      </c>
      <c r="I658" s="49" t="n">
        <v>429830</v>
      </c>
      <c r="J658" s="49" t="n">
        <v>80601</v>
      </c>
      <c r="K658" s="49" t="n">
        <v>79896</v>
      </c>
      <c r="L658" s="50" t="n">
        <v>39</v>
      </c>
      <c r="M658" s="51" t="n">
        <f aca="false">G658-F658</f>
        <v>24906</v>
      </c>
      <c r="N658" s="52" t="n">
        <f aca="false">IF(F658=0,0,M658/F658)</f>
        <v>0.0412517639576253</v>
      </c>
      <c r="O658" s="51" t="n">
        <f aca="false">G658-I658</f>
        <v>198832</v>
      </c>
      <c r="P658" s="51" t="n">
        <f aca="false">F658-H658</f>
        <v>196523</v>
      </c>
      <c r="Q658" s="51" t="n">
        <f aca="false">F658-H658-J658</f>
        <v>115922</v>
      </c>
      <c r="R658" s="51" t="n">
        <f aca="false">G658-I658-K658</f>
        <v>118936</v>
      </c>
      <c r="S658" s="51" t="n">
        <f aca="false">R658-Q658</f>
        <v>3014</v>
      </c>
      <c r="T658" s="52" t="n">
        <f aca="false">IF(Q658=0,0,S658/Q658)</f>
        <v>0.0260002415417263</v>
      </c>
      <c r="U658" s="51" t="str">
        <f aca="false">IF(AND(Q658&gt;0,T658&lt;-0.15),"ADVERSE","")</f>
        <v/>
      </c>
    </row>
    <row r="659" customFormat="false" ht="15" hidden="false" customHeight="false" outlineLevel="0" collapsed="false">
      <c r="A659" s="47" t="s">
        <v>134</v>
      </c>
      <c r="B659" s="47" t="s">
        <v>136</v>
      </c>
      <c r="C659" s="48" t="n">
        <v>45170</v>
      </c>
      <c r="D659" s="47" t="s">
        <v>36</v>
      </c>
      <c r="E659" s="47" t="s">
        <v>40</v>
      </c>
      <c r="F659" s="49" t="n">
        <v>596961</v>
      </c>
      <c r="G659" s="49" t="n">
        <v>561445</v>
      </c>
      <c r="H659" s="49" t="n">
        <v>402650</v>
      </c>
      <c r="I659" s="49" t="n">
        <v>387053</v>
      </c>
      <c r="J659" s="49" t="n">
        <v>79694</v>
      </c>
      <c r="K659" s="49" t="n">
        <v>79368</v>
      </c>
      <c r="L659" s="50" t="n">
        <v>38.9</v>
      </c>
      <c r="M659" s="51" t="n">
        <f aca="false">G659-F659</f>
        <v>-35516</v>
      </c>
      <c r="N659" s="52" t="n">
        <f aca="false">IF(F659=0,0,M659/F659)</f>
        <v>-0.0594946738564161</v>
      </c>
      <c r="O659" s="51" t="n">
        <f aca="false">G659-I659</f>
        <v>174392</v>
      </c>
      <c r="P659" s="51" t="n">
        <f aca="false">F659-H659</f>
        <v>194311</v>
      </c>
      <c r="Q659" s="51" t="n">
        <f aca="false">F659-H659-J659</f>
        <v>114617</v>
      </c>
      <c r="R659" s="51" t="n">
        <f aca="false">G659-I659-K659</f>
        <v>95024</v>
      </c>
      <c r="S659" s="51" t="n">
        <f aca="false">R659-Q659</f>
        <v>-19593</v>
      </c>
      <c r="T659" s="52" t="n">
        <f aca="false">IF(Q659=0,0,S659/Q659)</f>
        <v>-0.170943228316916</v>
      </c>
      <c r="U659" s="51" t="str">
        <f aca="false">IF(AND(Q659&gt;0,T659&lt;-0.15),"ADVERSE","")</f>
        <v>ADVERSE</v>
      </c>
    </row>
    <row r="660" customFormat="false" ht="15" hidden="false" customHeight="false" outlineLevel="0" collapsed="false">
      <c r="A660" s="47" t="s">
        <v>134</v>
      </c>
      <c r="B660" s="47" t="s">
        <v>137</v>
      </c>
      <c r="C660" s="48" t="n">
        <v>45200</v>
      </c>
      <c r="D660" s="47" t="s">
        <v>36</v>
      </c>
      <c r="E660" s="47" t="s">
        <v>40</v>
      </c>
      <c r="F660" s="49" t="n">
        <v>617885</v>
      </c>
      <c r="G660" s="49" t="n">
        <v>600374</v>
      </c>
      <c r="H660" s="49" t="n">
        <v>416764</v>
      </c>
      <c r="I660" s="49" t="n">
        <v>410581</v>
      </c>
      <c r="J660" s="49" t="n">
        <v>82488</v>
      </c>
      <c r="K660" s="49" t="n">
        <v>82918</v>
      </c>
      <c r="L660" s="50" t="n">
        <v>40.4</v>
      </c>
      <c r="M660" s="51" t="n">
        <f aca="false">G660-F660</f>
        <v>-17511</v>
      </c>
      <c r="N660" s="52" t="n">
        <f aca="false">IF(F660=0,0,M660/F660)</f>
        <v>-0.0283402251227979</v>
      </c>
      <c r="O660" s="51" t="n">
        <f aca="false">G660-I660</f>
        <v>189793</v>
      </c>
      <c r="P660" s="51" t="n">
        <f aca="false">F660-H660</f>
        <v>201121</v>
      </c>
      <c r="Q660" s="51" t="n">
        <f aca="false">F660-H660-J660</f>
        <v>118633</v>
      </c>
      <c r="R660" s="51" t="n">
        <f aca="false">G660-I660-K660</f>
        <v>106875</v>
      </c>
      <c r="S660" s="51" t="n">
        <f aca="false">R660-Q660</f>
        <v>-11758</v>
      </c>
      <c r="T660" s="52" t="n">
        <f aca="false">IF(Q660=0,0,S660/Q660)</f>
        <v>-0.0991123886271105</v>
      </c>
      <c r="U660" s="51" t="str">
        <f aca="false">IF(AND(Q660&gt;0,T660&lt;-0.15),"ADVERSE","")</f>
        <v/>
      </c>
    </row>
    <row r="661" customFormat="false" ht="15" hidden="false" customHeight="false" outlineLevel="0" collapsed="false">
      <c r="A661" s="47" t="s">
        <v>134</v>
      </c>
      <c r="B661" s="47" t="s">
        <v>137</v>
      </c>
      <c r="C661" s="48" t="n">
        <v>45231</v>
      </c>
      <c r="D661" s="47" t="s">
        <v>36</v>
      </c>
      <c r="E661" s="47" t="s">
        <v>40</v>
      </c>
      <c r="F661" s="49" t="n">
        <v>618666</v>
      </c>
      <c r="G661" s="49" t="n">
        <v>609074</v>
      </c>
      <c r="H661" s="49" t="n">
        <v>417290</v>
      </c>
      <c r="I661" s="49" t="n">
        <v>407780</v>
      </c>
      <c r="J661" s="49" t="n">
        <v>82592</v>
      </c>
      <c r="K661" s="49" t="n">
        <v>81600</v>
      </c>
      <c r="L661" s="50" t="n">
        <v>39.4</v>
      </c>
      <c r="M661" s="51" t="n">
        <f aca="false">G661-F661</f>
        <v>-9592</v>
      </c>
      <c r="N661" s="52" t="n">
        <f aca="false">IF(F661=0,0,M661/F661)</f>
        <v>-0.0155043270520766</v>
      </c>
      <c r="O661" s="51" t="n">
        <f aca="false">G661-I661</f>
        <v>201294</v>
      </c>
      <c r="P661" s="51" t="n">
        <f aca="false">F661-H661</f>
        <v>201376</v>
      </c>
      <c r="Q661" s="51" t="n">
        <f aca="false">F661-H661-J661</f>
        <v>118784</v>
      </c>
      <c r="R661" s="51" t="n">
        <f aca="false">G661-I661-K661</f>
        <v>119694</v>
      </c>
      <c r="S661" s="51" t="n">
        <f aca="false">R661-Q661</f>
        <v>910</v>
      </c>
      <c r="T661" s="52" t="n">
        <f aca="false">IF(Q661=0,0,S661/Q661)</f>
        <v>0.00766096443965517</v>
      </c>
      <c r="U661" s="51" t="str">
        <f aca="false">IF(AND(Q661&gt;0,T661&lt;-0.15),"ADVERSE","")</f>
        <v/>
      </c>
    </row>
    <row r="662" customFormat="false" ht="15" hidden="false" customHeight="false" outlineLevel="0" collapsed="false">
      <c r="A662" s="47" t="s">
        <v>134</v>
      </c>
      <c r="B662" s="47" t="s">
        <v>137</v>
      </c>
      <c r="C662" s="48" t="n">
        <v>45261</v>
      </c>
      <c r="D662" s="47" t="s">
        <v>36</v>
      </c>
      <c r="E662" s="47" t="s">
        <v>40</v>
      </c>
      <c r="F662" s="49" t="n">
        <v>611354</v>
      </c>
      <c r="G662" s="49" t="n">
        <v>605550</v>
      </c>
      <c r="H662" s="49" t="n">
        <v>412359</v>
      </c>
      <c r="I662" s="49" t="n">
        <v>406585</v>
      </c>
      <c r="J662" s="49" t="n">
        <v>81616</v>
      </c>
      <c r="K662" s="49" t="n">
        <v>81329</v>
      </c>
      <c r="L662" s="50" t="n">
        <v>39.1</v>
      </c>
      <c r="M662" s="51" t="n">
        <f aca="false">G662-F662</f>
        <v>-5804</v>
      </c>
      <c r="N662" s="52" t="n">
        <f aca="false">IF(F662=0,0,M662/F662)</f>
        <v>-0.00949368123869313</v>
      </c>
      <c r="O662" s="51" t="n">
        <f aca="false">G662-I662</f>
        <v>198965</v>
      </c>
      <c r="P662" s="51" t="n">
        <f aca="false">F662-H662</f>
        <v>198995</v>
      </c>
      <c r="Q662" s="51" t="n">
        <f aca="false">F662-H662-J662</f>
        <v>117379</v>
      </c>
      <c r="R662" s="51" t="n">
        <f aca="false">G662-I662-K662</f>
        <v>117636</v>
      </c>
      <c r="S662" s="51" t="n">
        <f aca="false">R662-Q662</f>
        <v>257</v>
      </c>
      <c r="T662" s="52" t="n">
        <f aca="false">IF(Q662=0,0,S662/Q662)</f>
        <v>0.00218948875011714</v>
      </c>
      <c r="U662" s="51" t="str">
        <f aca="false">IF(AND(Q662&gt;0,T662&lt;-0.15),"ADVERSE","")</f>
        <v/>
      </c>
    </row>
    <row r="663" customFormat="false" ht="15" hidden="false" customHeight="false" outlineLevel="0" collapsed="false">
      <c r="A663" s="47" t="s">
        <v>134</v>
      </c>
      <c r="B663" s="47" t="s">
        <v>138</v>
      </c>
      <c r="C663" s="48" t="n">
        <v>45292</v>
      </c>
      <c r="D663" s="47" t="s">
        <v>36</v>
      </c>
      <c r="E663" s="47" t="s">
        <v>40</v>
      </c>
      <c r="F663" s="49" t="n">
        <v>601678</v>
      </c>
      <c r="G663" s="49" t="n">
        <v>619620</v>
      </c>
      <c r="H663" s="49" t="n">
        <v>405832</v>
      </c>
      <c r="I663" s="49" t="n">
        <v>428093</v>
      </c>
      <c r="J663" s="49" t="n">
        <v>80324</v>
      </c>
      <c r="K663" s="49" t="n">
        <v>86796</v>
      </c>
      <c r="L663" s="50" t="n">
        <v>39.7</v>
      </c>
      <c r="M663" s="51" t="n">
        <f aca="false">G663-F663</f>
        <v>17942</v>
      </c>
      <c r="N663" s="52" t="n">
        <f aca="false">IF(F663=0,0,M663/F663)</f>
        <v>0.0298199369097757</v>
      </c>
      <c r="O663" s="51" t="n">
        <f aca="false">G663-I663</f>
        <v>191527</v>
      </c>
      <c r="P663" s="51" t="n">
        <f aca="false">F663-H663</f>
        <v>195846</v>
      </c>
      <c r="Q663" s="51" t="n">
        <f aca="false">F663-H663-J663</f>
        <v>115522</v>
      </c>
      <c r="R663" s="51" t="n">
        <f aca="false">G663-I663-K663</f>
        <v>104731</v>
      </c>
      <c r="S663" s="51" t="n">
        <f aca="false">R663-Q663</f>
        <v>-10791</v>
      </c>
      <c r="T663" s="52" t="n">
        <f aca="false">IF(Q663=0,0,S663/Q663)</f>
        <v>-0.0934107788992573</v>
      </c>
      <c r="U663" s="51" t="str">
        <f aca="false">IF(AND(Q663&gt;0,T663&lt;-0.15),"ADVERSE","")</f>
        <v/>
      </c>
    </row>
    <row r="664" customFormat="false" ht="15" hidden="false" customHeight="false" outlineLevel="0" collapsed="false">
      <c r="A664" s="47" t="s">
        <v>134</v>
      </c>
      <c r="B664" s="47" t="s">
        <v>138</v>
      </c>
      <c r="C664" s="48" t="n">
        <v>45323</v>
      </c>
      <c r="D664" s="47" t="s">
        <v>36</v>
      </c>
      <c r="E664" s="47" t="s">
        <v>40</v>
      </c>
      <c r="F664" s="49" t="n">
        <v>593256</v>
      </c>
      <c r="G664" s="49" t="n">
        <v>582199</v>
      </c>
      <c r="H664" s="49" t="n">
        <v>400151</v>
      </c>
      <c r="I664" s="49" t="n">
        <v>392784</v>
      </c>
      <c r="J664" s="49" t="n">
        <v>79200</v>
      </c>
      <c r="K664" s="49" t="n">
        <v>74385</v>
      </c>
      <c r="L664" s="50" t="n">
        <v>40.2</v>
      </c>
      <c r="M664" s="51" t="n">
        <f aca="false">G664-F664</f>
        <v>-11057</v>
      </c>
      <c r="N664" s="52" t="n">
        <f aca="false">IF(F664=0,0,M664/F664)</f>
        <v>-0.0186378224577585</v>
      </c>
      <c r="O664" s="51" t="n">
        <f aca="false">G664-I664</f>
        <v>189415</v>
      </c>
      <c r="P664" s="51" t="n">
        <f aca="false">F664-H664</f>
        <v>193105</v>
      </c>
      <c r="Q664" s="51" t="n">
        <f aca="false">F664-H664-J664</f>
        <v>113905</v>
      </c>
      <c r="R664" s="51" t="n">
        <f aca="false">G664-I664-K664</f>
        <v>115030</v>
      </c>
      <c r="S664" s="51" t="n">
        <f aca="false">R664-Q664</f>
        <v>1125</v>
      </c>
      <c r="T664" s="52" t="n">
        <f aca="false">IF(Q664=0,0,S664/Q664)</f>
        <v>0.00987665159562794</v>
      </c>
      <c r="U664" s="51" t="str">
        <f aca="false">IF(AND(Q664&gt;0,T664&lt;-0.15),"ADVERSE","")</f>
        <v/>
      </c>
    </row>
    <row r="665" customFormat="false" ht="15" hidden="false" customHeight="false" outlineLevel="0" collapsed="false">
      <c r="A665" s="47" t="s">
        <v>134</v>
      </c>
      <c r="B665" s="47" t="s">
        <v>138</v>
      </c>
      <c r="C665" s="48" t="n">
        <v>45352</v>
      </c>
      <c r="D665" s="47" t="s">
        <v>36</v>
      </c>
      <c r="E665" s="47" t="s">
        <v>40</v>
      </c>
      <c r="F665" s="49" t="n">
        <v>641922</v>
      </c>
      <c r="G665" s="49" t="n">
        <v>657770</v>
      </c>
      <c r="H665" s="49" t="n">
        <v>432976</v>
      </c>
      <c r="I665" s="49" t="n">
        <v>443048</v>
      </c>
      <c r="J665" s="49" t="n">
        <v>85697</v>
      </c>
      <c r="K665" s="49" t="n">
        <v>92299</v>
      </c>
      <c r="L665" s="50" t="n">
        <v>40.5</v>
      </c>
      <c r="M665" s="51" t="n">
        <f aca="false">G665-F665</f>
        <v>15848</v>
      </c>
      <c r="N665" s="52" t="n">
        <f aca="false">IF(F665=0,0,M665/F665)</f>
        <v>0.0246883577755553</v>
      </c>
      <c r="O665" s="51" t="n">
        <f aca="false">G665-I665</f>
        <v>214722</v>
      </c>
      <c r="P665" s="51" t="n">
        <f aca="false">F665-H665</f>
        <v>208946</v>
      </c>
      <c r="Q665" s="51" t="n">
        <f aca="false">F665-H665-J665</f>
        <v>123249</v>
      </c>
      <c r="R665" s="51" t="n">
        <f aca="false">G665-I665-K665</f>
        <v>122423</v>
      </c>
      <c r="S665" s="51" t="n">
        <f aca="false">R665-Q665</f>
        <v>-826</v>
      </c>
      <c r="T665" s="52" t="n">
        <f aca="false">IF(Q665=0,0,S665/Q665)</f>
        <v>-0.00670187993411711</v>
      </c>
      <c r="U665" s="51" t="str">
        <f aca="false">IF(AND(Q665&gt;0,T665&lt;-0.15),"ADVERSE","")</f>
        <v/>
      </c>
    </row>
    <row r="666" customFormat="false" ht="15" hidden="false" customHeight="false" outlineLevel="0" collapsed="false">
      <c r="A666" s="47" t="s">
        <v>139</v>
      </c>
      <c r="B666" s="47" t="s">
        <v>135</v>
      </c>
      <c r="C666" s="48" t="n">
        <v>45383</v>
      </c>
      <c r="D666" s="47" t="s">
        <v>36</v>
      </c>
      <c r="E666" s="47" t="s">
        <v>40</v>
      </c>
      <c r="F666" s="49" t="n">
        <v>631950</v>
      </c>
      <c r="G666" s="49" t="n">
        <v>620948</v>
      </c>
      <c r="H666" s="49" t="n">
        <v>426250</v>
      </c>
      <c r="I666" s="49" t="n">
        <v>428432</v>
      </c>
      <c r="J666" s="49" t="n">
        <v>84365</v>
      </c>
      <c r="K666" s="49" t="n">
        <v>82332</v>
      </c>
      <c r="L666" s="50" t="n">
        <v>40</v>
      </c>
      <c r="M666" s="51" t="n">
        <f aca="false">G666-F666</f>
        <v>-11002</v>
      </c>
      <c r="N666" s="52" t="n">
        <f aca="false">IF(F666=0,0,M666/F666)</f>
        <v>-0.017409605190284</v>
      </c>
      <c r="O666" s="51" t="n">
        <f aca="false">G666-I666</f>
        <v>192516</v>
      </c>
      <c r="P666" s="51" t="n">
        <f aca="false">F666-H666</f>
        <v>205700</v>
      </c>
      <c r="Q666" s="51" t="n">
        <f aca="false">F666-H666-J666</f>
        <v>121335</v>
      </c>
      <c r="R666" s="51" t="n">
        <f aca="false">G666-I666-K666</f>
        <v>110184</v>
      </c>
      <c r="S666" s="51" t="n">
        <f aca="false">R666-Q666</f>
        <v>-11151</v>
      </c>
      <c r="T666" s="52" t="n">
        <f aca="false">IF(Q666=0,0,S666/Q666)</f>
        <v>-0.0919025837557176</v>
      </c>
      <c r="U666" s="51" t="str">
        <f aca="false">IF(AND(Q666&gt;0,T666&lt;-0.15),"ADVERSE","")</f>
        <v/>
      </c>
    </row>
    <row r="667" customFormat="false" ht="15" hidden="false" customHeight="false" outlineLevel="0" collapsed="false">
      <c r="A667" s="47" t="s">
        <v>139</v>
      </c>
      <c r="B667" s="47" t="s">
        <v>135</v>
      </c>
      <c r="C667" s="48" t="n">
        <v>45413</v>
      </c>
      <c r="D667" s="47" t="s">
        <v>36</v>
      </c>
      <c r="E667" s="47" t="s">
        <v>40</v>
      </c>
      <c r="F667" s="49" t="n">
        <v>620162</v>
      </c>
      <c r="G667" s="49" t="n">
        <v>614049</v>
      </c>
      <c r="H667" s="49" t="n">
        <v>418299</v>
      </c>
      <c r="I667" s="49" t="n">
        <v>423340</v>
      </c>
      <c r="J667" s="49" t="n">
        <v>82792</v>
      </c>
      <c r="K667" s="49" t="n">
        <v>83029</v>
      </c>
      <c r="L667" s="50" t="n">
        <v>40.2</v>
      </c>
      <c r="M667" s="51" t="n">
        <f aca="false">G667-F667</f>
        <v>-6113</v>
      </c>
      <c r="N667" s="52" t="n">
        <f aca="false">IF(F667=0,0,M667/F667)</f>
        <v>-0.00985710185403169</v>
      </c>
      <c r="O667" s="51" t="n">
        <f aca="false">G667-I667</f>
        <v>190709</v>
      </c>
      <c r="P667" s="51" t="n">
        <f aca="false">F667-H667</f>
        <v>201863</v>
      </c>
      <c r="Q667" s="51" t="n">
        <f aca="false">F667-H667-J667</f>
        <v>119071</v>
      </c>
      <c r="R667" s="51" t="n">
        <f aca="false">G667-I667-K667</f>
        <v>107680</v>
      </c>
      <c r="S667" s="51" t="n">
        <f aca="false">R667-Q667</f>
        <v>-11391</v>
      </c>
      <c r="T667" s="52" t="n">
        <f aca="false">IF(Q667=0,0,S667/Q667)</f>
        <v>-0.0956656112739458</v>
      </c>
      <c r="U667" s="51" t="str">
        <f aca="false">IF(AND(Q667&gt;0,T667&lt;-0.15),"ADVERSE","")</f>
        <v/>
      </c>
    </row>
    <row r="668" customFormat="false" ht="15" hidden="false" customHeight="false" outlineLevel="0" collapsed="false">
      <c r="A668" s="47" t="s">
        <v>139</v>
      </c>
      <c r="B668" s="47" t="s">
        <v>135</v>
      </c>
      <c r="C668" s="48" t="n">
        <v>45444</v>
      </c>
      <c r="D668" s="47" t="s">
        <v>36</v>
      </c>
      <c r="E668" s="47" t="s">
        <v>40</v>
      </c>
      <c r="F668" s="49" t="n">
        <v>638426</v>
      </c>
      <c r="G668" s="49" t="n">
        <v>625122</v>
      </c>
      <c r="H668" s="49" t="n">
        <v>430618</v>
      </c>
      <c r="I668" s="49" t="n">
        <v>420749</v>
      </c>
      <c r="J668" s="49" t="n">
        <v>85230</v>
      </c>
      <c r="K668" s="49" t="n">
        <v>93397</v>
      </c>
      <c r="L668" s="50" t="n">
        <v>40.4</v>
      </c>
      <c r="M668" s="51" t="n">
        <f aca="false">G668-F668</f>
        <v>-13304</v>
      </c>
      <c r="N668" s="52" t="n">
        <f aca="false">IF(F668=0,0,M668/F668)</f>
        <v>-0.0208387503015228</v>
      </c>
      <c r="O668" s="51" t="n">
        <f aca="false">G668-I668</f>
        <v>204373</v>
      </c>
      <c r="P668" s="51" t="n">
        <f aca="false">F668-H668</f>
        <v>207808</v>
      </c>
      <c r="Q668" s="51" t="n">
        <f aca="false">F668-H668-J668</f>
        <v>122578</v>
      </c>
      <c r="R668" s="51" t="n">
        <f aca="false">G668-I668-K668</f>
        <v>110976</v>
      </c>
      <c r="S668" s="51" t="n">
        <f aca="false">R668-Q668</f>
        <v>-11602</v>
      </c>
      <c r="T668" s="52" t="n">
        <f aca="false">IF(Q668=0,0,S668/Q668)</f>
        <v>-0.094649937182855</v>
      </c>
      <c r="U668" s="51" t="str">
        <f aca="false">IF(AND(Q668&gt;0,T668&lt;-0.15),"ADVERSE","")</f>
        <v/>
      </c>
    </row>
    <row r="669" customFormat="false" ht="15" hidden="false" customHeight="false" outlineLevel="0" collapsed="false">
      <c r="A669" s="47" t="s">
        <v>139</v>
      </c>
      <c r="B669" s="47" t="s">
        <v>136</v>
      </c>
      <c r="C669" s="48" t="n">
        <v>45474</v>
      </c>
      <c r="D669" s="47" t="s">
        <v>36</v>
      </c>
      <c r="E669" s="47" t="s">
        <v>40</v>
      </c>
      <c r="F669" s="49" t="n">
        <v>658274</v>
      </c>
      <c r="G669" s="49" t="n">
        <v>641711</v>
      </c>
      <c r="H669" s="49" t="n">
        <v>444006</v>
      </c>
      <c r="I669" s="49" t="n">
        <v>446261</v>
      </c>
      <c r="J669" s="49" t="n">
        <v>87880</v>
      </c>
      <c r="K669" s="49" t="n">
        <v>88702</v>
      </c>
      <c r="L669" s="50" t="n">
        <v>40.4</v>
      </c>
      <c r="M669" s="51" t="n">
        <f aca="false">G669-F669</f>
        <v>-16563</v>
      </c>
      <c r="N669" s="52" t="n">
        <f aca="false">IF(F669=0,0,M669/F669)</f>
        <v>-0.0251612550396947</v>
      </c>
      <c r="O669" s="51" t="n">
        <f aca="false">G669-I669</f>
        <v>195450</v>
      </c>
      <c r="P669" s="51" t="n">
        <f aca="false">F669-H669</f>
        <v>214268</v>
      </c>
      <c r="Q669" s="51" t="n">
        <f aca="false">F669-H669-J669</f>
        <v>126388</v>
      </c>
      <c r="R669" s="51" t="n">
        <f aca="false">G669-I669-K669</f>
        <v>106748</v>
      </c>
      <c r="S669" s="51" t="n">
        <f aca="false">R669-Q669</f>
        <v>-19640</v>
      </c>
      <c r="T669" s="52" t="n">
        <f aca="false">IF(Q669=0,0,S669/Q669)</f>
        <v>-0.155394499477799</v>
      </c>
      <c r="U669" s="51" t="str">
        <f aca="false">IF(AND(Q669&gt;0,T669&lt;-0.15),"ADVERSE","")</f>
        <v>ADVERSE</v>
      </c>
    </row>
    <row r="670" customFormat="false" ht="15" hidden="false" customHeight="false" outlineLevel="0" collapsed="false">
      <c r="A670" s="47" t="s">
        <v>139</v>
      </c>
      <c r="B670" s="47" t="s">
        <v>136</v>
      </c>
      <c r="C670" s="48" t="n">
        <v>45505</v>
      </c>
      <c r="D670" s="47" t="s">
        <v>36</v>
      </c>
      <c r="E670" s="47" t="s">
        <v>40</v>
      </c>
      <c r="F670" s="49" t="n">
        <v>625247</v>
      </c>
      <c r="G670" s="49" t="n">
        <v>643661</v>
      </c>
      <c r="H670" s="49" t="n">
        <v>421729</v>
      </c>
      <c r="I670" s="49" t="n">
        <v>435615</v>
      </c>
      <c r="J670" s="49" t="n">
        <v>83471</v>
      </c>
      <c r="K670" s="49" t="n">
        <v>81343</v>
      </c>
      <c r="L670" s="50" t="n">
        <v>40.9</v>
      </c>
      <c r="M670" s="51" t="n">
        <f aca="false">G670-F670</f>
        <v>18414</v>
      </c>
      <c r="N670" s="52" t="n">
        <f aca="false">IF(F670=0,0,M670/F670)</f>
        <v>0.0294507610592294</v>
      </c>
      <c r="O670" s="51" t="n">
        <f aca="false">G670-I670</f>
        <v>208046</v>
      </c>
      <c r="P670" s="51" t="n">
        <f aca="false">F670-H670</f>
        <v>203518</v>
      </c>
      <c r="Q670" s="51" t="n">
        <f aca="false">F670-H670-J670</f>
        <v>120047</v>
      </c>
      <c r="R670" s="51" t="n">
        <f aca="false">G670-I670-K670</f>
        <v>126703</v>
      </c>
      <c r="S670" s="51" t="n">
        <f aca="false">R670-Q670</f>
        <v>6656</v>
      </c>
      <c r="T670" s="52" t="n">
        <f aca="false">IF(Q670=0,0,S670/Q670)</f>
        <v>0.0554449507276317</v>
      </c>
      <c r="U670" s="51" t="str">
        <f aca="false">IF(AND(Q670&gt;0,T670&lt;-0.15),"ADVERSE","")</f>
        <v/>
      </c>
    </row>
    <row r="671" customFormat="false" ht="15" hidden="false" customHeight="false" outlineLevel="0" collapsed="false">
      <c r="A671" s="47" t="s">
        <v>139</v>
      </c>
      <c r="B671" s="47" t="s">
        <v>136</v>
      </c>
      <c r="C671" s="48" t="n">
        <v>45536</v>
      </c>
      <c r="D671" s="47" t="s">
        <v>36</v>
      </c>
      <c r="E671" s="47" t="s">
        <v>40</v>
      </c>
      <c r="F671" s="49" t="n">
        <v>641851</v>
      </c>
      <c r="G671" s="49" t="n">
        <v>617587</v>
      </c>
      <c r="H671" s="49" t="n">
        <v>432929</v>
      </c>
      <c r="I671" s="49" t="n">
        <v>424178</v>
      </c>
      <c r="J671" s="49" t="n">
        <v>85687</v>
      </c>
      <c r="K671" s="49" t="n">
        <v>85264</v>
      </c>
      <c r="L671" s="50" t="n">
        <v>39.7</v>
      </c>
      <c r="M671" s="51" t="n">
        <f aca="false">G671-F671</f>
        <v>-24264</v>
      </c>
      <c r="N671" s="52" t="n">
        <f aca="false">IF(F671=0,0,M671/F671)</f>
        <v>-0.037803166155385</v>
      </c>
      <c r="O671" s="51" t="n">
        <f aca="false">G671-I671</f>
        <v>193409</v>
      </c>
      <c r="P671" s="51" t="n">
        <f aca="false">F671-H671</f>
        <v>208922</v>
      </c>
      <c r="Q671" s="51" t="n">
        <f aca="false">F671-H671-J671</f>
        <v>123235</v>
      </c>
      <c r="R671" s="51" t="n">
        <f aca="false">G671-I671-K671</f>
        <v>108145</v>
      </c>
      <c r="S671" s="51" t="n">
        <f aca="false">R671-Q671</f>
        <v>-15090</v>
      </c>
      <c r="T671" s="52" t="n">
        <f aca="false">IF(Q671=0,0,S671/Q671)</f>
        <v>-0.122448979591837</v>
      </c>
      <c r="U671" s="51" t="str">
        <f aca="false">IF(AND(Q671&gt;0,T671&lt;-0.15),"ADVERSE","")</f>
        <v/>
      </c>
    </row>
    <row r="672" customFormat="false" ht="15" hidden="false" customHeight="false" outlineLevel="0" collapsed="false">
      <c r="A672" s="47" t="s">
        <v>139</v>
      </c>
      <c r="B672" s="47" t="s">
        <v>137</v>
      </c>
      <c r="C672" s="48" t="n">
        <v>45566</v>
      </c>
      <c r="D672" s="47" t="s">
        <v>36</v>
      </c>
      <c r="E672" s="47" t="s">
        <v>40</v>
      </c>
      <c r="F672" s="49" t="n">
        <v>644815</v>
      </c>
      <c r="G672" s="49" t="n">
        <v>652042</v>
      </c>
      <c r="H672" s="49" t="n">
        <v>434928</v>
      </c>
      <c r="I672" s="49" t="n">
        <v>446849</v>
      </c>
      <c r="J672" s="49" t="n">
        <v>86083</v>
      </c>
      <c r="K672" s="49" t="n">
        <v>82987</v>
      </c>
      <c r="L672" s="50" t="n">
        <v>40.2</v>
      </c>
      <c r="M672" s="51" t="n">
        <f aca="false">G672-F672</f>
        <v>7227</v>
      </c>
      <c r="N672" s="52" t="n">
        <f aca="false">IF(F672=0,0,M672/F672)</f>
        <v>0.0112078658219799</v>
      </c>
      <c r="O672" s="51" t="n">
        <f aca="false">G672-I672</f>
        <v>205193</v>
      </c>
      <c r="P672" s="51" t="n">
        <f aca="false">F672-H672</f>
        <v>209887</v>
      </c>
      <c r="Q672" s="51" t="n">
        <f aca="false">F672-H672-J672</f>
        <v>123804</v>
      </c>
      <c r="R672" s="51" t="n">
        <f aca="false">G672-I672-K672</f>
        <v>122206</v>
      </c>
      <c r="S672" s="51" t="n">
        <f aca="false">R672-Q672</f>
        <v>-1598</v>
      </c>
      <c r="T672" s="52" t="n">
        <f aca="false">IF(Q672=0,0,S672/Q672)</f>
        <v>-0.0129074989499532</v>
      </c>
      <c r="U672" s="51" t="str">
        <f aca="false">IF(AND(Q672&gt;0,T672&lt;-0.15),"ADVERSE","")</f>
        <v/>
      </c>
    </row>
    <row r="673" customFormat="false" ht="15" hidden="false" customHeight="false" outlineLevel="0" collapsed="false">
      <c r="A673" s="47" t="s">
        <v>139</v>
      </c>
      <c r="B673" s="47" t="s">
        <v>137</v>
      </c>
      <c r="C673" s="48" t="n">
        <v>45597</v>
      </c>
      <c r="D673" s="47" t="s">
        <v>36</v>
      </c>
      <c r="E673" s="47" t="s">
        <v>40</v>
      </c>
      <c r="F673" s="49" t="n">
        <v>654418</v>
      </c>
      <c r="G673" s="49" t="n">
        <v>638349</v>
      </c>
      <c r="H673" s="49" t="n">
        <v>441405</v>
      </c>
      <c r="I673" s="49" t="n">
        <v>439587</v>
      </c>
      <c r="J673" s="49" t="n">
        <v>87365</v>
      </c>
      <c r="K673" s="49" t="n">
        <v>79663</v>
      </c>
      <c r="L673" s="50" t="n">
        <v>39.6</v>
      </c>
      <c r="M673" s="51" t="n">
        <f aca="false">G673-F673</f>
        <v>-16069</v>
      </c>
      <c r="N673" s="52" t="n">
        <f aca="false">IF(F673=0,0,M673/F673)</f>
        <v>-0.024554642445654</v>
      </c>
      <c r="O673" s="51" t="n">
        <f aca="false">G673-I673</f>
        <v>198762</v>
      </c>
      <c r="P673" s="51" t="n">
        <f aca="false">F673-H673</f>
        <v>213013</v>
      </c>
      <c r="Q673" s="51" t="n">
        <f aca="false">F673-H673-J673</f>
        <v>125648</v>
      </c>
      <c r="R673" s="51" t="n">
        <f aca="false">G673-I673-K673</f>
        <v>119099</v>
      </c>
      <c r="S673" s="51" t="n">
        <f aca="false">R673-Q673</f>
        <v>-6549</v>
      </c>
      <c r="T673" s="52" t="n">
        <f aca="false">IF(Q673=0,0,S673/Q673)</f>
        <v>-0.0521218005857634</v>
      </c>
      <c r="U673" s="51" t="str">
        <f aca="false">IF(AND(Q673&gt;0,T673&lt;-0.15),"ADVERSE","")</f>
        <v/>
      </c>
    </row>
    <row r="674" customFormat="false" ht="15" hidden="false" customHeight="false" outlineLevel="0" collapsed="false">
      <c r="A674" s="47" t="s">
        <v>139</v>
      </c>
      <c r="B674" s="47" t="s">
        <v>137</v>
      </c>
      <c r="C674" s="48" t="n">
        <v>45627</v>
      </c>
      <c r="D674" s="47" t="s">
        <v>36</v>
      </c>
      <c r="E674" s="47" t="s">
        <v>40</v>
      </c>
      <c r="F674" s="49" t="n">
        <v>647077</v>
      </c>
      <c r="G674" s="49" t="n">
        <v>619965</v>
      </c>
      <c r="H674" s="49" t="n">
        <v>436453</v>
      </c>
      <c r="I674" s="49" t="n">
        <v>427423</v>
      </c>
      <c r="J674" s="49" t="n">
        <v>86385</v>
      </c>
      <c r="K674" s="49" t="n">
        <v>77519</v>
      </c>
      <c r="L674" s="50" t="n">
        <v>41.1</v>
      </c>
      <c r="M674" s="51" t="n">
        <f aca="false">G674-F674</f>
        <v>-27112</v>
      </c>
      <c r="N674" s="52" t="n">
        <f aca="false">IF(F674=0,0,M674/F674)</f>
        <v>-0.0418991866501205</v>
      </c>
      <c r="O674" s="51" t="n">
        <f aca="false">G674-I674</f>
        <v>192542</v>
      </c>
      <c r="P674" s="51" t="n">
        <f aca="false">F674-H674</f>
        <v>210624</v>
      </c>
      <c r="Q674" s="51" t="n">
        <f aca="false">F674-H674-J674</f>
        <v>124239</v>
      </c>
      <c r="R674" s="51" t="n">
        <f aca="false">G674-I674-K674</f>
        <v>115023</v>
      </c>
      <c r="S674" s="51" t="n">
        <f aca="false">R674-Q674</f>
        <v>-9216</v>
      </c>
      <c r="T674" s="52" t="n">
        <f aca="false">IF(Q674=0,0,S674/Q674)</f>
        <v>-0.074179605437906</v>
      </c>
      <c r="U674" s="51" t="str">
        <f aca="false">IF(AND(Q674&gt;0,T674&lt;-0.15),"ADVERSE","")</f>
        <v/>
      </c>
    </row>
    <row r="675" customFormat="false" ht="15" hidden="false" customHeight="false" outlineLevel="0" collapsed="false">
      <c r="A675" s="47" t="s">
        <v>139</v>
      </c>
      <c r="B675" s="47" t="s">
        <v>138</v>
      </c>
      <c r="C675" s="48" t="n">
        <v>45658</v>
      </c>
      <c r="D675" s="47" t="s">
        <v>36</v>
      </c>
      <c r="E675" s="47" t="s">
        <v>40</v>
      </c>
      <c r="F675" s="49" t="n">
        <v>637364</v>
      </c>
      <c r="G675" s="49" t="n">
        <v>604304</v>
      </c>
      <c r="H675" s="49" t="n">
        <v>429902</v>
      </c>
      <c r="I675" s="49" t="n">
        <v>418606</v>
      </c>
      <c r="J675" s="49" t="n">
        <v>85088</v>
      </c>
      <c r="K675" s="49" t="n">
        <v>85890</v>
      </c>
      <c r="L675" s="50" t="n">
        <v>40.7</v>
      </c>
      <c r="M675" s="51" t="n">
        <f aca="false">G675-F675</f>
        <v>-33060</v>
      </c>
      <c r="N675" s="52" t="n">
        <f aca="false">IF(F675=0,0,M675/F675)</f>
        <v>-0.0518698891057543</v>
      </c>
      <c r="O675" s="51" t="n">
        <f aca="false">G675-I675</f>
        <v>185698</v>
      </c>
      <c r="P675" s="51" t="n">
        <f aca="false">F675-H675</f>
        <v>207462</v>
      </c>
      <c r="Q675" s="51" t="n">
        <f aca="false">F675-H675-J675</f>
        <v>122374</v>
      </c>
      <c r="R675" s="51" t="n">
        <f aca="false">G675-I675-K675</f>
        <v>99808</v>
      </c>
      <c r="S675" s="51" t="n">
        <f aca="false">R675-Q675</f>
        <v>-22566</v>
      </c>
      <c r="T675" s="52" t="n">
        <f aca="false">IF(Q675=0,0,S675/Q675)</f>
        <v>-0.184401915439554</v>
      </c>
      <c r="U675" s="51" t="str">
        <f aca="false">IF(AND(Q675&gt;0,T675&lt;-0.15),"ADVERSE","")</f>
        <v>ADVERSE</v>
      </c>
    </row>
    <row r="676" customFormat="false" ht="15" hidden="false" customHeight="false" outlineLevel="0" collapsed="false">
      <c r="A676" s="47" t="s">
        <v>139</v>
      </c>
      <c r="B676" s="47" t="s">
        <v>138</v>
      </c>
      <c r="C676" s="48" t="n">
        <v>45689</v>
      </c>
      <c r="D676" s="47" t="s">
        <v>36</v>
      </c>
      <c r="E676" s="47" t="s">
        <v>40</v>
      </c>
      <c r="F676" s="49" t="n">
        <v>634107</v>
      </c>
      <c r="G676" s="49" t="n">
        <v>603922</v>
      </c>
      <c r="H676" s="49" t="n">
        <v>427705</v>
      </c>
      <c r="I676" s="49" t="n">
        <v>419239</v>
      </c>
      <c r="J676" s="49" t="n">
        <v>84653</v>
      </c>
      <c r="K676" s="49" t="n">
        <v>80346</v>
      </c>
      <c r="L676" s="50" t="n">
        <v>39.3</v>
      </c>
      <c r="M676" s="51" t="n">
        <f aca="false">G676-F676</f>
        <v>-30185</v>
      </c>
      <c r="N676" s="52" t="n">
        <f aca="false">IF(F676=0,0,M676/F676)</f>
        <v>-0.0476023762551115</v>
      </c>
      <c r="O676" s="51" t="n">
        <f aca="false">G676-I676</f>
        <v>184683</v>
      </c>
      <c r="P676" s="51" t="n">
        <f aca="false">F676-H676</f>
        <v>206402</v>
      </c>
      <c r="Q676" s="51" t="n">
        <f aca="false">F676-H676-J676</f>
        <v>121749</v>
      </c>
      <c r="R676" s="51" t="n">
        <f aca="false">G676-I676-K676</f>
        <v>104337</v>
      </c>
      <c r="S676" s="51" t="n">
        <f aca="false">R676-Q676</f>
        <v>-17412</v>
      </c>
      <c r="T676" s="52" t="n">
        <f aca="false">IF(Q676=0,0,S676/Q676)</f>
        <v>-0.143015548382328</v>
      </c>
      <c r="U676" s="51" t="str">
        <f aca="false">IF(AND(Q676&gt;0,T676&lt;-0.15),"ADVERSE","")</f>
        <v/>
      </c>
    </row>
    <row r="677" customFormat="false" ht="15" hidden="false" customHeight="false" outlineLevel="0" collapsed="false">
      <c r="A677" s="47" t="s">
        <v>139</v>
      </c>
      <c r="B677" s="47" t="s">
        <v>138</v>
      </c>
      <c r="C677" s="48" t="n">
        <v>45717</v>
      </c>
      <c r="D677" s="47" t="s">
        <v>36</v>
      </c>
      <c r="E677" s="47" t="s">
        <v>40</v>
      </c>
      <c r="F677" s="49" t="n">
        <v>691534</v>
      </c>
      <c r="G677" s="49" t="n">
        <v>664838</v>
      </c>
      <c r="H677" s="49" t="n">
        <v>466440</v>
      </c>
      <c r="I677" s="49" t="n">
        <v>459268</v>
      </c>
      <c r="J677" s="49" t="n">
        <v>92320</v>
      </c>
      <c r="K677" s="49" t="n">
        <v>92633</v>
      </c>
      <c r="L677" s="50" t="n">
        <v>41.7</v>
      </c>
      <c r="M677" s="51" t="n">
        <f aca="false">G677-F677</f>
        <v>-26696</v>
      </c>
      <c r="N677" s="52" t="n">
        <f aca="false">IF(F677=0,0,M677/F677)</f>
        <v>-0.0386040310382425</v>
      </c>
      <c r="O677" s="51" t="n">
        <f aca="false">G677-I677</f>
        <v>205570</v>
      </c>
      <c r="P677" s="51" t="n">
        <f aca="false">F677-H677</f>
        <v>225094</v>
      </c>
      <c r="Q677" s="51" t="n">
        <f aca="false">F677-H677-J677</f>
        <v>132774</v>
      </c>
      <c r="R677" s="51" t="n">
        <f aca="false">G677-I677-K677</f>
        <v>112937</v>
      </c>
      <c r="S677" s="51" t="n">
        <f aca="false">R677-Q677</f>
        <v>-19837</v>
      </c>
      <c r="T677" s="52" t="n">
        <f aca="false">IF(Q677=0,0,S677/Q677)</f>
        <v>-0.149404250832241</v>
      </c>
      <c r="U677" s="51" t="str">
        <f aca="false">IF(AND(Q677&gt;0,T677&lt;-0.15),"ADVERSE","")</f>
        <v/>
      </c>
    </row>
    <row r="678" customFormat="false" ht="15" hidden="false" customHeight="false" outlineLevel="0" collapsed="false">
      <c r="A678" s="47" t="s">
        <v>3</v>
      </c>
      <c r="B678" s="47" t="s">
        <v>135</v>
      </c>
      <c r="C678" s="48" t="n">
        <v>45748</v>
      </c>
      <c r="D678" s="47" t="s">
        <v>36</v>
      </c>
      <c r="E678" s="47" t="s">
        <v>40</v>
      </c>
      <c r="F678" s="49" t="n">
        <v>677236</v>
      </c>
      <c r="G678" s="49" t="n">
        <v>595378</v>
      </c>
      <c r="H678" s="49" t="n">
        <v>456796</v>
      </c>
      <c r="I678" s="49" t="n">
        <v>418497</v>
      </c>
      <c r="J678" s="49" t="n">
        <v>90411</v>
      </c>
      <c r="K678" s="49" t="n">
        <v>80417</v>
      </c>
      <c r="L678" s="50" t="n">
        <v>39.7</v>
      </c>
      <c r="M678" s="51" t="n">
        <f aca="false">G678-F678</f>
        <v>-81858</v>
      </c>
      <c r="N678" s="52" t="n">
        <f aca="false">IF(F678=0,0,M678/F678)</f>
        <v>-0.120870715673709</v>
      </c>
      <c r="O678" s="51" t="n">
        <f aca="false">G678-I678</f>
        <v>176881</v>
      </c>
      <c r="P678" s="51" t="n">
        <f aca="false">F678-H678</f>
        <v>220440</v>
      </c>
      <c r="Q678" s="51" t="n">
        <f aca="false">F678-H678-J678</f>
        <v>130029</v>
      </c>
      <c r="R678" s="51" t="n">
        <f aca="false">G678-I678-K678</f>
        <v>96464</v>
      </c>
      <c r="S678" s="51" t="n">
        <f aca="false">R678-Q678</f>
        <v>-33565</v>
      </c>
      <c r="T678" s="52" t="n">
        <f aca="false">IF(Q678=0,0,S678/Q678)</f>
        <v>-0.258134723792385</v>
      </c>
      <c r="U678" s="51" t="str">
        <f aca="false">IF(AND(Q678&gt;0,T678&lt;-0.15),"ADVERSE","")</f>
        <v>ADVERSE</v>
      </c>
    </row>
    <row r="679" customFormat="false" ht="15" hidden="false" customHeight="false" outlineLevel="0" collapsed="false">
      <c r="A679" s="47" t="s">
        <v>3</v>
      </c>
      <c r="B679" s="47" t="s">
        <v>135</v>
      </c>
      <c r="C679" s="48" t="n">
        <v>45778</v>
      </c>
      <c r="D679" s="47" t="s">
        <v>36</v>
      </c>
      <c r="E679" s="47" t="s">
        <v>40</v>
      </c>
      <c r="F679" s="49" t="n">
        <v>664927</v>
      </c>
      <c r="G679" s="49" t="n">
        <v>624439</v>
      </c>
      <c r="H679" s="49" t="n">
        <v>448494</v>
      </c>
      <c r="I679" s="49" t="n">
        <v>435117</v>
      </c>
      <c r="J679" s="49" t="n">
        <v>88768</v>
      </c>
      <c r="K679" s="49" t="n">
        <v>82622</v>
      </c>
      <c r="L679" s="50" t="n">
        <v>40.2</v>
      </c>
      <c r="M679" s="51" t="n">
        <f aca="false">G679-F679</f>
        <v>-40488</v>
      </c>
      <c r="N679" s="52" t="n">
        <f aca="false">IF(F679=0,0,M679/F679)</f>
        <v>-0.0608908947899544</v>
      </c>
      <c r="O679" s="51" t="n">
        <f aca="false">G679-I679</f>
        <v>189322</v>
      </c>
      <c r="P679" s="51" t="n">
        <f aca="false">F679-H679</f>
        <v>216433</v>
      </c>
      <c r="Q679" s="51" t="n">
        <f aca="false">F679-H679-J679</f>
        <v>127665</v>
      </c>
      <c r="R679" s="51" t="n">
        <f aca="false">G679-I679-K679</f>
        <v>106700</v>
      </c>
      <c r="S679" s="51" t="n">
        <f aca="false">R679-Q679</f>
        <v>-20965</v>
      </c>
      <c r="T679" s="52" t="n">
        <f aca="false">IF(Q679=0,0,S679/Q679)</f>
        <v>-0.164218854032037</v>
      </c>
      <c r="U679" s="51" t="str">
        <f aca="false">IF(AND(Q679&gt;0,T679&lt;-0.15),"ADVERSE","")</f>
        <v>ADVERSE</v>
      </c>
    </row>
    <row r="680" customFormat="false" ht="15" hidden="false" customHeight="false" outlineLevel="0" collapsed="false">
      <c r="A680" s="47" t="s">
        <v>3</v>
      </c>
      <c r="B680" s="47" t="s">
        <v>135</v>
      </c>
      <c r="C680" s="48" t="n">
        <v>45809</v>
      </c>
      <c r="D680" s="47" t="s">
        <v>36</v>
      </c>
      <c r="E680" s="47" t="s">
        <v>40</v>
      </c>
      <c r="F680" s="49" t="n">
        <v>680830</v>
      </c>
      <c r="G680" s="49" t="n">
        <v>618719</v>
      </c>
      <c r="H680" s="49" t="n">
        <v>459220</v>
      </c>
      <c r="I680" s="49" t="n">
        <v>434142</v>
      </c>
      <c r="J680" s="49" t="n">
        <v>90891</v>
      </c>
      <c r="K680" s="49" t="n">
        <v>87128</v>
      </c>
      <c r="L680" s="50" t="n">
        <v>40.1</v>
      </c>
      <c r="M680" s="51" t="n">
        <f aca="false">G680-F680</f>
        <v>-62111</v>
      </c>
      <c r="N680" s="52" t="n">
        <f aca="false">IF(F680=0,0,M680/F680)</f>
        <v>-0.0912283536271903</v>
      </c>
      <c r="O680" s="51" t="n">
        <f aca="false">G680-I680</f>
        <v>184577</v>
      </c>
      <c r="P680" s="51" t="n">
        <f aca="false">F680-H680</f>
        <v>221610</v>
      </c>
      <c r="Q680" s="51" t="n">
        <f aca="false">F680-H680-J680</f>
        <v>130719</v>
      </c>
      <c r="R680" s="51" t="n">
        <f aca="false">G680-I680-K680</f>
        <v>97449</v>
      </c>
      <c r="S680" s="51" t="n">
        <f aca="false">R680-Q680</f>
        <v>-33270</v>
      </c>
      <c r="T680" s="52" t="n">
        <f aca="false">IF(Q680=0,0,S680/Q680)</f>
        <v>-0.254515410919606</v>
      </c>
      <c r="U680" s="51" t="str">
        <f aca="false">IF(AND(Q680&gt;0,T680&lt;-0.15),"ADVERSE","")</f>
        <v>ADVERSE</v>
      </c>
    </row>
    <row r="681" customFormat="false" ht="15" hidden="false" customHeight="false" outlineLevel="0" collapsed="false">
      <c r="A681" s="47" t="s">
        <v>3</v>
      </c>
      <c r="B681" s="47" t="s">
        <v>136</v>
      </c>
      <c r="C681" s="48" t="n">
        <v>45839</v>
      </c>
      <c r="D681" s="47" t="s">
        <v>36</v>
      </c>
      <c r="E681" s="47" t="s">
        <v>40</v>
      </c>
      <c r="F681" s="49" t="n">
        <v>702414</v>
      </c>
      <c r="G681" s="49" t="n">
        <v>673745</v>
      </c>
      <c r="H681" s="49" t="n">
        <v>473778</v>
      </c>
      <c r="I681" s="49" t="n">
        <v>470193</v>
      </c>
      <c r="J681" s="49" t="n">
        <v>93772</v>
      </c>
      <c r="K681" s="49" t="n">
        <v>95628</v>
      </c>
      <c r="L681" s="50" t="n">
        <v>39.9</v>
      </c>
      <c r="M681" s="51" t="n">
        <f aca="false">G681-F681</f>
        <v>-28669</v>
      </c>
      <c r="N681" s="52" t="n">
        <f aca="false">IF(F681=0,0,M681/F681)</f>
        <v>-0.0408149609774293</v>
      </c>
      <c r="O681" s="51" t="n">
        <f aca="false">G681-I681</f>
        <v>203552</v>
      </c>
      <c r="P681" s="51" t="n">
        <f aca="false">F681-H681</f>
        <v>228636</v>
      </c>
      <c r="Q681" s="51" t="n">
        <f aca="false">F681-H681-J681</f>
        <v>134864</v>
      </c>
      <c r="R681" s="51" t="n">
        <f aca="false">G681-I681-K681</f>
        <v>107924</v>
      </c>
      <c r="S681" s="51" t="n">
        <f aca="false">R681-Q681</f>
        <v>-26940</v>
      </c>
      <c r="T681" s="52" t="n">
        <f aca="false">IF(Q681=0,0,S681/Q681)</f>
        <v>-0.199756792027524</v>
      </c>
      <c r="U681" s="51" t="str">
        <f aca="false">IF(AND(Q681&gt;0,T681&lt;-0.15),"ADVERSE","")</f>
        <v>ADVERSE</v>
      </c>
    </row>
    <row r="682" customFormat="false" ht="15" hidden="false" customHeight="false" outlineLevel="0" collapsed="false">
      <c r="A682" s="47" t="s">
        <v>3</v>
      </c>
      <c r="B682" s="47" t="s">
        <v>136</v>
      </c>
      <c r="C682" s="48" t="n">
        <v>45870</v>
      </c>
      <c r="D682" s="47" t="s">
        <v>36</v>
      </c>
      <c r="E682" s="47" t="s">
        <v>40</v>
      </c>
      <c r="F682" s="49" t="n">
        <v>664825</v>
      </c>
      <c r="G682" s="49" t="n">
        <v>670965</v>
      </c>
      <c r="H682" s="49" t="n">
        <v>448424</v>
      </c>
      <c r="I682" s="49" t="n">
        <v>474329</v>
      </c>
      <c r="J682" s="49" t="n">
        <v>88754</v>
      </c>
      <c r="K682" s="49" t="n">
        <v>91799</v>
      </c>
      <c r="L682" s="50" t="n">
        <v>39.7</v>
      </c>
      <c r="M682" s="51" t="n">
        <f aca="false">G682-F682</f>
        <v>6140</v>
      </c>
      <c r="N682" s="52" t="n">
        <f aca="false">IF(F682=0,0,M682/F682)</f>
        <v>0.00923551310495243</v>
      </c>
      <c r="O682" s="51" t="n">
        <f aca="false">G682-I682</f>
        <v>196636</v>
      </c>
      <c r="P682" s="51" t="n">
        <f aca="false">F682-H682</f>
        <v>216401</v>
      </c>
      <c r="Q682" s="51" t="n">
        <f aca="false">F682-H682-J682</f>
        <v>127647</v>
      </c>
      <c r="R682" s="51" t="n">
        <f aca="false">G682-I682-K682</f>
        <v>104837</v>
      </c>
      <c r="S682" s="51" t="n">
        <f aca="false">R682-Q682</f>
        <v>-22810</v>
      </c>
      <c r="T682" s="52" t="n">
        <f aca="false">IF(Q682=0,0,S682/Q682)</f>
        <v>-0.178695934882919</v>
      </c>
      <c r="U682" s="51" t="str">
        <f aca="false">IF(AND(Q682&gt;0,T682&lt;-0.15),"ADVERSE","")</f>
        <v>ADVERSE</v>
      </c>
    </row>
    <row r="683" customFormat="false" ht="15" hidden="false" customHeight="false" outlineLevel="0" collapsed="false">
      <c r="A683" s="47" t="s">
        <v>3</v>
      </c>
      <c r="B683" s="47" t="s">
        <v>136</v>
      </c>
      <c r="C683" s="48" t="n">
        <v>45901</v>
      </c>
      <c r="D683" s="47" t="s">
        <v>36</v>
      </c>
      <c r="E683" s="47" t="s">
        <v>40</v>
      </c>
      <c r="F683" s="49" t="n">
        <v>676317</v>
      </c>
      <c r="G683" s="49" t="n">
        <v>644015</v>
      </c>
      <c r="H683" s="49" t="n">
        <v>456175</v>
      </c>
      <c r="I683" s="49" t="n">
        <v>453677</v>
      </c>
      <c r="J683" s="49" t="n">
        <v>90288</v>
      </c>
      <c r="K683" s="49" t="n">
        <v>83741</v>
      </c>
      <c r="L683" s="50" t="n">
        <v>38.9</v>
      </c>
      <c r="M683" s="51" t="n">
        <f aca="false">G683-F683</f>
        <v>-32302</v>
      </c>
      <c r="N683" s="52" t="n">
        <f aca="false">IF(F683=0,0,M683/F683)</f>
        <v>-0.0477616265745205</v>
      </c>
      <c r="O683" s="51" t="n">
        <f aca="false">G683-I683</f>
        <v>190338</v>
      </c>
      <c r="P683" s="51" t="n">
        <f aca="false">F683-H683</f>
        <v>220142</v>
      </c>
      <c r="Q683" s="51" t="n">
        <f aca="false">F683-H683-J683</f>
        <v>129854</v>
      </c>
      <c r="R683" s="51" t="n">
        <f aca="false">G683-I683-K683</f>
        <v>106597</v>
      </c>
      <c r="S683" s="51" t="n">
        <f aca="false">R683-Q683</f>
        <v>-23257</v>
      </c>
      <c r="T683" s="52" t="n">
        <f aca="false">IF(Q683=0,0,S683/Q683)</f>
        <v>-0.17910114436213</v>
      </c>
      <c r="U683" s="51" t="str">
        <f aca="false">IF(AND(Q683&gt;0,T683&lt;-0.15),"ADVERSE","")</f>
        <v>ADVERSE</v>
      </c>
    </row>
    <row r="684" customFormat="false" ht="15" hidden="false" customHeight="false" outlineLevel="0" collapsed="false">
      <c r="A684" s="47" t="s">
        <v>3</v>
      </c>
      <c r="B684" s="47" t="s">
        <v>137</v>
      </c>
      <c r="C684" s="48" t="n">
        <v>45931</v>
      </c>
      <c r="D684" s="47" t="s">
        <v>36</v>
      </c>
      <c r="E684" s="47" t="s">
        <v>40</v>
      </c>
      <c r="F684" s="49" t="n">
        <v>696577</v>
      </c>
      <c r="G684" s="49" t="n">
        <v>651467</v>
      </c>
      <c r="H684" s="49" t="n">
        <v>469841</v>
      </c>
      <c r="I684" s="49" t="n">
        <v>457916</v>
      </c>
      <c r="J684" s="49" t="n">
        <v>92993</v>
      </c>
      <c r="K684" s="49" t="n">
        <v>84614</v>
      </c>
      <c r="L684" s="50" t="n">
        <v>40.6</v>
      </c>
      <c r="M684" s="51" t="n">
        <f aca="false">G684-F684</f>
        <v>-45110</v>
      </c>
      <c r="N684" s="52" t="n">
        <f aca="false">IF(F684=0,0,M684/F684)</f>
        <v>-0.0647595312506729</v>
      </c>
      <c r="O684" s="51" t="n">
        <f aca="false">G684-I684</f>
        <v>193551</v>
      </c>
      <c r="P684" s="51" t="n">
        <f aca="false">F684-H684</f>
        <v>226736</v>
      </c>
      <c r="Q684" s="51" t="n">
        <f aca="false">F684-H684-J684</f>
        <v>133743</v>
      </c>
      <c r="R684" s="51" t="n">
        <f aca="false">G684-I684-K684</f>
        <v>108937</v>
      </c>
      <c r="S684" s="51" t="n">
        <f aca="false">R684-Q684</f>
        <v>-24806</v>
      </c>
      <c r="T684" s="52" t="n">
        <f aca="false">IF(Q684=0,0,S684/Q684)</f>
        <v>-0.185475127670233</v>
      </c>
      <c r="U684" s="51" t="str">
        <f aca="false">IF(AND(Q684&gt;0,T684&lt;-0.15),"ADVERSE","")</f>
        <v>ADVERSE</v>
      </c>
    </row>
    <row r="685" customFormat="false" ht="15" hidden="false" customHeight="false" outlineLevel="0" collapsed="false">
      <c r="A685" s="47" t="s">
        <v>3</v>
      </c>
      <c r="B685" s="47" t="s">
        <v>137</v>
      </c>
      <c r="C685" s="48" t="n">
        <v>45962</v>
      </c>
      <c r="D685" s="47" t="s">
        <v>36</v>
      </c>
      <c r="E685" s="47" t="s">
        <v>40</v>
      </c>
      <c r="F685" s="49" t="n">
        <v>689287</v>
      </c>
      <c r="G685" s="49" t="n">
        <v>639416</v>
      </c>
      <c r="H685" s="49" t="n">
        <v>464924</v>
      </c>
      <c r="I685" s="49" t="n">
        <v>448576</v>
      </c>
      <c r="J685" s="49" t="n">
        <v>92020</v>
      </c>
      <c r="K685" s="49" t="n">
        <v>85270</v>
      </c>
      <c r="L685" s="50" t="n">
        <v>40.6</v>
      </c>
      <c r="M685" s="51" t="n">
        <f aca="false">G685-F685</f>
        <v>-49871</v>
      </c>
      <c r="N685" s="52" t="n">
        <f aca="false">IF(F685=0,0,M685/F685)</f>
        <v>-0.0723515748882541</v>
      </c>
      <c r="O685" s="51" t="n">
        <f aca="false">G685-I685</f>
        <v>190840</v>
      </c>
      <c r="P685" s="51" t="n">
        <f aca="false">F685-H685</f>
        <v>224363</v>
      </c>
      <c r="Q685" s="51" t="n">
        <f aca="false">F685-H685-J685</f>
        <v>132343</v>
      </c>
      <c r="R685" s="51" t="n">
        <f aca="false">G685-I685-K685</f>
        <v>105570</v>
      </c>
      <c r="S685" s="51" t="n">
        <f aca="false">R685-Q685</f>
        <v>-26773</v>
      </c>
      <c r="T685" s="52" t="n">
        <f aca="false">IF(Q685=0,0,S685/Q685)</f>
        <v>-0.202300083872966</v>
      </c>
      <c r="U685" s="51" t="str">
        <f aca="false">IF(AND(Q685&gt;0,T685&lt;-0.15),"ADVERSE","")</f>
        <v>ADVERSE</v>
      </c>
    </row>
    <row r="686" customFormat="false" ht="15" hidden="false" customHeight="false" outlineLevel="0" collapsed="false">
      <c r="A686" s="47" t="s">
        <v>3</v>
      </c>
      <c r="B686" s="47" t="s">
        <v>137</v>
      </c>
      <c r="C686" s="48" t="n">
        <v>45992</v>
      </c>
      <c r="D686" s="47" t="s">
        <v>36</v>
      </c>
      <c r="E686" s="47" t="s">
        <v>40</v>
      </c>
      <c r="F686" s="49" t="n">
        <v>680927</v>
      </c>
      <c r="G686" s="49" t="n">
        <v>620920</v>
      </c>
      <c r="H686" s="49" t="n">
        <v>459285</v>
      </c>
      <c r="I686" s="49" t="n">
        <v>440445</v>
      </c>
      <c r="J686" s="49" t="n">
        <v>90904</v>
      </c>
      <c r="K686" s="49" t="n">
        <v>82962</v>
      </c>
      <c r="L686" s="50" t="n">
        <v>40.5</v>
      </c>
      <c r="M686" s="51" t="n">
        <f aca="false">G686-F686</f>
        <v>-60007</v>
      </c>
      <c r="N686" s="52" t="n">
        <f aca="false">IF(F686=0,0,M686/F686)</f>
        <v>-0.088125452508125</v>
      </c>
      <c r="O686" s="51" t="n">
        <f aca="false">G686-I686</f>
        <v>180475</v>
      </c>
      <c r="P686" s="51" t="n">
        <f aca="false">F686-H686</f>
        <v>221642</v>
      </c>
      <c r="Q686" s="51" t="n">
        <f aca="false">F686-H686-J686</f>
        <v>130738</v>
      </c>
      <c r="R686" s="51" t="n">
        <f aca="false">G686-I686-K686</f>
        <v>97513</v>
      </c>
      <c r="S686" s="51" t="n">
        <f aca="false">R686-Q686</f>
        <v>-33225</v>
      </c>
      <c r="T686" s="52" t="n">
        <f aca="false">IF(Q686=0,0,S686/Q686)</f>
        <v>-0.254134222643761</v>
      </c>
      <c r="U686" s="51" t="str">
        <f aca="false">IF(AND(Q686&gt;0,T686&lt;-0.15),"ADVERSE","")</f>
        <v>ADVERSE</v>
      </c>
    </row>
    <row r="687" customFormat="false" ht="15" hidden="false" customHeight="false" outlineLevel="0" collapsed="false">
      <c r="A687" s="47" t="s">
        <v>3</v>
      </c>
      <c r="B687" s="47" t="s">
        <v>138</v>
      </c>
      <c r="C687" s="48" t="n">
        <v>46023</v>
      </c>
      <c r="D687" s="47" t="s">
        <v>36</v>
      </c>
      <c r="E687" s="47" t="s">
        <v>40</v>
      </c>
      <c r="F687" s="49" t="n">
        <v>670005</v>
      </c>
      <c r="G687" s="49" t="n">
        <v>620398</v>
      </c>
      <c r="H687" s="49" t="n">
        <v>451918</v>
      </c>
      <c r="I687" s="49" t="n">
        <v>432500</v>
      </c>
      <c r="J687" s="49" t="n">
        <v>89446</v>
      </c>
      <c r="K687" s="49" t="n">
        <v>85329</v>
      </c>
      <c r="L687" s="50" t="n">
        <v>41.4</v>
      </c>
      <c r="M687" s="51" t="n">
        <f aca="false">G687-F687</f>
        <v>-49607</v>
      </c>
      <c r="N687" s="52" t="n">
        <f aca="false">IF(F687=0,0,M687/F687)</f>
        <v>-0.074039745972045</v>
      </c>
      <c r="O687" s="51" t="n">
        <f aca="false">G687-I687</f>
        <v>187898</v>
      </c>
      <c r="P687" s="51" t="n">
        <f aca="false">F687-H687</f>
        <v>218087</v>
      </c>
      <c r="Q687" s="51" t="n">
        <f aca="false">F687-H687-J687</f>
        <v>128641</v>
      </c>
      <c r="R687" s="51" t="n">
        <f aca="false">G687-I687-K687</f>
        <v>102569</v>
      </c>
      <c r="S687" s="51" t="n">
        <f aca="false">R687-Q687</f>
        <v>-26072</v>
      </c>
      <c r="T687" s="52" t="n">
        <f aca="false">IF(Q687=0,0,S687/Q687)</f>
        <v>-0.202672553851416</v>
      </c>
      <c r="U687" s="51" t="str">
        <f aca="false">IF(AND(Q687&gt;0,T687&lt;-0.15),"ADVERSE","")</f>
        <v>ADVERSE</v>
      </c>
    </row>
    <row r="688" customFormat="false" ht="15" hidden="false" customHeight="false" outlineLevel="0" collapsed="false">
      <c r="A688" s="47" t="s">
        <v>3</v>
      </c>
      <c r="B688" s="47" t="s">
        <v>138</v>
      </c>
      <c r="C688" s="48" t="n">
        <v>46054</v>
      </c>
      <c r="D688" s="47" t="s">
        <v>36</v>
      </c>
      <c r="E688" s="47" t="s">
        <v>40</v>
      </c>
      <c r="F688" s="49" t="n">
        <v>675276</v>
      </c>
      <c r="G688" s="49" t="n">
        <v>642091</v>
      </c>
      <c r="H688" s="49" t="n">
        <v>455473</v>
      </c>
      <c r="I688" s="49" t="n">
        <v>440477</v>
      </c>
      <c r="J688" s="49" t="n">
        <v>90149</v>
      </c>
      <c r="K688" s="49" t="n">
        <v>86264</v>
      </c>
      <c r="L688" s="50" t="n">
        <v>40.6</v>
      </c>
      <c r="M688" s="51" t="n">
        <f aca="false">G688-F688</f>
        <v>-33185</v>
      </c>
      <c r="N688" s="52" t="n">
        <f aca="false">IF(F688=0,0,M688/F688)</f>
        <v>-0.0491428689898649</v>
      </c>
      <c r="O688" s="51" t="n">
        <f aca="false">G688-I688</f>
        <v>201614</v>
      </c>
      <c r="P688" s="51" t="n">
        <f aca="false">F688-H688</f>
        <v>219803</v>
      </c>
      <c r="Q688" s="51" t="n">
        <f aca="false">F688-H688-J688</f>
        <v>129654</v>
      </c>
      <c r="R688" s="51" t="n">
        <f aca="false">G688-I688-K688</f>
        <v>115350</v>
      </c>
      <c r="S688" s="51" t="n">
        <f aca="false">R688-Q688</f>
        <v>-14304</v>
      </c>
      <c r="T688" s="52" t="n">
        <f aca="false">IF(Q688=0,0,S688/Q688)</f>
        <v>-0.110324401869591</v>
      </c>
      <c r="U688" s="51" t="str">
        <f aca="false">IF(AND(Q688&gt;0,T688&lt;-0.15),"ADVERSE","")</f>
        <v/>
      </c>
    </row>
    <row r="689" customFormat="false" ht="15" hidden="false" customHeight="false" outlineLevel="0" collapsed="false">
      <c r="A689" s="47" t="s">
        <v>3</v>
      </c>
      <c r="B689" s="47" t="s">
        <v>138</v>
      </c>
      <c r="C689" s="48" t="n">
        <v>46082</v>
      </c>
      <c r="D689" s="47" t="s">
        <v>36</v>
      </c>
      <c r="E689" s="47" t="s">
        <v>40</v>
      </c>
      <c r="F689" s="49" t="n">
        <v>740512</v>
      </c>
      <c r="G689" s="49" t="n">
        <v>695022</v>
      </c>
      <c r="H689" s="49" t="n">
        <v>499475</v>
      </c>
      <c r="I689" s="49" t="n">
        <v>482397</v>
      </c>
      <c r="J689" s="49" t="n">
        <v>98858</v>
      </c>
      <c r="K689" s="49" t="n">
        <v>96944</v>
      </c>
      <c r="L689" s="50" t="n">
        <v>41.3</v>
      </c>
      <c r="M689" s="51" t="n">
        <f aca="false">G689-F689</f>
        <v>-45490</v>
      </c>
      <c r="N689" s="52" t="n">
        <f aca="false">IF(F689=0,0,M689/F689)</f>
        <v>-0.0614304697290523</v>
      </c>
      <c r="O689" s="51" t="n">
        <f aca="false">G689-I689</f>
        <v>212625</v>
      </c>
      <c r="P689" s="51" t="n">
        <f aca="false">F689-H689</f>
        <v>241037</v>
      </c>
      <c r="Q689" s="51" t="n">
        <f aca="false">F689-H689-J689</f>
        <v>142179</v>
      </c>
      <c r="R689" s="51" t="n">
        <f aca="false">G689-I689-K689</f>
        <v>115681</v>
      </c>
      <c r="S689" s="51" t="n">
        <f aca="false">R689-Q689</f>
        <v>-26498</v>
      </c>
      <c r="T689" s="52" t="n">
        <f aca="false">IF(Q689=0,0,S689/Q689)</f>
        <v>-0.18637070172107</v>
      </c>
      <c r="U689" s="51" t="str">
        <f aca="false">IF(AND(Q689&gt;0,T689&lt;-0.15),"ADVERSE","")</f>
        <v>ADVERSE</v>
      </c>
    </row>
    <row r="690" customFormat="false" ht="15" hidden="false" customHeight="false" outlineLevel="0" collapsed="false">
      <c r="A690" s="47" t="s">
        <v>134</v>
      </c>
      <c r="B690" s="47" t="s">
        <v>135</v>
      </c>
      <c r="C690" s="48" t="n">
        <v>45017</v>
      </c>
      <c r="D690" s="47" t="s">
        <v>36</v>
      </c>
      <c r="E690" s="47" t="s">
        <v>41</v>
      </c>
      <c r="F690" s="49" t="n">
        <v>425162</v>
      </c>
      <c r="G690" s="49" t="n">
        <v>424037</v>
      </c>
      <c r="H690" s="49" t="n">
        <v>286772</v>
      </c>
      <c r="I690" s="49" t="n">
        <v>284695</v>
      </c>
      <c r="J690" s="49" t="n">
        <v>56759</v>
      </c>
      <c r="K690" s="49" t="n">
        <v>55525</v>
      </c>
      <c r="L690" s="50" t="n">
        <v>27.4</v>
      </c>
      <c r="M690" s="51" t="n">
        <f aca="false">G690-F690</f>
        <v>-1125</v>
      </c>
      <c r="N690" s="52" t="n">
        <f aca="false">IF(F690=0,0,M690/F690)</f>
        <v>-0.00264605021144881</v>
      </c>
      <c r="O690" s="51" t="n">
        <f aca="false">G690-I690</f>
        <v>139342</v>
      </c>
      <c r="P690" s="51" t="n">
        <f aca="false">F690-H690</f>
        <v>138390</v>
      </c>
      <c r="Q690" s="51" t="n">
        <f aca="false">F690-H690-J690</f>
        <v>81631</v>
      </c>
      <c r="R690" s="51" t="n">
        <f aca="false">G690-I690-K690</f>
        <v>83817</v>
      </c>
      <c r="S690" s="51" t="n">
        <f aca="false">R690-Q690</f>
        <v>2186</v>
      </c>
      <c r="T690" s="52" t="n">
        <f aca="false">IF(Q690=0,0,S690/Q690)</f>
        <v>0.0267790422756061</v>
      </c>
      <c r="U690" s="51" t="str">
        <f aca="false">IF(AND(Q690&gt;0,T690&lt;-0.15),"ADVERSE","")</f>
        <v/>
      </c>
    </row>
    <row r="691" customFormat="false" ht="15" hidden="false" customHeight="false" outlineLevel="0" collapsed="false">
      <c r="A691" s="47" t="s">
        <v>134</v>
      </c>
      <c r="B691" s="47" t="s">
        <v>135</v>
      </c>
      <c r="C691" s="48" t="n">
        <v>45047</v>
      </c>
      <c r="D691" s="47" t="s">
        <v>36</v>
      </c>
      <c r="E691" s="47" t="s">
        <v>41</v>
      </c>
      <c r="F691" s="49" t="n">
        <v>413381</v>
      </c>
      <c r="G691" s="49" t="n">
        <v>439452</v>
      </c>
      <c r="H691" s="49" t="n">
        <v>278825</v>
      </c>
      <c r="I691" s="49" t="n">
        <v>293994</v>
      </c>
      <c r="J691" s="49" t="n">
        <v>55186</v>
      </c>
      <c r="K691" s="49" t="n">
        <v>62157</v>
      </c>
      <c r="L691" s="50" t="n">
        <v>28</v>
      </c>
      <c r="M691" s="51" t="n">
        <f aca="false">G691-F691</f>
        <v>26071</v>
      </c>
      <c r="N691" s="52" t="n">
        <f aca="false">IF(F691=0,0,M691/F691)</f>
        <v>0.0630677268669823</v>
      </c>
      <c r="O691" s="51" t="n">
        <f aca="false">G691-I691</f>
        <v>145458</v>
      </c>
      <c r="P691" s="51" t="n">
        <f aca="false">F691-H691</f>
        <v>134556</v>
      </c>
      <c r="Q691" s="51" t="n">
        <f aca="false">F691-H691-J691</f>
        <v>79370</v>
      </c>
      <c r="R691" s="51" t="n">
        <f aca="false">G691-I691-K691</f>
        <v>83301</v>
      </c>
      <c r="S691" s="51" t="n">
        <f aca="false">R691-Q691</f>
        <v>3931</v>
      </c>
      <c r="T691" s="52" t="n">
        <f aca="false">IF(Q691=0,0,S691/Q691)</f>
        <v>0.0495275292931838</v>
      </c>
      <c r="U691" s="51" t="str">
        <f aca="false">IF(AND(Q691&gt;0,T691&lt;-0.15),"ADVERSE","")</f>
        <v/>
      </c>
    </row>
    <row r="692" customFormat="false" ht="15" hidden="false" customHeight="false" outlineLevel="0" collapsed="false">
      <c r="A692" s="47" t="s">
        <v>134</v>
      </c>
      <c r="B692" s="47" t="s">
        <v>135</v>
      </c>
      <c r="C692" s="48" t="n">
        <v>45078</v>
      </c>
      <c r="D692" s="47" t="s">
        <v>36</v>
      </c>
      <c r="E692" s="47" t="s">
        <v>41</v>
      </c>
      <c r="F692" s="49" t="n">
        <v>422639</v>
      </c>
      <c r="G692" s="49" t="n">
        <v>430718</v>
      </c>
      <c r="H692" s="49" t="n">
        <v>285070</v>
      </c>
      <c r="I692" s="49" t="n">
        <v>291545</v>
      </c>
      <c r="J692" s="49" t="n">
        <v>56422</v>
      </c>
      <c r="K692" s="49" t="n">
        <v>55413</v>
      </c>
      <c r="L692" s="50" t="n">
        <v>27.9</v>
      </c>
      <c r="M692" s="51" t="n">
        <f aca="false">G692-F692</f>
        <v>8079</v>
      </c>
      <c r="N692" s="52" t="n">
        <f aca="false">IF(F692=0,0,M692/F692)</f>
        <v>0.0191156045703307</v>
      </c>
      <c r="O692" s="51" t="n">
        <f aca="false">G692-I692</f>
        <v>139173</v>
      </c>
      <c r="P692" s="51" t="n">
        <f aca="false">F692-H692</f>
        <v>137569</v>
      </c>
      <c r="Q692" s="51" t="n">
        <f aca="false">F692-H692-J692</f>
        <v>81147</v>
      </c>
      <c r="R692" s="51" t="n">
        <f aca="false">G692-I692-K692</f>
        <v>83760</v>
      </c>
      <c r="S692" s="51" t="n">
        <f aca="false">R692-Q692</f>
        <v>2613</v>
      </c>
      <c r="T692" s="52" t="n">
        <f aca="false">IF(Q692=0,0,S692/Q692)</f>
        <v>0.0322008207327443</v>
      </c>
      <c r="U692" s="51" t="str">
        <f aca="false">IF(AND(Q692&gt;0,T692&lt;-0.15),"ADVERSE","")</f>
        <v/>
      </c>
    </row>
    <row r="693" customFormat="false" ht="15" hidden="false" customHeight="false" outlineLevel="0" collapsed="false">
      <c r="A693" s="47" t="s">
        <v>134</v>
      </c>
      <c r="B693" s="47" t="s">
        <v>136</v>
      </c>
      <c r="C693" s="48" t="n">
        <v>45108</v>
      </c>
      <c r="D693" s="47" t="s">
        <v>36</v>
      </c>
      <c r="E693" s="47" t="s">
        <v>41</v>
      </c>
      <c r="F693" s="49" t="n">
        <v>431579</v>
      </c>
      <c r="G693" s="49" t="n">
        <v>440296</v>
      </c>
      <c r="H693" s="49" t="n">
        <v>291100</v>
      </c>
      <c r="I693" s="49" t="n">
        <v>297868</v>
      </c>
      <c r="J693" s="49" t="n">
        <v>57616</v>
      </c>
      <c r="K693" s="49" t="n">
        <v>61053</v>
      </c>
      <c r="L693" s="50" t="n">
        <v>27.1</v>
      </c>
      <c r="M693" s="51" t="n">
        <f aca="false">G693-F693</f>
        <v>8717</v>
      </c>
      <c r="N693" s="52" t="n">
        <f aca="false">IF(F693=0,0,M693/F693)</f>
        <v>0.0201979243661068</v>
      </c>
      <c r="O693" s="51" t="n">
        <f aca="false">G693-I693</f>
        <v>142428</v>
      </c>
      <c r="P693" s="51" t="n">
        <f aca="false">F693-H693</f>
        <v>140479</v>
      </c>
      <c r="Q693" s="51" t="n">
        <f aca="false">F693-H693-J693</f>
        <v>82863</v>
      </c>
      <c r="R693" s="51" t="n">
        <f aca="false">G693-I693-K693</f>
        <v>81375</v>
      </c>
      <c r="S693" s="51" t="n">
        <f aca="false">R693-Q693</f>
        <v>-1488</v>
      </c>
      <c r="T693" s="52" t="n">
        <f aca="false">IF(Q693=0,0,S693/Q693)</f>
        <v>-0.0179573512906846</v>
      </c>
      <c r="U693" s="51" t="str">
        <f aca="false">IF(AND(Q693&gt;0,T693&lt;-0.15),"ADVERSE","")</f>
        <v/>
      </c>
    </row>
    <row r="694" customFormat="false" ht="15" hidden="false" customHeight="false" outlineLevel="0" collapsed="false">
      <c r="A694" s="47" t="s">
        <v>134</v>
      </c>
      <c r="B694" s="47" t="s">
        <v>136</v>
      </c>
      <c r="C694" s="48" t="n">
        <v>45139</v>
      </c>
      <c r="D694" s="47" t="s">
        <v>36</v>
      </c>
      <c r="E694" s="47" t="s">
        <v>41</v>
      </c>
      <c r="F694" s="49" t="n">
        <v>419311</v>
      </c>
      <c r="G694" s="49" t="n">
        <v>406191</v>
      </c>
      <c r="H694" s="49" t="n">
        <v>282825</v>
      </c>
      <c r="I694" s="49" t="n">
        <v>273687</v>
      </c>
      <c r="J694" s="49" t="n">
        <v>55978</v>
      </c>
      <c r="K694" s="49" t="n">
        <v>56896</v>
      </c>
      <c r="L694" s="50" t="n">
        <v>28.6</v>
      </c>
      <c r="M694" s="51" t="n">
        <f aca="false">G694-F694</f>
        <v>-13120</v>
      </c>
      <c r="N694" s="52" t="n">
        <f aca="false">IF(F694=0,0,M694/F694)</f>
        <v>-0.0312894247944843</v>
      </c>
      <c r="O694" s="51" t="n">
        <f aca="false">G694-I694</f>
        <v>132504</v>
      </c>
      <c r="P694" s="51" t="n">
        <f aca="false">F694-H694</f>
        <v>136486</v>
      </c>
      <c r="Q694" s="51" t="n">
        <f aca="false">F694-H694-J694</f>
        <v>80508</v>
      </c>
      <c r="R694" s="51" t="n">
        <f aca="false">G694-I694-K694</f>
        <v>75608</v>
      </c>
      <c r="S694" s="51" t="n">
        <f aca="false">R694-Q694</f>
        <v>-4900</v>
      </c>
      <c r="T694" s="52" t="n">
        <f aca="false">IF(Q694=0,0,S694/Q694)</f>
        <v>-0.0608635166691509</v>
      </c>
      <c r="U694" s="51" t="str">
        <f aca="false">IF(AND(Q694&gt;0,T694&lt;-0.15),"ADVERSE","")</f>
        <v/>
      </c>
    </row>
    <row r="695" customFormat="false" ht="15" hidden="false" customHeight="false" outlineLevel="0" collapsed="false">
      <c r="A695" s="47" t="s">
        <v>134</v>
      </c>
      <c r="B695" s="47" t="s">
        <v>136</v>
      </c>
      <c r="C695" s="48" t="n">
        <v>45170</v>
      </c>
      <c r="D695" s="47" t="s">
        <v>36</v>
      </c>
      <c r="E695" s="47" t="s">
        <v>41</v>
      </c>
      <c r="F695" s="49" t="n">
        <v>430396</v>
      </c>
      <c r="G695" s="49" t="n">
        <v>454211</v>
      </c>
      <c r="H695" s="49" t="n">
        <v>290302</v>
      </c>
      <c r="I695" s="49" t="n">
        <v>306973</v>
      </c>
      <c r="J695" s="49" t="n">
        <v>57458</v>
      </c>
      <c r="K695" s="49" t="n">
        <v>64546</v>
      </c>
      <c r="L695" s="50" t="n">
        <v>27.7</v>
      </c>
      <c r="M695" s="51" t="n">
        <f aca="false">G695-F695</f>
        <v>23815</v>
      </c>
      <c r="N695" s="52" t="n">
        <f aca="false">IF(F695=0,0,M695/F695)</f>
        <v>0.0553327633156442</v>
      </c>
      <c r="O695" s="51" t="n">
        <f aca="false">G695-I695</f>
        <v>147238</v>
      </c>
      <c r="P695" s="51" t="n">
        <f aca="false">F695-H695</f>
        <v>140094</v>
      </c>
      <c r="Q695" s="51" t="n">
        <f aca="false">F695-H695-J695</f>
        <v>82636</v>
      </c>
      <c r="R695" s="51" t="n">
        <f aca="false">G695-I695-K695</f>
        <v>82692</v>
      </c>
      <c r="S695" s="51" t="n">
        <f aca="false">R695-Q695</f>
        <v>56</v>
      </c>
      <c r="T695" s="52" t="n">
        <f aca="false">IF(Q695=0,0,S695/Q695)</f>
        <v>0.000677670748826178</v>
      </c>
      <c r="U695" s="51" t="str">
        <f aca="false">IF(AND(Q695&gt;0,T695&lt;-0.15),"ADVERSE","")</f>
        <v/>
      </c>
    </row>
    <row r="696" customFormat="false" ht="15" hidden="false" customHeight="false" outlineLevel="0" collapsed="false">
      <c r="A696" s="47" t="s">
        <v>134</v>
      </c>
      <c r="B696" s="47" t="s">
        <v>137</v>
      </c>
      <c r="C696" s="48" t="n">
        <v>45200</v>
      </c>
      <c r="D696" s="47" t="s">
        <v>36</v>
      </c>
      <c r="E696" s="47" t="s">
        <v>41</v>
      </c>
      <c r="F696" s="49" t="n">
        <v>439330</v>
      </c>
      <c r="G696" s="49" t="n">
        <v>447711</v>
      </c>
      <c r="H696" s="49" t="n">
        <v>296328</v>
      </c>
      <c r="I696" s="49" t="n">
        <v>300571</v>
      </c>
      <c r="J696" s="49" t="n">
        <v>58651</v>
      </c>
      <c r="K696" s="49" t="n">
        <v>58497</v>
      </c>
      <c r="L696" s="50" t="n">
        <v>28.2</v>
      </c>
      <c r="M696" s="51" t="n">
        <f aca="false">G696-F696</f>
        <v>8381</v>
      </c>
      <c r="N696" s="52" t="n">
        <f aca="false">IF(F696=0,0,M696/F696)</f>
        <v>0.0190767759998179</v>
      </c>
      <c r="O696" s="51" t="n">
        <f aca="false">G696-I696</f>
        <v>147140</v>
      </c>
      <c r="P696" s="51" t="n">
        <f aca="false">F696-H696</f>
        <v>143002</v>
      </c>
      <c r="Q696" s="51" t="n">
        <f aca="false">F696-H696-J696</f>
        <v>84351</v>
      </c>
      <c r="R696" s="51" t="n">
        <f aca="false">G696-I696-K696</f>
        <v>88643</v>
      </c>
      <c r="S696" s="51" t="n">
        <f aca="false">R696-Q696</f>
        <v>4292</v>
      </c>
      <c r="T696" s="52" t="n">
        <f aca="false">IF(Q696=0,0,S696/Q696)</f>
        <v>0.0508826214271319</v>
      </c>
      <c r="U696" s="51" t="str">
        <f aca="false">IF(AND(Q696&gt;0,T696&lt;-0.15),"ADVERSE","")</f>
        <v/>
      </c>
    </row>
    <row r="697" customFormat="false" ht="15" hidden="false" customHeight="false" outlineLevel="0" collapsed="false">
      <c r="A697" s="47" t="s">
        <v>134</v>
      </c>
      <c r="B697" s="47" t="s">
        <v>137</v>
      </c>
      <c r="C697" s="48" t="n">
        <v>45231</v>
      </c>
      <c r="D697" s="47" t="s">
        <v>36</v>
      </c>
      <c r="E697" s="47" t="s">
        <v>41</v>
      </c>
      <c r="F697" s="49" t="n">
        <v>429176</v>
      </c>
      <c r="G697" s="49" t="n">
        <v>417588</v>
      </c>
      <c r="H697" s="49" t="n">
        <v>289479</v>
      </c>
      <c r="I697" s="49" t="n">
        <v>285219</v>
      </c>
      <c r="J697" s="49" t="n">
        <v>57295</v>
      </c>
      <c r="K697" s="49" t="n">
        <v>57408</v>
      </c>
      <c r="L697" s="50" t="n">
        <v>28.4</v>
      </c>
      <c r="M697" s="51" t="n">
        <f aca="false">G697-F697</f>
        <v>-11588</v>
      </c>
      <c r="N697" s="52" t="n">
        <f aca="false">IF(F697=0,0,M697/F697)</f>
        <v>-0.0270005778515108</v>
      </c>
      <c r="O697" s="51" t="n">
        <f aca="false">G697-I697</f>
        <v>132369</v>
      </c>
      <c r="P697" s="51" t="n">
        <f aca="false">F697-H697</f>
        <v>139697</v>
      </c>
      <c r="Q697" s="51" t="n">
        <f aca="false">F697-H697-J697</f>
        <v>82402</v>
      </c>
      <c r="R697" s="51" t="n">
        <f aca="false">G697-I697-K697</f>
        <v>74961</v>
      </c>
      <c r="S697" s="51" t="n">
        <f aca="false">R697-Q697</f>
        <v>-7441</v>
      </c>
      <c r="T697" s="52" t="n">
        <f aca="false">IF(Q697=0,0,S697/Q697)</f>
        <v>-0.0903012062814009</v>
      </c>
      <c r="U697" s="51" t="str">
        <f aca="false">IF(AND(Q697&gt;0,T697&lt;-0.15),"ADVERSE","")</f>
        <v/>
      </c>
    </row>
    <row r="698" customFormat="false" ht="15" hidden="false" customHeight="false" outlineLevel="0" collapsed="false">
      <c r="A698" s="47" t="s">
        <v>134</v>
      </c>
      <c r="B698" s="47" t="s">
        <v>137</v>
      </c>
      <c r="C698" s="48" t="n">
        <v>45261</v>
      </c>
      <c r="D698" s="47" t="s">
        <v>36</v>
      </c>
      <c r="E698" s="47" t="s">
        <v>41</v>
      </c>
      <c r="F698" s="49" t="n">
        <v>432444</v>
      </c>
      <c r="G698" s="49" t="n">
        <v>431341</v>
      </c>
      <c r="H698" s="49" t="n">
        <v>291683</v>
      </c>
      <c r="I698" s="49" t="n">
        <v>289495</v>
      </c>
      <c r="J698" s="49" t="n">
        <v>57731</v>
      </c>
      <c r="K698" s="49" t="n">
        <v>56911</v>
      </c>
      <c r="L698" s="50" t="n">
        <v>27.6</v>
      </c>
      <c r="M698" s="51" t="n">
        <f aca="false">G698-F698</f>
        <v>-1103</v>
      </c>
      <c r="N698" s="52" t="n">
        <f aca="false">IF(F698=0,0,M698/F698)</f>
        <v>-0.0025506192709345</v>
      </c>
      <c r="O698" s="51" t="n">
        <f aca="false">G698-I698</f>
        <v>141846</v>
      </c>
      <c r="P698" s="51" t="n">
        <f aca="false">F698-H698</f>
        <v>140761</v>
      </c>
      <c r="Q698" s="51" t="n">
        <f aca="false">F698-H698-J698</f>
        <v>83030</v>
      </c>
      <c r="R698" s="51" t="n">
        <f aca="false">G698-I698-K698</f>
        <v>84935</v>
      </c>
      <c r="S698" s="51" t="n">
        <f aca="false">R698-Q698</f>
        <v>1905</v>
      </c>
      <c r="T698" s="52" t="n">
        <f aca="false">IF(Q698=0,0,S698/Q698)</f>
        <v>0.0229435143923883</v>
      </c>
      <c r="U698" s="51" t="str">
        <f aca="false">IF(AND(Q698&gt;0,T698&lt;-0.15),"ADVERSE","")</f>
        <v/>
      </c>
    </row>
    <row r="699" customFormat="false" ht="15" hidden="false" customHeight="false" outlineLevel="0" collapsed="false">
      <c r="A699" s="47" t="s">
        <v>134</v>
      </c>
      <c r="B699" s="47" t="s">
        <v>138</v>
      </c>
      <c r="C699" s="48" t="n">
        <v>45292</v>
      </c>
      <c r="D699" s="47" t="s">
        <v>36</v>
      </c>
      <c r="E699" s="47" t="s">
        <v>41</v>
      </c>
      <c r="F699" s="49" t="n">
        <v>414885</v>
      </c>
      <c r="G699" s="49" t="n">
        <v>447008</v>
      </c>
      <c r="H699" s="49" t="n">
        <v>279840</v>
      </c>
      <c r="I699" s="49" t="n">
        <v>307331</v>
      </c>
      <c r="J699" s="49" t="n">
        <v>55387</v>
      </c>
      <c r="K699" s="49" t="n">
        <v>57141</v>
      </c>
      <c r="L699" s="50" t="n">
        <v>27.7</v>
      </c>
      <c r="M699" s="51" t="n">
        <f aca="false">G699-F699</f>
        <v>32123</v>
      </c>
      <c r="N699" s="52" t="n">
        <f aca="false">IF(F699=0,0,M699/F699)</f>
        <v>0.0774262747508346</v>
      </c>
      <c r="O699" s="51" t="n">
        <f aca="false">G699-I699</f>
        <v>139677</v>
      </c>
      <c r="P699" s="51" t="n">
        <f aca="false">F699-H699</f>
        <v>135045</v>
      </c>
      <c r="Q699" s="51" t="n">
        <f aca="false">F699-H699-J699</f>
        <v>79658</v>
      </c>
      <c r="R699" s="51" t="n">
        <f aca="false">G699-I699-K699</f>
        <v>82536</v>
      </c>
      <c r="S699" s="51" t="n">
        <f aca="false">R699-Q699</f>
        <v>2878</v>
      </c>
      <c r="T699" s="52" t="n">
        <f aca="false">IF(Q699=0,0,S699/Q699)</f>
        <v>0.036129453413342</v>
      </c>
      <c r="U699" s="51" t="str">
        <f aca="false">IF(AND(Q699&gt;0,T699&lt;-0.15),"ADVERSE","")</f>
        <v/>
      </c>
    </row>
    <row r="700" customFormat="false" ht="15" hidden="false" customHeight="false" outlineLevel="0" collapsed="false">
      <c r="A700" s="47" t="s">
        <v>134</v>
      </c>
      <c r="B700" s="47" t="s">
        <v>138</v>
      </c>
      <c r="C700" s="48" t="n">
        <v>45323</v>
      </c>
      <c r="D700" s="47" t="s">
        <v>36</v>
      </c>
      <c r="E700" s="47" t="s">
        <v>41</v>
      </c>
      <c r="F700" s="49" t="n">
        <v>427017</v>
      </c>
      <c r="G700" s="49" t="n">
        <v>443883</v>
      </c>
      <c r="H700" s="49" t="n">
        <v>288023</v>
      </c>
      <c r="I700" s="49" t="n">
        <v>301092</v>
      </c>
      <c r="J700" s="49" t="n">
        <v>57007</v>
      </c>
      <c r="K700" s="49" t="n">
        <v>57484</v>
      </c>
      <c r="L700" s="50" t="n">
        <v>28.6</v>
      </c>
      <c r="M700" s="51" t="n">
        <f aca="false">G700-F700</f>
        <v>16866</v>
      </c>
      <c r="N700" s="52" t="n">
        <f aca="false">IF(F700=0,0,M700/F700)</f>
        <v>0.0394972565495051</v>
      </c>
      <c r="O700" s="51" t="n">
        <f aca="false">G700-I700</f>
        <v>142791</v>
      </c>
      <c r="P700" s="51" t="n">
        <f aca="false">F700-H700</f>
        <v>138994</v>
      </c>
      <c r="Q700" s="51" t="n">
        <f aca="false">F700-H700-J700</f>
        <v>81987</v>
      </c>
      <c r="R700" s="51" t="n">
        <f aca="false">G700-I700-K700</f>
        <v>85307</v>
      </c>
      <c r="S700" s="51" t="n">
        <f aca="false">R700-Q700</f>
        <v>3320</v>
      </c>
      <c r="T700" s="52" t="n">
        <f aca="false">IF(Q700=0,0,S700/Q700)</f>
        <v>0.0404942246941588</v>
      </c>
      <c r="U700" s="51" t="str">
        <f aca="false">IF(AND(Q700&gt;0,T700&lt;-0.15),"ADVERSE","")</f>
        <v/>
      </c>
    </row>
    <row r="701" customFormat="false" ht="15" hidden="false" customHeight="false" outlineLevel="0" collapsed="false">
      <c r="A701" s="47" t="s">
        <v>134</v>
      </c>
      <c r="B701" s="47" t="s">
        <v>138</v>
      </c>
      <c r="C701" s="48" t="n">
        <v>45352</v>
      </c>
      <c r="D701" s="47" t="s">
        <v>36</v>
      </c>
      <c r="E701" s="47" t="s">
        <v>41</v>
      </c>
      <c r="F701" s="49" t="n">
        <v>462116</v>
      </c>
      <c r="G701" s="49" t="n">
        <v>447566</v>
      </c>
      <c r="H701" s="49" t="n">
        <v>311697</v>
      </c>
      <c r="I701" s="49" t="n">
        <v>299561</v>
      </c>
      <c r="J701" s="49" t="n">
        <v>61693</v>
      </c>
      <c r="K701" s="49" t="n">
        <v>64558</v>
      </c>
      <c r="L701" s="50" t="n">
        <v>28.4</v>
      </c>
      <c r="M701" s="51" t="n">
        <f aca="false">G701-F701</f>
        <v>-14550</v>
      </c>
      <c r="N701" s="52" t="n">
        <f aca="false">IF(F701=0,0,M701/F701)</f>
        <v>-0.0314856010179262</v>
      </c>
      <c r="O701" s="51" t="n">
        <f aca="false">G701-I701</f>
        <v>148005</v>
      </c>
      <c r="P701" s="51" t="n">
        <f aca="false">F701-H701</f>
        <v>150419</v>
      </c>
      <c r="Q701" s="51" t="n">
        <f aca="false">F701-H701-J701</f>
        <v>88726</v>
      </c>
      <c r="R701" s="51" t="n">
        <f aca="false">G701-I701-K701</f>
        <v>83447</v>
      </c>
      <c r="S701" s="51" t="n">
        <f aca="false">R701-Q701</f>
        <v>-5279</v>
      </c>
      <c r="T701" s="52" t="n">
        <f aca="false">IF(Q701=0,0,S701/Q701)</f>
        <v>-0.0594977796812659</v>
      </c>
      <c r="U701" s="51" t="str">
        <f aca="false">IF(AND(Q701&gt;0,T701&lt;-0.15),"ADVERSE","")</f>
        <v/>
      </c>
    </row>
    <row r="702" customFormat="false" ht="15" hidden="false" customHeight="false" outlineLevel="0" collapsed="false">
      <c r="A702" s="47" t="s">
        <v>139</v>
      </c>
      <c r="B702" s="47" t="s">
        <v>135</v>
      </c>
      <c r="C702" s="48" t="n">
        <v>45383</v>
      </c>
      <c r="D702" s="47" t="s">
        <v>36</v>
      </c>
      <c r="E702" s="47" t="s">
        <v>41</v>
      </c>
      <c r="F702" s="49" t="n">
        <v>443941</v>
      </c>
      <c r="G702" s="49" t="n">
        <v>456300</v>
      </c>
      <c r="H702" s="49" t="n">
        <v>299438</v>
      </c>
      <c r="I702" s="49" t="n">
        <v>316387</v>
      </c>
      <c r="J702" s="49" t="n">
        <v>59266</v>
      </c>
      <c r="K702" s="49" t="n">
        <v>57895</v>
      </c>
      <c r="L702" s="50" t="n">
        <v>28.3</v>
      </c>
      <c r="M702" s="51" t="n">
        <f aca="false">G702-F702</f>
        <v>12359</v>
      </c>
      <c r="N702" s="52" t="n">
        <f aca="false">IF(F702=0,0,M702/F702)</f>
        <v>0.0278392849500271</v>
      </c>
      <c r="O702" s="51" t="n">
        <f aca="false">G702-I702</f>
        <v>139913</v>
      </c>
      <c r="P702" s="51" t="n">
        <f aca="false">F702-H702</f>
        <v>144503</v>
      </c>
      <c r="Q702" s="51" t="n">
        <f aca="false">F702-H702-J702</f>
        <v>85237</v>
      </c>
      <c r="R702" s="51" t="n">
        <f aca="false">G702-I702-K702</f>
        <v>82018</v>
      </c>
      <c r="S702" s="51" t="n">
        <f aca="false">R702-Q702</f>
        <v>-3219</v>
      </c>
      <c r="T702" s="52" t="n">
        <f aca="false">IF(Q702=0,0,S702/Q702)</f>
        <v>-0.0377652897215998</v>
      </c>
      <c r="U702" s="51" t="str">
        <f aca="false">IF(AND(Q702&gt;0,T702&lt;-0.15),"ADVERSE","")</f>
        <v/>
      </c>
    </row>
    <row r="703" customFormat="false" ht="15" hidden="false" customHeight="false" outlineLevel="0" collapsed="false">
      <c r="A703" s="47" t="s">
        <v>139</v>
      </c>
      <c r="B703" s="47" t="s">
        <v>135</v>
      </c>
      <c r="C703" s="48" t="n">
        <v>45413</v>
      </c>
      <c r="D703" s="47" t="s">
        <v>36</v>
      </c>
      <c r="E703" s="47" t="s">
        <v>41</v>
      </c>
      <c r="F703" s="49" t="n">
        <v>443959</v>
      </c>
      <c r="G703" s="49" t="n">
        <v>450199</v>
      </c>
      <c r="H703" s="49" t="n">
        <v>299450</v>
      </c>
      <c r="I703" s="49" t="n">
        <v>312160</v>
      </c>
      <c r="J703" s="49" t="n">
        <v>59269</v>
      </c>
      <c r="K703" s="49" t="n">
        <v>59581</v>
      </c>
      <c r="L703" s="50" t="n">
        <v>28.1</v>
      </c>
      <c r="M703" s="51" t="n">
        <f aca="false">G703-F703</f>
        <v>6240</v>
      </c>
      <c r="N703" s="52" t="n">
        <f aca="false">IF(F703=0,0,M703/F703)</f>
        <v>0.0140553519581763</v>
      </c>
      <c r="O703" s="51" t="n">
        <f aca="false">G703-I703</f>
        <v>138039</v>
      </c>
      <c r="P703" s="51" t="n">
        <f aca="false">F703-H703</f>
        <v>144509</v>
      </c>
      <c r="Q703" s="51" t="n">
        <f aca="false">F703-H703-J703</f>
        <v>85240</v>
      </c>
      <c r="R703" s="51" t="n">
        <f aca="false">G703-I703-K703</f>
        <v>78458</v>
      </c>
      <c r="S703" s="51" t="n">
        <f aca="false">R703-Q703</f>
        <v>-6782</v>
      </c>
      <c r="T703" s="52" t="n">
        <f aca="false">IF(Q703=0,0,S703/Q703)</f>
        <v>-0.0795635851712811</v>
      </c>
      <c r="U703" s="51" t="str">
        <f aca="false">IF(AND(Q703&gt;0,T703&lt;-0.15),"ADVERSE","")</f>
        <v/>
      </c>
    </row>
    <row r="704" customFormat="false" ht="15" hidden="false" customHeight="false" outlineLevel="0" collapsed="false">
      <c r="A704" s="47" t="s">
        <v>139</v>
      </c>
      <c r="B704" s="47" t="s">
        <v>135</v>
      </c>
      <c r="C704" s="48" t="n">
        <v>45444</v>
      </c>
      <c r="D704" s="47" t="s">
        <v>36</v>
      </c>
      <c r="E704" s="47" t="s">
        <v>41</v>
      </c>
      <c r="F704" s="49" t="n">
        <v>455134</v>
      </c>
      <c r="G704" s="49" t="n">
        <v>441305</v>
      </c>
      <c r="H704" s="49" t="n">
        <v>306988</v>
      </c>
      <c r="I704" s="49" t="n">
        <v>308970</v>
      </c>
      <c r="J704" s="49" t="n">
        <v>60760</v>
      </c>
      <c r="K704" s="49" t="n">
        <v>61459</v>
      </c>
      <c r="L704" s="50" t="n">
        <v>28.5</v>
      </c>
      <c r="M704" s="51" t="n">
        <f aca="false">G704-F704</f>
        <v>-13829</v>
      </c>
      <c r="N704" s="52" t="n">
        <f aca="false">IF(F704=0,0,M704/F704)</f>
        <v>-0.0303844582035181</v>
      </c>
      <c r="O704" s="51" t="n">
        <f aca="false">G704-I704</f>
        <v>132335</v>
      </c>
      <c r="P704" s="51" t="n">
        <f aca="false">F704-H704</f>
        <v>148146</v>
      </c>
      <c r="Q704" s="51" t="n">
        <f aca="false">F704-H704-J704</f>
        <v>87386</v>
      </c>
      <c r="R704" s="51" t="n">
        <f aca="false">G704-I704-K704</f>
        <v>70876</v>
      </c>
      <c r="S704" s="51" t="n">
        <f aca="false">R704-Q704</f>
        <v>-16510</v>
      </c>
      <c r="T704" s="52" t="n">
        <f aca="false">IF(Q704=0,0,S704/Q704)</f>
        <v>-0.188931865516215</v>
      </c>
      <c r="U704" s="51" t="str">
        <f aca="false">IF(AND(Q704&gt;0,T704&lt;-0.15),"ADVERSE","")</f>
        <v>ADVERSE</v>
      </c>
    </row>
    <row r="705" customFormat="false" ht="15" hidden="false" customHeight="false" outlineLevel="0" collapsed="false">
      <c r="A705" s="47" t="s">
        <v>139</v>
      </c>
      <c r="B705" s="47" t="s">
        <v>136</v>
      </c>
      <c r="C705" s="48" t="n">
        <v>45474</v>
      </c>
      <c r="D705" s="47" t="s">
        <v>36</v>
      </c>
      <c r="E705" s="47" t="s">
        <v>41</v>
      </c>
      <c r="F705" s="49" t="n">
        <v>458406</v>
      </c>
      <c r="G705" s="49" t="n">
        <v>431074</v>
      </c>
      <c r="H705" s="49" t="n">
        <v>309195</v>
      </c>
      <c r="I705" s="49" t="n">
        <v>297901</v>
      </c>
      <c r="J705" s="49" t="n">
        <v>61197</v>
      </c>
      <c r="K705" s="49" t="n">
        <v>58449</v>
      </c>
      <c r="L705" s="50" t="n">
        <v>28.5</v>
      </c>
      <c r="M705" s="51" t="n">
        <f aca="false">G705-F705</f>
        <v>-27332</v>
      </c>
      <c r="N705" s="52" t="n">
        <f aca="false">IF(F705=0,0,M705/F705)</f>
        <v>-0.0596240014310458</v>
      </c>
      <c r="O705" s="51" t="n">
        <f aca="false">G705-I705</f>
        <v>133173</v>
      </c>
      <c r="P705" s="51" t="n">
        <f aca="false">F705-H705</f>
        <v>149211</v>
      </c>
      <c r="Q705" s="51" t="n">
        <f aca="false">F705-H705-J705</f>
        <v>88014</v>
      </c>
      <c r="R705" s="51" t="n">
        <f aca="false">G705-I705-K705</f>
        <v>74724</v>
      </c>
      <c r="S705" s="51" t="n">
        <f aca="false">R705-Q705</f>
        <v>-13290</v>
      </c>
      <c r="T705" s="52" t="n">
        <f aca="false">IF(Q705=0,0,S705/Q705)</f>
        <v>-0.150998704751517</v>
      </c>
      <c r="U705" s="51" t="str">
        <f aca="false">IF(AND(Q705&gt;0,T705&lt;-0.15),"ADVERSE","")</f>
        <v>ADVERSE</v>
      </c>
    </row>
    <row r="706" customFormat="false" ht="15" hidden="false" customHeight="false" outlineLevel="0" collapsed="false">
      <c r="A706" s="47" t="s">
        <v>139</v>
      </c>
      <c r="B706" s="47" t="s">
        <v>136</v>
      </c>
      <c r="C706" s="48" t="n">
        <v>45505</v>
      </c>
      <c r="D706" s="47" t="s">
        <v>36</v>
      </c>
      <c r="E706" s="47" t="s">
        <v>41</v>
      </c>
      <c r="F706" s="49" t="n">
        <v>435674</v>
      </c>
      <c r="G706" s="49" t="n">
        <v>418411</v>
      </c>
      <c r="H706" s="49" t="n">
        <v>293862</v>
      </c>
      <c r="I706" s="49" t="n">
        <v>293187</v>
      </c>
      <c r="J706" s="49" t="n">
        <v>58163</v>
      </c>
      <c r="K706" s="49" t="n">
        <v>56200</v>
      </c>
      <c r="L706" s="50" t="n">
        <v>28.9</v>
      </c>
      <c r="M706" s="51" t="n">
        <f aca="false">G706-F706</f>
        <v>-17263</v>
      </c>
      <c r="N706" s="52" t="n">
        <f aca="false">IF(F706=0,0,M706/F706)</f>
        <v>-0.0396236635649591</v>
      </c>
      <c r="O706" s="51" t="n">
        <f aca="false">G706-I706</f>
        <v>125224</v>
      </c>
      <c r="P706" s="51" t="n">
        <f aca="false">F706-H706</f>
        <v>141812</v>
      </c>
      <c r="Q706" s="51" t="n">
        <f aca="false">F706-H706-J706</f>
        <v>83649</v>
      </c>
      <c r="R706" s="51" t="n">
        <f aca="false">G706-I706-K706</f>
        <v>69024</v>
      </c>
      <c r="S706" s="51" t="n">
        <f aca="false">R706-Q706</f>
        <v>-14625</v>
      </c>
      <c r="T706" s="52" t="n">
        <f aca="false">IF(Q706=0,0,S706/Q706)</f>
        <v>-0.174837714736578</v>
      </c>
      <c r="U706" s="51" t="str">
        <f aca="false">IF(AND(Q706&gt;0,T706&lt;-0.15),"ADVERSE","")</f>
        <v>ADVERSE</v>
      </c>
    </row>
    <row r="707" customFormat="false" ht="15" hidden="false" customHeight="false" outlineLevel="0" collapsed="false">
      <c r="A707" s="47" t="s">
        <v>139</v>
      </c>
      <c r="B707" s="47" t="s">
        <v>136</v>
      </c>
      <c r="C707" s="48" t="n">
        <v>45536</v>
      </c>
      <c r="D707" s="47" t="s">
        <v>36</v>
      </c>
      <c r="E707" s="47" t="s">
        <v>41</v>
      </c>
      <c r="F707" s="49" t="n">
        <v>459300</v>
      </c>
      <c r="G707" s="49" t="n">
        <v>429565</v>
      </c>
      <c r="H707" s="49" t="n">
        <v>309798</v>
      </c>
      <c r="I707" s="49" t="n">
        <v>302527</v>
      </c>
      <c r="J707" s="49" t="n">
        <v>61317</v>
      </c>
      <c r="K707" s="49" t="n">
        <v>54141</v>
      </c>
      <c r="L707" s="50" t="n">
        <v>28.1</v>
      </c>
      <c r="M707" s="51" t="n">
        <f aca="false">G707-F707</f>
        <v>-29735</v>
      </c>
      <c r="N707" s="52" t="n">
        <f aca="false">IF(F707=0,0,M707/F707)</f>
        <v>-0.0647398214674505</v>
      </c>
      <c r="O707" s="51" t="n">
        <f aca="false">G707-I707</f>
        <v>127038</v>
      </c>
      <c r="P707" s="51" t="n">
        <f aca="false">F707-H707</f>
        <v>149502</v>
      </c>
      <c r="Q707" s="51" t="n">
        <f aca="false">F707-H707-J707</f>
        <v>88185</v>
      </c>
      <c r="R707" s="51" t="n">
        <f aca="false">G707-I707-K707</f>
        <v>72897</v>
      </c>
      <c r="S707" s="51" t="n">
        <f aca="false">R707-Q707</f>
        <v>-15288</v>
      </c>
      <c r="T707" s="52" t="n">
        <f aca="false">IF(Q707=0,0,S707/Q707)</f>
        <v>-0.173362816805579</v>
      </c>
      <c r="U707" s="51" t="str">
        <f aca="false">IF(AND(Q707&gt;0,T707&lt;-0.15),"ADVERSE","")</f>
        <v>ADVERSE</v>
      </c>
    </row>
    <row r="708" customFormat="false" ht="15" hidden="false" customHeight="false" outlineLevel="0" collapsed="false">
      <c r="A708" s="47" t="s">
        <v>139</v>
      </c>
      <c r="B708" s="47" t="s">
        <v>137</v>
      </c>
      <c r="C708" s="48" t="n">
        <v>45566</v>
      </c>
      <c r="D708" s="47" t="s">
        <v>36</v>
      </c>
      <c r="E708" s="47" t="s">
        <v>41</v>
      </c>
      <c r="F708" s="49" t="n">
        <v>466485</v>
      </c>
      <c r="G708" s="49" t="n">
        <v>453983</v>
      </c>
      <c r="H708" s="49" t="n">
        <v>314644</v>
      </c>
      <c r="I708" s="49" t="n">
        <v>314148</v>
      </c>
      <c r="J708" s="49" t="n">
        <v>62276</v>
      </c>
      <c r="K708" s="49" t="n">
        <v>56384</v>
      </c>
      <c r="L708" s="50" t="n">
        <v>28.3</v>
      </c>
      <c r="M708" s="51" t="n">
        <f aca="false">G708-F708</f>
        <v>-12502</v>
      </c>
      <c r="N708" s="52" t="n">
        <f aca="false">IF(F708=0,0,M708/F708)</f>
        <v>-0.0268004330257136</v>
      </c>
      <c r="O708" s="51" t="n">
        <f aca="false">G708-I708</f>
        <v>139835</v>
      </c>
      <c r="P708" s="51" t="n">
        <f aca="false">F708-H708</f>
        <v>151841</v>
      </c>
      <c r="Q708" s="51" t="n">
        <f aca="false">F708-H708-J708</f>
        <v>89565</v>
      </c>
      <c r="R708" s="51" t="n">
        <f aca="false">G708-I708-K708</f>
        <v>83451</v>
      </c>
      <c r="S708" s="51" t="n">
        <f aca="false">R708-Q708</f>
        <v>-6114</v>
      </c>
      <c r="T708" s="52" t="n">
        <f aca="false">IF(Q708=0,0,S708/Q708)</f>
        <v>-0.0682632724836711</v>
      </c>
      <c r="U708" s="51" t="str">
        <f aca="false">IF(AND(Q708&gt;0,T708&lt;-0.15),"ADVERSE","")</f>
        <v/>
      </c>
    </row>
    <row r="709" customFormat="false" ht="15" hidden="false" customHeight="false" outlineLevel="0" collapsed="false">
      <c r="A709" s="47" t="s">
        <v>139</v>
      </c>
      <c r="B709" s="47" t="s">
        <v>137</v>
      </c>
      <c r="C709" s="48" t="n">
        <v>45597</v>
      </c>
      <c r="D709" s="47" t="s">
        <v>36</v>
      </c>
      <c r="E709" s="47" t="s">
        <v>41</v>
      </c>
      <c r="F709" s="49" t="n">
        <v>466664</v>
      </c>
      <c r="G709" s="49" t="n">
        <v>446329</v>
      </c>
      <c r="H709" s="49" t="n">
        <v>314765</v>
      </c>
      <c r="I709" s="49" t="n">
        <v>312678</v>
      </c>
      <c r="J709" s="49" t="n">
        <v>62300</v>
      </c>
      <c r="K709" s="49" t="n">
        <v>57404</v>
      </c>
      <c r="L709" s="50" t="n">
        <v>28.8</v>
      </c>
      <c r="M709" s="51" t="n">
        <f aca="false">G709-F709</f>
        <v>-20335</v>
      </c>
      <c r="N709" s="52" t="n">
        <f aca="false">IF(F709=0,0,M709/F709)</f>
        <v>-0.0435752490014229</v>
      </c>
      <c r="O709" s="51" t="n">
        <f aca="false">G709-I709</f>
        <v>133651</v>
      </c>
      <c r="P709" s="51" t="n">
        <f aca="false">F709-H709</f>
        <v>151899</v>
      </c>
      <c r="Q709" s="51" t="n">
        <f aca="false">F709-H709-J709</f>
        <v>89599</v>
      </c>
      <c r="R709" s="51" t="n">
        <f aca="false">G709-I709-K709</f>
        <v>76247</v>
      </c>
      <c r="S709" s="51" t="n">
        <f aca="false">R709-Q709</f>
        <v>-13352</v>
      </c>
      <c r="T709" s="52" t="n">
        <f aca="false">IF(Q709=0,0,S709/Q709)</f>
        <v>-0.149019520307146</v>
      </c>
      <c r="U709" s="51" t="str">
        <f aca="false">IF(AND(Q709&gt;0,T709&lt;-0.15),"ADVERSE","")</f>
        <v/>
      </c>
    </row>
    <row r="710" customFormat="false" ht="15" hidden="false" customHeight="false" outlineLevel="0" collapsed="false">
      <c r="A710" s="47" t="s">
        <v>139</v>
      </c>
      <c r="B710" s="47" t="s">
        <v>137</v>
      </c>
      <c r="C710" s="48" t="n">
        <v>45627</v>
      </c>
      <c r="D710" s="47" t="s">
        <v>36</v>
      </c>
      <c r="E710" s="47" t="s">
        <v>41</v>
      </c>
      <c r="F710" s="49" t="n">
        <v>460741</v>
      </c>
      <c r="G710" s="49" t="n">
        <v>432632</v>
      </c>
      <c r="H710" s="49" t="n">
        <v>310770</v>
      </c>
      <c r="I710" s="49" t="n">
        <v>300812</v>
      </c>
      <c r="J710" s="49" t="n">
        <v>61509</v>
      </c>
      <c r="K710" s="49" t="n">
        <v>57000</v>
      </c>
      <c r="L710" s="50" t="n">
        <v>28.5</v>
      </c>
      <c r="M710" s="51" t="n">
        <f aca="false">G710-F710</f>
        <v>-28109</v>
      </c>
      <c r="N710" s="52" t="n">
        <f aca="false">IF(F710=0,0,M710/F710)</f>
        <v>-0.0610082454133667</v>
      </c>
      <c r="O710" s="51" t="n">
        <f aca="false">G710-I710</f>
        <v>131820</v>
      </c>
      <c r="P710" s="51" t="n">
        <f aca="false">F710-H710</f>
        <v>149971</v>
      </c>
      <c r="Q710" s="51" t="n">
        <f aca="false">F710-H710-J710</f>
        <v>88462</v>
      </c>
      <c r="R710" s="51" t="n">
        <f aca="false">G710-I710-K710</f>
        <v>74820</v>
      </c>
      <c r="S710" s="51" t="n">
        <f aca="false">R710-Q710</f>
        <v>-13642</v>
      </c>
      <c r="T710" s="52" t="n">
        <f aca="false">IF(Q710=0,0,S710/Q710)</f>
        <v>-0.154213108453347</v>
      </c>
      <c r="U710" s="51" t="str">
        <f aca="false">IF(AND(Q710&gt;0,T710&lt;-0.15),"ADVERSE","")</f>
        <v>ADVERSE</v>
      </c>
    </row>
    <row r="711" customFormat="false" ht="15" hidden="false" customHeight="false" outlineLevel="0" collapsed="false">
      <c r="A711" s="47" t="s">
        <v>139</v>
      </c>
      <c r="B711" s="47" t="s">
        <v>138</v>
      </c>
      <c r="C711" s="48" t="n">
        <v>45658</v>
      </c>
      <c r="D711" s="47" t="s">
        <v>36</v>
      </c>
      <c r="E711" s="47" t="s">
        <v>41</v>
      </c>
      <c r="F711" s="49" t="n">
        <v>445310</v>
      </c>
      <c r="G711" s="49" t="n">
        <v>440681</v>
      </c>
      <c r="H711" s="49" t="n">
        <v>300362</v>
      </c>
      <c r="I711" s="49" t="n">
        <v>303499</v>
      </c>
      <c r="J711" s="49" t="n">
        <v>59449</v>
      </c>
      <c r="K711" s="49" t="n">
        <v>62054</v>
      </c>
      <c r="L711" s="50" t="n">
        <v>28.3</v>
      </c>
      <c r="M711" s="51" t="n">
        <f aca="false">G711-F711</f>
        <v>-4629</v>
      </c>
      <c r="N711" s="52" t="n">
        <f aca="false">IF(F711=0,0,M711/F711)</f>
        <v>-0.0103950057263479</v>
      </c>
      <c r="O711" s="51" t="n">
        <f aca="false">G711-I711</f>
        <v>137182</v>
      </c>
      <c r="P711" s="51" t="n">
        <f aca="false">F711-H711</f>
        <v>144948</v>
      </c>
      <c r="Q711" s="51" t="n">
        <f aca="false">F711-H711-J711</f>
        <v>85499</v>
      </c>
      <c r="R711" s="51" t="n">
        <f aca="false">G711-I711-K711</f>
        <v>75128</v>
      </c>
      <c r="S711" s="51" t="n">
        <f aca="false">R711-Q711</f>
        <v>-10371</v>
      </c>
      <c r="T711" s="52" t="n">
        <f aca="false">IF(Q711=0,0,S711/Q711)</f>
        <v>-0.121299664323559</v>
      </c>
      <c r="U711" s="51" t="str">
        <f aca="false">IF(AND(Q711&gt;0,T711&lt;-0.15),"ADVERSE","")</f>
        <v/>
      </c>
    </row>
    <row r="712" customFormat="false" ht="15" hidden="false" customHeight="false" outlineLevel="0" collapsed="false">
      <c r="A712" s="47" t="s">
        <v>139</v>
      </c>
      <c r="B712" s="47" t="s">
        <v>138</v>
      </c>
      <c r="C712" s="48" t="n">
        <v>45689</v>
      </c>
      <c r="D712" s="47" t="s">
        <v>36</v>
      </c>
      <c r="E712" s="47" t="s">
        <v>41</v>
      </c>
      <c r="F712" s="49" t="n">
        <v>442597</v>
      </c>
      <c r="G712" s="49" t="n">
        <v>412523</v>
      </c>
      <c r="H712" s="49" t="n">
        <v>298532</v>
      </c>
      <c r="I712" s="49" t="n">
        <v>292637</v>
      </c>
      <c r="J712" s="49" t="n">
        <v>59087</v>
      </c>
      <c r="K712" s="49" t="n">
        <v>59446</v>
      </c>
      <c r="L712" s="50" t="n">
        <v>28.4</v>
      </c>
      <c r="M712" s="51" t="n">
        <f aca="false">G712-F712</f>
        <v>-30074</v>
      </c>
      <c r="N712" s="52" t="n">
        <f aca="false">IF(F712=0,0,M712/F712)</f>
        <v>-0.0679489467845467</v>
      </c>
      <c r="O712" s="51" t="n">
        <f aca="false">G712-I712</f>
        <v>119886</v>
      </c>
      <c r="P712" s="51" t="n">
        <f aca="false">F712-H712</f>
        <v>144065</v>
      </c>
      <c r="Q712" s="51" t="n">
        <f aca="false">F712-H712-J712</f>
        <v>84978</v>
      </c>
      <c r="R712" s="51" t="n">
        <f aca="false">G712-I712-K712</f>
        <v>60440</v>
      </c>
      <c r="S712" s="51" t="n">
        <f aca="false">R712-Q712</f>
        <v>-24538</v>
      </c>
      <c r="T712" s="52" t="n">
        <f aca="false">IF(Q712=0,0,S712/Q712)</f>
        <v>-0.288757090070371</v>
      </c>
      <c r="U712" s="51" t="str">
        <f aca="false">IF(AND(Q712&gt;0,T712&lt;-0.15),"ADVERSE","")</f>
        <v>ADVERSE</v>
      </c>
    </row>
    <row r="713" customFormat="false" ht="15" hidden="false" customHeight="false" outlineLevel="0" collapsed="false">
      <c r="A713" s="47" t="s">
        <v>139</v>
      </c>
      <c r="B713" s="47" t="s">
        <v>138</v>
      </c>
      <c r="C713" s="48" t="n">
        <v>45717</v>
      </c>
      <c r="D713" s="47" t="s">
        <v>36</v>
      </c>
      <c r="E713" s="47" t="s">
        <v>41</v>
      </c>
      <c r="F713" s="49" t="n">
        <v>488283</v>
      </c>
      <c r="G713" s="49" t="n">
        <v>465782</v>
      </c>
      <c r="H713" s="49" t="n">
        <v>329347</v>
      </c>
      <c r="I713" s="49" t="n">
        <v>320924</v>
      </c>
      <c r="J713" s="49" t="n">
        <v>65186</v>
      </c>
      <c r="K713" s="49" t="n">
        <v>63256</v>
      </c>
      <c r="L713" s="50" t="n">
        <v>28.9</v>
      </c>
      <c r="M713" s="51" t="n">
        <f aca="false">G713-F713</f>
        <v>-22501</v>
      </c>
      <c r="N713" s="52" t="n">
        <f aca="false">IF(F713=0,0,M713/F713)</f>
        <v>-0.0460818828425319</v>
      </c>
      <c r="O713" s="51" t="n">
        <f aca="false">G713-I713</f>
        <v>144858</v>
      </c>
      <c r="P713" s="51" t="n">
        <f aca="false">F713-H713</f>
        <v>158936</v>
      </c>
      <c r="Q713" s="51" t="n">
        <f aca="false">F713-H713-J713</f>
        <v>93750</v>
      </c>
      <c r="R713" s="51" t="n">
        <f aca="false">G713-I713-K713</f>
        <v>81602</v>
      </c>
      <c r="S713" s="51" t="n">
        <f aca="false">R713-Q713</f>
        <v>-12148</v>
      </c>
      <c r="T713" s="52" t="n">
        <f aca="false">IF(Q713=0,0,S713/Q713)</f>
        <v>-0.129578666666667</v>
      </c>
      <c r="U713" s="51" t="str">
        <f aca="false">IF(AND(Q713&gt;0,T713&lt;-0.15),"ADVERSE","")</f>
        <v/>
      </c>
    </row>
    <row r="714" customFormat="false" ht="15" hidden="false" customHeight="false" outlineLevel="0" collapsed="false">
      <c r="A714" s="47" t="s">
        <v>3</v>
      </c>
      <c r="B714" s="47" t="s">
        <v>135</v>
      </c>
      <c r="C714" s="48" t="n">
        <v>45748</v>
      </c>
      <c r="D714" s="47" t="s">
        <v>36</v>
      </c>
      <c r="E714" s="47" t="s">
        <v>41</v>
      </c>
      <c r="F714" s="49" t="n">
        <v>472411</v>
      </c>
      <c r="G714" s="49" t="n">
        <v>438071</v>
      </c>
      <c r="H714" s="49" t="n">
        <v>318641</v>
      </c>
      <c r="I714" s="49" t="n">
        <v>317035</v>
      </c>
      <c r="J714" s="49" t="n">
        <v>63067</v>
      </c>
      <c r="K714" s="49" t="n">
        <v>61811</v>
      </c>
      <c r="L714" s="50" t="n">
        <v>28.3</v>
      </c>
      <c r="M714" s="51" t="n">
        <f aca="false">G714-F714</f>
        <v>-34340</v>
      </c>
      <c r="N714" s="52" t="n">
        <f aca="false">IF(F714=0,0,M714/F714)</f>
        <v>-0.0726909407274598</v>
      </c>
      <c r="O714" s="51" t="n">
        <f aca="false">G714-I714</f>
        <v>121036</v>
      </c>
      <c r="P714" s="51" t="n">
        <f aca="false">F714-H714</f>
        <v>153770</v>
      </c>
      <c r="Q714" s="51" t="n">
        <f aca="false">F714-H714-J714</f>
        <v>90703</v>
      </c>
      <c r="R714" s="51" t="n">
        <f aca="false">G714-I714-K714</f>
        <v>59225</v>
      </c>
      <c r="S714" s="51" t="n">
        <f aca="false">R714-Q714</f>
        <v>-31478</v>
      </c>
      <c r="T714" s="52" t="n">
        <f aca="false">IF(Q714=0,0,S714/Q714)</f>
        <v>-0.347044750449268</v>
      </c>
      <c r="U714" s="51" t="str">
        <f aca="false">IF(AND(Q714&gt;0,T714&lt;-0.15),"ADVERSE","")</f>
        <v>ADVERSE</v>
      </c>
    </row>
    <row r="715" customFormat="false" ht="15" hidden="false" customHeight="false" outlineLevel="0" collapsed="false">
      <c r="A715" s="47" t="s">
        <v>3</v>
      </c>
      <c r="B715" s="47" t="s">
        <v>135</v>
      </c>
      <c r="C715" s="48" t="n">
        <v>45778</v>
      </c>
      <c r="D715" s="47" t="s">
        <v>36</v>
      </c>
      <c r="E715" s="47" t="s">
        <v>41</v>
      </c>
      <c r="F715" s="49" t="n">
        <v>474767</v>
      </c>
      <c r="G715" s="49" t="n">
        <v>433704</v>
      </c>
      <c r="H715" s="49" t="n">
        <v>320230</v>
      </c>
      <c r="I715" s="49" t="n">
        <v>315938</v>
      </c>
      <c r="J715" s="49" t="n">
        <v>63381</v>
      </c>
      <c r="K715" s="49" t="n">
        <v>64801</v>
      </c>
      <c r="L715" s="50" t="n">
        <v>29</v>
      </c>
      <c r="M715" s="51" t="n">
        <f aca="false">G715-F715</f>
        <v>-41063</v>
      </c>
      <c r="N715" s="52" t="n">
        <f aca="false">IF(F715=0,0,M715/F715)</f>
        <v>-0.0864908470892038</v>
      </c>
      <c r="O715" s="51" t="n">
        <f aca="false">G715-I715</f>
        <v>117766</v>
      </c>
      <c r="P715" s="51" t="n">
        <f aca="false">F715-H715</f>
        <v>154537</v>
      </c>
      <c r="Q715" s="51" t="n">
        <f aca="false">F715-H715-J715</f>
        <v>91156</v>
      </c>
      <c r="R715" s="51" t="n">
        <f aca="false">G715-I715-K715</f>
        <v>52965</v>
      </c>
      <c r="S715" s="51" t="n">
        <f aca="false">R715-Q715</f>
        <v>-38191</v>
      </c>
      <c r="T715" s="52" t="n">
        <f aca="false">IF(Q715=0,0,S715/Q715)</f>
        <v>-0.418963096230638</v>
      </c>
      <c r="U715" s="51" t="str">
        <f aca="false">IF(AND(Q715&gt;0,T715&lt;-0.15),"ADVERSE","")</f>
        <v>ADVERSE</v>
      </c>
    </row>
    <row r="716" customFormat="false" ht="15" hidden="false" customHeight="false" outlineLevel="0" collapsed="false">
      <c r="A716" s="47" t="s">
        <v>3</v>
      </c>
      <c r="B716" s="47" t="s">
        <v>135</v>
      </c>
      <c r="C716" s="48" t="n">
        <v>45809</v>
      </c>
      <c r="D716" s="47" t="s">
        <v>36</v>
      </c>
      <c r="E716" s="47" t="s">
        <v>41</v>
      </c>
      <c r="F716" s="49" t="n">
        <v>482224</v>
      </c>
      <c r="G716" s="49" t="n">
        <v>468853</v>
      </c>
      <c r="H716" s="49" t="n">
        <v>325260</v>
      </c>
      <c r="I716" s="49" t="n">
        <v>338031</v>
      </c>
      <c r="J716" s="49" t="n">
        <v>64377</v>
      </c>
      <c r="K716" s="49" t="n">
        <v>65928</v>
      </c>
      <c r="L716" s="50" t="n">
        <v>28.3</v>
      </c>
      <c r="M716" s="51" t="n">
        <f aca="false">G716-F716</f>
        <v>-13371</v>
      </c>
      <c r="N716" s="52" t="n">
        <f aca="false">IF(F716=0,0,M716/F716)</f>
        <v>-0.0277277779621089</v>
      </c>
      <c r="O716" s="51" t="n">
        <f aca="false">G716-I716</f>
        <v>130822</v>
      </c>
      <c r="P716" s="51" t="n">
        <f aca="false">F716-H716</f>
        <v>156964</v>
      </c>
      <c r="Q716" s="51" t="n">
        <f aca="false">F716-H716-J716</f>
        <v>92587</v>
      </c>
      <c r="R716" s="51" t="n">
        <f aca="false">G716-I716-K716</f>
        <v>64894</v>
      </c>
      <c r="S716" s="51" t="n">
        <f aca="false">R716-Q716</f>
        <v>-27693</v>
      </c>
      <c r="T716" s="52" t="n">
        <f aca="false">IF(Q716=0,0,S716/Q716)</f>
        <v>-0.299102465788934</v>
      </c>
      <c r="U716" s="51" t="str">
        <f aca="false">IF(AND(Q716&gt;0,T716&lt;-0.15),"ADVERSE","")</f>
        <v>ADVERSE</v>
      </c>
    </row>
    <row r="717" customFormat="false" ht="15" hidden="false" customHeight="false" outlineLevel="0" collapsed="false">
      <c r="A717" s="47" t="s">
        <v>3</v>
      </c>
      <c r="B717" s="47" t="s">
        <v>136</v>
      </c>
      <c r="C717" s="48" t="n">
        <v>45839</v>
      </c>
      <c r="D717" s="47" t="s">
        <v>36</v>
      </c>
      <c r="E717" s="47" t="s">
        <v>41</v>
      </c>
      <c r="F717" s="49" t="n">
        <v>487339</v>
      </c>
      <c r="G717" s="49" t="n">
        <v>429662</v>
      </c>
      <c r="H717" s="49" t="n">
        <v>328710</v>
      </c>
      <c r="I717" s="49" t="n">
        <v>315792</v>
      </c>
      <c r="J717" s="49" t="n">
        <v>65060</v>
      </c>
      <c r="K717" s="49" t="n">
        <v>61195</v>
      </c>
      <c r="L717" s="50" t="n">
        <v>29</v>
      </c>
      <c r="M717" s="51" t="n">
        <f aca="false">G717-F717</f>
        <v>-57677</v>
      </c>
      <c r="N717" s="52" t="n">
        <f aca="false">IF(F717=0,0,M717/F717)</f>
        <v>-0.118350881008908</v>
      </c>
      <c r="O717" s="51" t="n">
        <f aca="false">G717-I717</f>
        <v>113870</v>
      </c>
      <c r="P717" s="51" t="n">
        <f aca="false">F717-H717</f>
        <v>158629</v>
      </c>
      <c r="Q717" s="51" t="n">
        <f aca="false">F717-H717-J717</f>
        <v>93569</v>
      </c>
      <c r="R717" s="51" t="n">
        <f aca="false">G717-I717-K717</f>
        <v>52675</v>
      </c>
      <c r="S717" s="51" t="n">
        <f aca="false">R717-Q717</f>
        <v>-40894</v>
      </c>
      <c r="T717" s="52" t="n">
        <f aca="false">IF(Q717=0,0,S717/Q717)</f>
        <v>-0.437046457694322</v>
      </c>
      <c r="U717" s="51" t="str">
        <f aca="false">IF(AND(Q717&gt;0,T717&lt;-0.15),"ADVERSE","")</f>
        <v>ADVERSE</v>
      </c>
    </row>
    <row r="718" customFormat="false" ht="15" hidden="false" customHeight="false" outlineLevel="0" collapsed="false">
      <c r="A718" s="47" t="s">
        <v>3</v>
      </c>
      <c r="B718" s="47" t="s">
        <v>136</v>
      </c>
      <c r="C718" s="48" t="n">
        <v>45870</v>
      </c>
      <c r="D718" s="47" t="s">
        <v>36</v>
      </c>
      <c r="E718" s="47" t="s">
        <v>41</v>
      </c>
      <c r="F718" s="49" t="n">
        <v>467300</v>
      </c>
      <c r="G718" s="49" t="n">
        <v>437540</v>
      </c>
      <c r="H718" s="49" t="n">
        <v>315194</v>
      </c>
      <c r="I718" s="49" t="n">
        <v>319949</v>
      </c>
      <c r="J718" s="49" t="n">
        <v>62385</v>
      </c>
      <c r="K718" s="49" t="n">
        <v>61700</v>
      </c>
      <c r="L718" s="50" t="n">
        <v>28.8</v>
      </c>
      <c r="M718" s="51" t="n">
        <f aca="false">G718-F718</f>
        <v>-29760</v>
      </c>
      <c r="N718" s="52" t="n">
        <f aca="false">IF(F718=0,0,M718/F718)</f>
        <v>-0.0636849989300235</v>
      </c>
      <c r="O718" s="51" t="n">
        <f aca="false">G718-I718</f>
        <v>117591</v>
      </c>
      <c r="P718" s="51" t="n">
        <f aca="false">F718-H718</f>
        <v>152106</v>
      </c>
      <c r="Q718" s="51" t="n">
        <f aca="false">F718-H718-J718</f>
        <v>89721</v>
      </c>
      <c r="R718" s="51" t="n">
        <f aca="false">G718-I718-K718</f>
        <v>55891</v>
      </c>
      <c r="S718" s="51" t="n">
        <f aca="false">R718-Q718</f>
        <v>-33830</v>
      </c>
      <c r="T718" s="52" t="n">
        <f aca="false">IF(Q718=0,0,S718/Q718)</f>
        <v>-0.377057767969595</v>
      </c>
      <c r="U718" s="51" t="str">
        <f aca="false">IF(AND(Q718&gt;0,T718&lt;-0.15),"ADVERSE","")</f>
        <v>ADVERSE</v>
      </c>
    </row>
    <row r="719" customFormat="false" ht="15" hidden="false" customHeight="false" outlineLevel="0" collapsed="false">
      <c r="A719" s="47" t="s">
        <v>3</v>
      </c>
      <c r="B719" s="47" t="s">
        <v>136</v>
      </c>
      <c r="C719" s="48" t="n">
        <v>45901</v>
      </c>
      <c r="D719" s="47" t="s">
        <v>36</v>
      </c>
      <c r="E719" s="47" t="s">
        <v>41</v>
      </c>
      <c r="F719" s="49" t="n">
        <v>484592</v>
      </c>
      <c r="G719" s="49" t="n">
        <v>458265</v>
      </c>
      <c r="H719" s="49" t="n">
        <v>326857</v>
      </c>
      <c r="I719" s="49" t="n">
        <v>337562</v>
      </c>
      <c r="J719" s="49" t="n">
        <v>64693</v>
      </c>
      <c r="K719" s="49" t="n">
        <v>65073</v>
      </c>
      <c r="L719" s="50" t="n">
        <v>29.2</v>
      </c>
      <c r="M719" s="51" t="n">
        <f aca="false">G719-F719</f>
        <v>-26327</v>
      </c>
      <c r="N719" s="52" t="n">
        <f aca="false">IF(F719=0,0,M719/F719)</f>
        <v>-0.0543281771056889</v>
      </c>
      <c r="O719" s="51" t="n">
        <f aca="false">G719-I719</f>
        <v>120703</v>
      </c>
      <c r="P719" s="51" t="n">
        <f aca="false">F719-H719</f>
        <v>157735</v>
      </c>
      <c r="Q719" s="51" t="n">
        <f aca="false">F719-H719-J719</f>
        <v>93042</v>
      </c>
      <c r="R719" s="51" t="n">
        <f aca="false">G719-I719-K719</f>
        <v>55630</v>
      </c>
      <c r="S719" s="51" t="n">
        <f aca="false">R719-Q719</f>
        <v>-37412</v>
      </c>
      <c r="T719" s="52" t="n">
        <f aca="false">IF(Q719=0,0,S719/Q719)</f>
        <v>-0.402097977257583</v>
      </c>
      <c r="U719" s="51" t="str">
        <f aca="false">IF(AND(Q719&gt;0,T719&lt;-0.15),"ADVERSE","")</f>
        <v>ADVERSE</v>
      </c>
    </row>
    <row r="720" customFormat="false" ht="15" hidden="false" customHeight="false" outlineLevel="0" collapsed="false">
      <c r="A720" s="47" t="s">
        <v>3</v>
      </c>
      <c r="B720" s="47" t="s">
        <v>137</v>
      </c>
      <c r="C720" s="48" t="n">
        <v>45931</v>
      </c>
      <c r="D720" s="47" t="s">
        <v>36</v>
      </c>
      <c r="E720" s="47" t="s">
        <v>41</v>
      </c>
      <c r="F720" s="49" t="n">
        <v>490691</v>
      </c>
      <c r="G720" s="49" t="n">
        <v>490539</v>
      </c>
      <c r="H720" s="49" t="n">
        <v>330971</v>
      </c>
      <c r="I720" s="49" t="n">
        <v>363213</v>
      </c>
      <c r="J720" s="49" t="n">
        <v>65507</v>
      </c>
      <c r="K720" s="49" t="n">
        <v>66451</v>
      </c>
      <c r="L720" s="50" t="n">
        <v>28.2</v>
      </c>
      <c r="M720" s="51" t="n">
        <f aca="false">G720-F720</f>
        <v>-152</v>
      </c>
      <c r="N720" s="52" t="n">
        <f aca="false">IF(F720=0,0,M720/F720)</f>
        <v>-0.000309767246597146</v>
      </c>
      <c r="O720" s="51" t="n">
        <f aca="false">G720-I720</f>
        <v>127326</v>
      </c>
      <c r="P720" s="51" t="n">
        <f aca="false">F720-H720</f>
        <v>159720</v>
      </c>
      <c r="Q720" s="51" t="n">
        <f aca="false">F720-H720-J720</f>
        <v>94213</v>
      </c>
      <c r="R720" s="51" t="n">
        <f aca="false">G720-I720-K720</f>
        <v>60875</v>
      </c>
      <c r="S720" s="51" t="n">
        <f aca="false">R720-Q720</f>
        <v>-33338</v>
      </c>
      <c r="T720" s="52" t="n">
        <f aca="false">IF(Q720=0,0,S720/Q720)</f>
        <v>-0.35385774786919</v>
      </c>
      <c r="U720" s="51" t="str">
        <f aca="false">IF(AND(Q720&gt;0,T720&lt;-0.15),"ADVERSE","")</f>
        <v>ADVERSE</v>
      </c>
    </row>
    <row r="721" customFormat="false" ht="15" hidden="false" customHeight="false" outlineLevel="0" collapsed="false">
      <c r="A721" s="47" t="s">
        <v>3</v>
      </c>
      <c r="B721" s="47" t="s">
        <v>137</v>
      </c>
      <c r="C721" s="48" t="n">
        <v>45962</v>
      </c>
      <c r="D721" s="47" t="s">
        <v>36</v>
      </c>
      <c r="E721" s="47" t="s">
        <v>41</v>
      </c>
      <c r="F721" s="49" t="n">
        <v>493418</v>
      </c>
      <c r="G721" s="49" t="n">
        <v>460789</v>
      </c>
      <c r="H721" s="49" t="n">
        <v>332811</v>
      </c>
      <c r="I721" s="49" t="n">
        <v>330137</v>
      </c>
      <c r="J721" s="49" t="n">
        <v>65871</v>
      </c>
      <c r="K721" s="49" t="n">
        <v>62289</v>
      </c>
      <c r="L721" s="50" t="n">
        <v>28</v>
      </c>
      <c r="M721" s="51" t="n">
        <f aca="false">G721-F721</f>
        <v>-32629</v>
      </c>
      <c r="N721" s="52" t="n">
        <f aca="false">IF(F721=0,0,M721/F721)</f>
        <v>-0.066128515781751</v>
      </c>
      <c r="O721" s="51" t="n">
        <f aca="false">G721-I721</f>
        <v>130652</v>
      </c>
      <c r="P721" s="51" t="n">
        <f aca="false">F721-H721</f>
        <v>160607</v>
      </c>
      <c r="Q721" s="51" t="n">
        <f aca="false">F721-H721-J721</f>
        <v>94736</v>
      </c>
      <c r="R721" s="51" t="n">
        <f aca="false">G721-I721-K721</f>
        <v>68363</v>
      </c>
      <c r="S721" s="51" t="n">
        <f aca="false">R721-Q721</f>
        <v>-26373</v>
      </c>
      <c r="T721" s="52" t="n">
        <f aca="false">IF(Q721=0,0,S721/Q721)</f>
        <v>-0.278384141192366</v>
      </c>
      <c r="U721" s="51" t="str">
        <f aca="false">IF(AND(Q721&gt;0,T721&lt;-0.15),"ADVERSE","")</f>
        <v>ADVERSE</v>
      </c>
    </row>
    <row r="722" customFormat="false" ht="15" hidden="false" customHeight="false" outlineLevel="0" collapsed="false">
      <c r="A722" s="47" t="s">
        <v>3</v>
      </c>
      <c r="B722" s="47" t="s">
        <v>137</v>
      </c>
      <c r="C722" s="48" t="n">
        <v>45992</v>
      </c>
      <c r="D722" s="47" t="s">
        <v>36</v>
      </c>
      <c r="E722" s="47" t="s">
        <v>41</v>
      </c>
      <c r="F722" s="49" t="n">
        <v>482514</v>
      </c>
      <c r="G722" s="49" t="n">
        <v>477321</v>
      </c>
      <c r="H722" s="49" t="n">
        <v>325456</v>
      </c>
      <c r="I722" s="49" t="n">
        <v>346994</v>
      </c>
      <c r="J722" s="49" t="n">
        <v>64416</v>
      </c>
      <c r="K722" s="49" t="n">
        <v>67180</v>
      </c>
      <c r="L722" s="50" t="n">
        <v>29</v>
      </c>
      <c r="M722" s="51" t="n">
        <f aca="false">G722-F722</f>
        <v>-5193</v>
      </c>
      <c r="N722" s="52" t="n">
        <f aca="false">IF(F722=0,0,M722/F722)</f>
        <v>-0.0107623820241485</v>
      </c>
      <c r="O722" s="51" t="n">
        <f aca="false">G722-I722</f>
        <v>130327</v>
      </c>
      <c r="P722" s="51" t="n">
        <f aca="false">F722-H722</f>
        <v>157058</v>
      </c>
      <c r="Q722" s="51" t="n">
        <f aca="false">F722-H722-J722</f>
        <v>92642</v>
      </c>
      <c r="R722" s="51" t="n">
        <f aca="false">G722-I722-K722</f>
        <v>63147</v>
      </c>
      <c r="S722" s="51" t="n">
        <f aca="false">R722-Q722</f>
        <v>-29495</v>
      </c>
      <c r="T722" s="52" t="n">
        <f aca="false">IF(Q722=0,0,S722/Q722)</f>
        <v>-0.3183761145053</v>
      </c>
      <c r="U722" s="51" t="str">
        <f aca="false">IF(AND(Q722&gt;0,T722&lt;-0.15),"ADVERSE","")</f>
        <v>ADVERSE</v>
      </c>
    </row>
    <row r="723" customFormat="false" ht="15" hidden="false" customHeight="false" outlineLevel="0" collapsed="false">
      <c r="A723" s="47" t="s">
        <v>3</v>
      </c>
      <c r="B723" s="47" t="s">
        <v>138</v>
      </c>
      <c r="C723" s="48" t="n">
        <v>46023</v>
      </c>
      <c r="D723" s="47" t="s">
        <v>36</v>
      </c>
      <c r="E723" s="47" t="s">
        <v>41</v>
      </c>
      <c r="F723" s="49" t="n">
        <v>461702</v>
      </c>
      <c r="G723" s="49" t="n">
        <v>418459</v>
      </c>
      <c r="H723" s="49" t="n">
        <v>311418</v>
      </c>
      <c r="I723" s="49" t="n">
        <v>306435</v>
      </c>
      <c r="J723" s="49" t="n">
        <v>61637</v>
      </c>
      <c r="K723" s="49" t="n">
        <v>58498</v>
      </c>
      <c r="L723" s="50" t="n">
        <v>28.8</v>
      </c>
      <c r="M723" s="51" t="n">
        <f aca="false">G723-F723</f>
        <v>-43243</v>
      </c>
      <c r="N723" s="52" t="n">
        <f aca="false">IF(F723=0,0,M723/F723)</f>
        <v>-0.0936599798138193</v>
      </c>
      <c r="O723" s="51" t="n">
        <f aca="false">G723-I723</f>
        <v>112024</v>
      </c>
      <c r="P723" s="51" t="n">
        <f aca="false">F723-H723</f>
        <v>150284</v>
      </c>
      <c r="Q723" s="51" t="n">
        <f aca="false">F723-H723-J723</f>
        <v>88647</v>
      </c>
      <c r="R723" s="51" t="n">
        <f aca="false">G723-I723-K723</f>
        <v>53526</v>
      </c>
      <c r="S723" s="51" t="n">
        <f aca="false">R723-Q723</f>
        <v>-35121</v>
      </c>
      <c r="T723" s="52" t="n">
        <f aca="false">IF(Q723=0,0,S723/Q723)</f>
        <v>-0.396189380351281</v>
      </c>
      <c r="U723" s="51" t="str">
        <f aca="false">IF(AND(Q723&gt;0,T723&lt;-0.15),"ADVERSE","")</f>
        <v>ADVERSE</v>
      </c>
    </row>
    <row r="724" customFormat="false" ht="15" hidden="false" customHeight="false" outlineLevel="0" collapsed="false">
      <c r="A724" s="47" t="s">
        <v>3</v>
      </c>
      <c r="B724" s="47" t="s">
        <v>138</v>
      </c>
      <c r="C724" s="48" t="n">
        <v>46054</v>
      </c>
      <c r="D724" s="47" t="s">
        <v>36</v>
      </c>
      <c r="E724" s="47" t="s">
        <v>41</v>
      </c>
      <c r="F724" s="49" t="n">
        <v>478757</v>
      </c>
      <c r="G724" s="49" t="n">
        <v>411909</v>
      </c>
      <c r="H724" s="49" t="n">
        <v>322922</v>
      </c>
      <c r="I724" s="49" t="n">
        <v>299401</v>
      </c>
      <c r="J724" s="49" t="n">
        <v>63914</v>
      </c>
      <c r="K724" s="49" t="n">
        <v>57131</v>
      </c>
      <c r="L724" s="50" t="n">
        <v>28.7</v>
      </c>
      <c r="M724" s="51" t="n">
        <f aca="false">G724-F724</f>
        <v>-66848</v>
      </c>
      <c r="N724" s="52" t="n">
        <f aca="false">IF(F724=0,0,M724/F724)</f>
        <v>-0.13962824564445</v>
      </c>
      <c r="O724" s="51" t="n">
        <f aca="false">G724-I724</f>
        <v>112508</v>
      </c>
      <c r="P724" s="51" t="n">
        <f aca="false">F724-H724</f>
        <v>155835</v>
      </c>
      <c r="Q724" s="51" t="n">
        <f aca="false">F724-H724-J724</f>
        <v>91921</v>
      </c>
      <c r="R724" s="51" t="n">
        <f aca="false">G724-I724-K724</f>
        <v>55377</v>
      </c>
      <c r="S724" s="51" t="n">
        <f aca="false">R724-Q724</f>
        <v>-36544</v>
      </c>
      <c r="T724" s="52" t="n">
        <f aca="false">IF(Q724=0,0,S724/Q724)</f>
        <v>-0.397558773294459</v>
      </c>
      <c r="U724" s="51" t="str">
        <f aca="false">IF(AND(Q724&gt;0,T724&lt;-0.15),"ADVERSE","")</f>
        <v>ADVERSE</v>
      </c>
    </row>
    <row r="725" customFormat="false" ht="15" hidden="false" customHeight="false" outlineLevel="0" collapsed="false">
      <c r="A725" s="47" t="s">
        <v>3</v>
      </c>
      <c r="B725" s="47" t="s">
        <v>138</v>
      </c>
      <c r="C725" s="48" t="n">
        <v>46082</v>
      </c>
      <c r="D725" s="47" t="s">
        <v>36</v>
      </c>
      <c r="E725" s="47" t="s">
        <v>41</v>
      </c>
      <c r="F725" s="49" t="n">
        <v>515003</v>
      </c>
      <c r="G725" s="49" t="n">
        <v>444774</v>
      </c>
      <c r="H725" s="49" t="n">
        <v>347370</v>
      </c>
      <c r="I725" s="49" t="n">
        <v>326098</v>
      </c>
      <c r="J725" s="49" t="n">
        <v>68753</v>
      </c>
      <c r="K725" s="49" t="n">
        <v>62820</v>
      </c>
      <c r="L725" s="50" t="n">
        <v>29</v>
      </c>
      <c r="M725" s="51" t="n">
        <f aca="false">G725-F725</f>
        <v>-70229</v>
      </c>
      <c r="N725" s="52" t="n">
        <f aca="false">IF(F725=0,0,M725/F725)</f>
        <v>-0.136366195925072</v>
      </c>
      <c r="O725" s="51" t="n">
        <f aca="false">G725-I725</f>
        <v>118676</v>
      </c>
      <c r="P725" s="51" t="n">
        <f aca="false">F725-H725</f>
        <v>167633</v>
      </c>
      <c r="Q725" s="51" t="n">
        <f aca="false">F725-H725-J725</f>
        <v>98880</v>
      </c>
      <c r="R725" s="51" t="n">
        <f aca="false">G725-I725-K725</f>
        <v>55856</v>
      </c>
      <c r="S725" s="51" t="n">
        <f aca="false">R725-Q725</f>
        <v>-43024</v>
      </c>
      <c r="T725" s="52" t="n">
        <f aca="false">IF(Q725=0,0,S725/Q725)</f>
        <v>-0.435113268608414</v>
      </c>
      <c r="U725" s="51" t="str">
        <f aca="false">IF(AND(Q725&gt;0,T725&lt;-0.15),"ADVERSE","")</f>
        <v>ADVERSE</v>
      </c>
    </row>
    <row r="726" customFormat="false" ht="15" hidden="false" customHeight="false" outlineLevel="0" collapsed="false">
      <c r="A726" s="47" t="s">
        <v>134</v>
      </c>
      <c r="B726" s="47" t="s">
        <v>135</v>
      </c>
      <c r="C726" s="48" t="n">
        <v>45017</v>
      </c>
      <c r="D726" s="47" t="s">
        <v>36</v>
      </c>
      <c r="E726" s="47" t="s">
        <v>42</v>
      </c>
      <c r="F726" s="49" t="n">
        <v>484362</v>
      </c>
      <c r="G726" s="49" t="n">
        <v>492853</v>
      </c>
      <c r="H726" s="49" t="n">
        <v>326702</v>
      </c>
      <c r="I726" s="49" t="n">
        <v>337364</v>
      </c>
      <c r="J726" s="49" t="n">
        <v>64662</v>
      </c>
      <c r="K726" s="49" t="n">
        <v>65193</v>
      </c>
      <c r="L726" s="50" t="n">
        <v>42.5</v>
      </c>
      <c r="M726" s="51" t="n">
        <f aca="false">G726-F726</f>
        <v>8491</v>
      </c>
      <c r="N726" s="52" t="n">
        <f aca="false">IF(F726=0,0,M726/F726)</f>
        <v>0.0175302769416263</v>
      </c>
      <c r="O726" s="51" t="n">
        <f aca="false">G726-I726</f>
        <v>155489</v>
      </c>
      <c r="P726" s="51" t="n">
        <f aca="false">F726-H726</f>
        <v>157660</v>
      </c>
      <c r="Q726" s="51" t="n">
        <f aca="false">F726-H726-J726</f>
        <v>92998</v>
      </c>
      <c r="R726" s="51" t="n">
        <f aca="false">G726-I726-K726</f>
        <v>90296</v>
      </c>
      <c r="S726" s="51" t="n">
        <f aca="false">R726-Q726</f>
        <v>-2702</v>
      </c>
      <c r="T726" s="52" t="n">
        <f aca="false">IF(Q726=0,0,S726/Q726)</f>
        <v>-0.0290543882664143</v>
      </c>
      <c r="U726" s="51" t="str">
        <f aca="false">IF(AND(Q726&gt;0,T726&lt;-0.15),"ADVERSE","")</f>
        <v/>
      </c>
    </row>
    <row r="727" customFormat="false" ht="15" hidden="false" customHeight="false" outlineLevel="0" collapsed="false">
      <c r="A727" s="47" t="s">
        <v>134</v>
      </c>
      <c r="B727" s="47" t="s">
        <v>135</v>
      </c>
      <c r="C727" s="48" t="n">
        <v>45047</v>
      </c>
      <c r="D727" s="47" t="s">
        <v>36</v>
      </c>
      <c r="E727" s="47" t="s">
        <v>42</v>
      </c>
      <c r="F727" s="49" t="n">
        <v>487982</v>
      </c>
      <c r="G727" s="49" t="n">
        <v>482935</v>
      </c>
      <c r="H727" s="49" t="n">
        <v>329144</v>
      </c>
      <c r="I727" s="49" t="n">
        <v>327577</v>
      </c>
      <c r="J727" s="49" t="n">
        <v>65146</v>
      </c>
      <c r="K727" s="49" t="n">
        <v>64085</v>
      </c>
      <c r="L727" s="50" t="n">
        <v>43.9</v>
      </c>
      <c r="M727" s="51" t="n">
        <f aca="false">G727-F727</f>
        <v>-5047</v>
      </c>
      <c r="N727" s="52" t="n">
        <f aca="false">IF(F727=0,0,M727/F727)</f>
        <v>-0.0103425946038993</v>
      </c>
      <c r="O727" s="51" t="n">
        <f aca="false">G727-I727</f>
        <v>155358</v>
      </c>
      <c r="P727" s="51" t="n">
        <f aca="false">F727-H727</f>
        <v>158838</v>
      </c>
      <c r="Q727" s="51" t="n">
        <f aca="false">F727-H727-J727</f>
        <v>93692</v>
      </c>
      <c r="R727" s="51" t="n">
        <f aca="false">G727-I727-K727</f>
        <v>91273</v>
      </c>
      <c r="S727" s="51" t="n">
        <f aca="false">R727-Q727</f>
        <v>-2419</v>
      </c>
      <c r="T727" s="52" t="n">
        <f aca="false">IF(Q727=0,0,S727/Q727)</f>
        <v>-0.0258186397984887</v>
      </c>
      <c r="U727" s="51" t="str">
        <f aca="false">IF(AND(Q727&gt;0,T727&lt;-0.15),"ADVERSE","")</f>
        <v/>
      </c>
    </row>
    <row r="728" customFormat="false" ht="15" hidden="false" customHeight="false" outlineLevel="0" collapsed="false">
      <c r="A728" s="47" t="s">
        <v>134</v>
      </c>
      <c r="B728" s="47" t="s">
        <v>135</v>
      </c>
      <c r="C728" s="48" t="n">
        <v>45078</v>
      </c>
      <c r="D728" s="47" t="s">
        <v>36</v>
      </c>
      <c r="E728" s="47" t="s">
        <v>42</v>
      </c>
      <c r="F728" s="49" t="n">
        <v>503307</v>
      </c>
      <c r="G728" s="49" t="n">
        <v>520962</v>
      </c>
      <c r="H728" s="49" t="n">
        <v>339481</v>
      </c>
      <c r="I728" s="49" t="n">
        <v>357034</v>
      </c>
      <c r="J728" s="49" t="n">
        <v>67192</v>
      </c>
      <c r="K728" s="49" t="n">
        <v>66557</v>
      </c>
      <c r="L728" s="50" t="n">
        <v>43.1</v>
      </c>
      <c r="M728" s="51" t="n">
        <f aca="false">G728-F728</f>
        <v>17655</v>
      </c>
      <c r="N728" s="52" t="n">
        <f aca="false">IF(F728=0,0,M728/F728)</f>
        <v>0.0350779941467136</v>
      </c>
      <c r="O728" s="51" t="n">
        <f aca="false">G728-I728</f>
        <v>163928</v>
      </c>
      <c r="P728" s="51" t="n">
        <f aca="false">F728-H728</f>
        <v>163826</v>
      </c>
      <c r="Q728" s="51" t="n">
        <f aca="false">F728-H728-J728</f>
        <v>96634</v>
      </c>
      <c r="R728" s="51" t="n">
        <f aca="false">G728-I728-K728</f>
        <v>97371</v>
      </c>
      <c r="S728" s="51" t="n">
        <f aca="false">R728-Q728</f>
        <v>737</v>
      </c>
      <c r="T728" s="52" t="n">
        <f aca="false">IF(Q728=0,0,S728/Q728)</f>
        <v>0.00762671523480349</v>
      </c>
      <c r="U728" s="51" t="str">
        <f aca="false">IF(AND(Q728&gt;0,T728&lt;-0.15),"ADVERSE","")</f>
        <v/>
      </c>
    </row>
    <row r="729" customFormat="false" ht="15" hidden="false" customHeight="false" outlineLevel="0" collapsed="false">
      <c r="A729" s="47" t="s">
        <v>134</v>
      </c>
      <c r="B729" s="47" t="s">
        <v>136</v>
      </c>
      <c r="C729" s="48" t="n">
        <v>45108</v>
      </c>
      <c r="D729" s="47" t="s">
        <v>36</v>
      </c>
      <c r="E729" s="47" t="s">
        <v>42</v>
      </c>
      <c r="F729" s="49" t="n">
        <v>512245</v>
      </c>
      <c r="G729" s="49" t="n">
        <v>529582</v>
      </c>
      <c r="H729" s="49" t="n">
        <v>345509</v>
      </c>
      <c r="I729" s="49" t="n">
        <v>355663</v>
      </c>
      <c r="J729" s="49" t="n">
        <v>68385</v>
      </c>
      <c r="K729" s="49" t="n">
        <v>67678</v>
      </c>
      <c r="L729" s="50" t="n">
        <v>41.9</v>
      </c>
      <c r="M729" s="51" t="n">
        <f aca="false">G729-F729</f>
        <v>17337</v>
      </c>
      <c r="N729" s="52" t="n">
        <f aca="false">IF(F729=0,0,M729/F729)</f>
        <v>0.0338451327001728</v>
      </c>
      <c r="O729" s="51" t="n">
        <f aca="false">G729-I729</f>
        <v>173919</v>
      </c>
      <c r="P729" s="51" t="n">
        <f aca="false">F729-H729</f>
        <v>166736</v>
      </c>
      <c r="Q729" s="51" t="n">
        <f aca="false">F729-H729-J729</f>
        <v>98351</v>
      </c>
      <c r="R729" s="51" t="n">
        <f aca="false">G729-I729-K729</f>
        <v>106241</v>
      </c>
      <c r="S729" s="51" t="n">
        <f aca="false">R729-Q729</f>
        <v>7890</v>
      </c>
      <c r="T729" s="52" t="n">
        <f aca="false">IF(Q729=0,0,S729/Q729)</f>
        <v>0.08022287521225</v>
      </c>
      <c r="U729" s="51" t="str">
        <f aca="false">IF(AND(Q729&gt;0,T729&lt;-0.15),"ADVERSE","")</f>
        <v/>
      </c>
    </row>
    <row r="730" customFormat="false" ht="15" hidden="false" customHeight="false" outlineLevel="0" collapsed="false">
      <c r="A730" s="47" t="s">
        <v>134</v>
      </c>
      <c r="B730" s="47" t="s">
        <v>136</v>
      </c>
      <c r="C730" s="48" t="n">
        <v>45139</v>
      </c>
      <c r="D730" s="47" t="s">
        <v>36</v>
      </c>
      <c r="E730" s="47" t="s">
        <v>42</v>
      </c>
      <c r="F730" s="49" t="n">
        <v>489352</v>
      </c>
      <c r="G730" s="49" t="n">
        <v>504521</v>
      </c>
      <c r="H730" s="49" t="n">
        <v>330068</v>
      </c>
      <c r="I730" s="49" t="n">
        <v>339846</v>
      </c>
      <c r="J730" s="49" t="n">
        <v>65328</v>
      </c>
      <c r="K730" s="49" t="n">
        <v>68644</v>
      </c>
      <c r="L730" s="50" t="n">
        <v>43.1</v>
      </c>
      <c r="M730" s="51" t="n">
        <f aca="false">G730-F730</f>
        <v>15169</v>
      </c>
      <c r="N730" s="52" t="n">
        <f aca="false">IF(F730=0,0,M730/F730)</f>
        <v>0.0309981363108764</v>
      </c>
      <c r="O730" s="51" t="n">
        <f aca="false">G730-I730</f>
        <v>164675</v>
      </c>
      <c r="P730" s="51" t="n">
        <f aca="false">F730-H730</f>
        <v>159284</v>
      </c>
      <c r="Q730" s="51" t="n">
        <f aca="false">F730-H730-J730</f>
        <v>93956</v>
      </c>
      <c r="R730" s="51" t="n">
        <f aca="false">G730-I730-K730</f>
        <v>96031</v>
      </c>
      <c r="S730" s="51" t="n">
        <f aca="false">R730-Q730</f>
        <v>2075</v>
      </c>
      <c r="T730" s="52" t="n">
        <f aca="false">IF(Q730=0,0,S730/Q730)</f>
        <v>0.0220848056537102</v>
      </c>
      <c r="U730" s="51" t="str">
        <f aca="false">IF(AND(Q730&gt;0,T730&lt;-0.15),"ADVERSE","")</f>
        <v/>
      </c>
    </row>
    <row r="731" customFormat="false" ht="15" hidden="false" customHeight="false" outlineLevel="0" collapsed="false">
      <c r="A731" s="47" t="s">
        <v>134</v>
      </c>
      <c r="B731" s="47" t="s">
        <v>136</v>
      </c>
      <c r="C731" s="48" t="n">
        <v>45170</v>
      </c>
      <c r="D731" s="47" t="s">
        <v>36</v>
      </c>
      <c r="E731" s="47" t="s">
        <v>42</v>
      </c>
      <c r="F731" s="49" t="n">
        <v>505160</v>
      </c>
      <c r="G731" s="49" t="n">
        <v>497935</v>
      </c>
      <c r="H731" s="49" t="n">
        <v>340730</v>
      </c>
      <c r="I731" s="49" t="n">
        <v>330752</v>
      </c>
      <c r="J731" s="49" t="n">
        <v>67439</v>
      </c>
      <c r="K731" s="49" t="n">
        <v>63872</v>
      </c>
      <c r="L731" s="50" t="n">
        <v>42.4</v>
      </c>
      <c r="M731" s="51" t="n">
        <f aca="false">G731-F731</f>
        <v>-7225</v>
      </c>
      <c r="N731" s="52" t="n">
        <f aca="false">IF(F731=0,0,M731/F731)</f>
        <v>-0.0143023992398448</v>
      </c>
      <c r="O731" s="51" t="n">
        <f aca="false">G731-I731</f>
        <v>167183</v>
      </c>
      <c r="P731" s="51" t="n">
        <f aca="false">F731-H731</f>
        <v>164430</v>
      </c>
      <c r="Q731" s="51" t="n">
        <f aca="false">F731-H731-J731</f>
        <v>96991</v>
      </c>
      <c r="R731" s="51" t="n">
        <f aca="false">G731-I731-K731</f>
        <v>103311</v>
      </c>
      <c r="S731" s="51" t="n">
        <f aca="false">R731-Q731</f>
        <v>6320</v>
      </c>
      <c r="T731" s="52" t="n">
        <f aca="false">IF(Q731=0,0,S731/Q731)</f>
        <v>0.0651606850120114</v>
      </c>
      <c r="U731" s="51" t="str">
        <f aca="false">IF(AND(Q731&gt;0,T731&lt;-0.15),"ADVERSE","")</f>
        <v/>
      </c>
    </row>
    <row r="732" customFormat="false" ht="15" hidden="false" customHeight="false" outlineLevel="0" collapsed="false">
      <c r="A732" s="47" t="s">
        <v>134</v>
      </c>
      <c r="B732" s="47" t="s">
        <v>137</v>
      </c>
      <c r="C732" s="48" t="n">
        <v>45200</v>
      </c>
      <c r="D732" s="47" t="s">
        <v>36</v>
      </c>
      <c r="E732" s="47" t="s">
        <v>42</v>
      </c>
      <c r="F732" s="49" t="n">
        <v>521363</v>
      </c>
      <c r="G732" s="49" t="n">
        <v>516723</v>
      </c>
      <c r="H732" s="49" t="n">
        <v>351660</v>
      </c>
      <c r="I732" s="49" t="n">
        <v>345634</v>
      </c>
      <c r="J732" s="49" t="n">
        <v>69602</v>
      </c>
      <c r="K732" s="49" t="n">
        <v>70210</v>
      </c>
      <c r="L732" s="50" t="n">
        <v>43.9</v>
      </c>
      <c r="M732" s="51" t="n">
        <f aca="false">G732-F732</f>
        <v>-4640</v>
      </c>
      <c r="N732" s="52" t="n">
        <f aca="false">IF(F732=0,0,M732/F732)</f>
        <v>-0.00889974931094075</v>
      </c>
      <c r="O732" s="51" t="n">
        <f aca="false">G732-I732</f>
        <v>171089</v>
      </c>
      <c r="P732" s="51" t="n">
        <f aca="false">F732-H732</f>
        <v>169703</v>
      </c>
      <c r="Q732" s="51" t="n">
        <f aca="false">F732-H732-J732</f>
        <v>100101</v>
      </c>
      <c r="R732" s="51" t="n">
        <f aca="false">G732-I732-K732</f>
        <v>100879</v>
      </c>
      <c r="S732" s="51" t="n">
        <f aca="false">R732-Q732</f>
        <v>778</v>
      </c>
      <c r="T732" s="52" t="n">
        <f aca="false">IF(Q732=0,0,S732/Q732)</f>
        <v>0.00777215012837035</v>
      </c>
      <c r="U732" s="51" t="str">
        <f aca="false">IF(AND(Q732&gt;0,T732&lt;-0.15),"ADVERSE","")</f>
        <v/>
      </c>
    </row>
    <row r="733" customFormat="false" ht="15" hidden="false" customHeight="false" outlineLevel="0" collapsed="false">
      <c r="A733" s="47" t="s">
        <v>134</v>
      </c>
      <c r="B733" s="47" t="s">
        <v>137</v>
      </c>
      <c r="C733" s="48" t="n">
        <v>45231</v>
      </c>
      <c r="D733" s="47" t="s">
        <v>36</v>
      </c>
      <c r="E733" s="47" t="s">
        <v>42</v>
      </c>
      <c r="F733" s="49" t="n">
        <v>519180</v>
      </c>
      <c r="G733" s="49" t="n">
        <v>550844</v>
      </c>
      <c r="H733" s="49" t="n">
        <v>350187</v>
      </c>
      <c r="I733" s="49" t="n">
        <v>369634</v>
      </c>
      <c r="J733" s="49" t="n">
        <v>69311</v>
      </c>
      <c r="K733" s="49" t="n">
        <v>69457</v>
      </c>
      <c r="L733" s="50" t="n">
        <v>41.7</v>
      </c>
      <c r="M733" s="51" t="n">
        <f aca="false">G733-F733</f>
        <v>31664</v>
      </c>
      <c r="N733" s="52" t="n">
        <f aca="false">IF(F733=0,0,M733/F733)</f>
        <v>0.0609884818367426</v>
      </c>
      <c r="O733" s="51" t="n">
        <f aca="false">G733-I733</f>
        <v>181210</v>
      </c>
      <c r="P733" s="51" t="n">
        <f aca="false">F733-H733</f>
        <v>168993</v>
      </c>
      <c r="Q733" s="51" t="n">
        <f aca="false">F733-H733-J733</f>
        <v>99682</v>
      </c>
      <c r="R733" s="51" t="n">
        <f aca="false">G733-I733-K733</f>
        <v>111753</v>
      </c>
      <c r="S733" s="51" t="n">
        <f aca="false">R733-Q733</f>
        <v>12071</v>
      </c>
      <c r="T733" s="52" t="n">
        <f aca="false">IF(Q733=0,0,S733/Q733)</f>
        <v>0.121095082361911</v>
      </c>
      <c r="U733" s="51" t="str">
        <f aca="false">IF(AND(Q733&gt;0,T733&lt;-0.15),"ADVERSE","")</f>
        <v/>
      </c>
    </row>
    <row r="734" customFormat="false" ht="15" hidden="false" customHeight="false" outlineLevel="0" collapsed="false">
      <c r="A734" s="47" t="s">
        <v>134</v>
      </c>
      <c r="B734" s="47" t="s">
        <v>137</v>
      </c>
      <c r="C734" s="48" t="n">
        <v>45261</v>
      </c>
      <c r="D734" s="47" t="s">
        <v>36</v>
      </c>
      <c r="E734" s="47" t="s">
        <v>42</v>
      </c>
      <c r="F734" s="49" t="n">
        <v>506947</v>
      </c>
      <c r="G734" s="49" t="n">
        <v>499182</v>
      </c>
      <c r="H734" s="49" t="n">
        <v>341936</v>
      </c>
      <c r="I734" s="49" t="n">
        <v>335254</v>
      </c>
      <c r="J734" s="49" t="n">
        <v>67677</v>
      </c>
      <c r="K734" s="49" t="n">
        <v>73238</v>
      </c>
      <c r="L734" s="50" t="n">
        <v>42.6</v>
      </c>
      <c r="M734" s="51" t="n">
        <f aca="false">G734-F734</f>
        <v>-7765</v>
      </c>
      <c r="N734" s="52" t="n">
        <f aca="false">IF(F734=0,0,M734/F734)</f>
        <v>-0.015317183058584</v>
      </c>
      <c r="O734" s="51" t="n">
        <f aca="false">G734-I734</f>
        <v>163928</v>
      </c>
      <c r="P734" s="51" t="n">
        <f aca="false">F734-H734</f>
        <v>165011</v>
      </c>
      <c r="Q734" s="51" t="n">
        <f aca="false">F734-H734-J734</f>
        <v>97334</v>
      </c>
      <c r="R734" s="51" t="n">
        <f aca="false">G734-I734-K734</f>
        <v>90690</v>
      </c>
      <c r="S734" s="51" t="n">
        <f aca="false">R734-Q734</f>
        <v>-6644</v>
      </c>
      <c r="T734" s="52" t="n">
        <f aca="false">IF(Q734=0,0,S734/Q734)</f>
        <v>-0.0682598064396819</v>
      </c>
      <c r="U734" s="51" t="str">
        <f aca="false">IF(AND(Q734&gt;0,T734&lt;-0.15),"ADVERSE","")</f>
        <v/>
      </c>
    </row>
    <row r="735" customFormat="false" ht="15" hidden="false" customHeight="false" outlineLevel="0" collapsed="false">
      <c r="A735" s="47" t="s">
        <v>134</v>
      </c>
      <c r="B735" s="47" t="s">
        <v>138</v>
      </c>
      <c r="C735" s="48" t="n">
        <v>45292</v>
      </c>
      <c r="D735" s="47" t="s">
        <v>36</v>
      </c>
      <c r="E735" s="47" t="s">
        <v>42</v>
      </c>
      <c r="F735" s="49" t="n">
        <v>481567</v>
      </c>
      <c r="G735" s="49" t="n">
        <v>484623</v>
      </c>
      <c r="H735" s="49" t="n">
        <v>324817</v>
      </c>
      <c r="I735" s="49" t="n">
        <v>331613</v>
      </c>
      <c r="J735" s="49" t="n">
        <v>64289</v>
      </c>
      <c r="K735" s="49" t="n">
        <v>63693</v>
      </c>
      <c r="L735" s="50" t="n">
        <v>42.3</v>
      </c>
      <c r="M735" s="51" t="n">
        <f aca="false">G735-F735</f>
        <v>3056</v>
      </c>
      <c r="N735" s="52" t="n">
        <f aca="false">IF(F735=0,0,M735/F735)</f>
        <v>0.00634594978476515</v>
      </c>
      <c r="O735" s="51" t="n">
        <f aca="false">G735-I735</f>
        <v>153010</v>
      </c>
      <c r="P735" s="51" t="n">
        <f aca="false">F735-H735</f>
        <v>156750</v>
      </c>
      <c r="Q735" s="51" t="n">
        <f aca="false">F735-H735-J735</f>
        <v>92461</v>
      </c>
      <c r="R735" s="51" t="n">
        <f aca="false">G735-I735-K735</f>
        <v>89317</v>
      </c>
      <c r="S735" s="51" t="n">
        <f aca="false">R735-Q735</f>
        <v>-3144</v>
      </c>
      <c r="T735" s="52" t="n">
        <f aca="false">IF(Q735=0,0,S735/Q735)</f>
        <v>-0.0340035258108824</v>
      </c>
      <c r="U735" s="51" t="str">
        <f aca="false">IF(AND(Q735&gt;0,T735&lt;-0.15),"ADVERSE","")</f>
        <v/>
      </c>
    </row>
    <row r="736" customFormat="false" ht="15" hidden="false" customHeight="false" outlineLevel="0" collapsed="false">
      <c r="A736" s="47" t="s">
        <v>134</v>
      </c>
      <c r="B736" s="47" t="s">
        <v>138</v>
      </c>
      <c r="C736" s="48" t="n">
        <v>45323</v>
      </c>
      <c r="D736" s="47" t="s">
        <v>36</v>
      </c>
      <c r="E736" s="47" t="s">
        <v>42</v>
      </c>
      <c r="F736" s="49" t="n">
        <v>506733</v>
      </c>
      <c r="G736" s="49" t="n">
        <v>498015</v>
      </c>
      <c r="H736" s="49" t="n">
        <v>341791</v>
      </c>
      <c r="I736" s="49" t="n">
        <v>343989</v>
      </c>
      <c r="J736" s="49" t="n">
        <v>67649</v>
      </c>
      <c r="K736" s="49" t="n">
        <v>66486</v>
      </c>
      <c r="L736" s="50" t="n">
        <v>43.9</v>
      </c>
      <c r="M736" s="51" t="n">
        <f aca="false">G736-F736</f>
        <v>-8718</v>
      </c>
      <c r="N736" s="52" t="n">
        <f aca="false">IF(F736=0,0,M736/F736)</f>
        <v>-0.0172043265388281</v>
      </c>
      <c r="O736" s="51" t="n">
        <f aca="false">G736-I736</f>
        <v>154026</v>
      </c>
      <c r="P736" s="51" t="n">
        <f aca="false">F736-H736</f>
        <v>164942</v>
      </c>
      <c r="Q736" s="51" t="n">
        <f aca="false">F736-H736-J736</f>
        <v>97293</v>
      </c>
      <c r="R736" s="51" t="n">
        <f aca="false">G736-I736-K736</f>
        <v>87540</v>
      </c>
      <c r="S736" s="51" t="n">
        <f aca="false">R736-Q736</f>
        <v>-9753</v>
      </c>
      <c r="T736" s="52" t="n">
        <f aca="false">IF(Q736=0,0,S736/Q736)</f>
        <v>-0.100243594092072</v>
      </c>
      <c r="U736" s="51" t="str">
        <f aca="false">IF(AND(Q736&gt;0,T736&lt;-0.15),"ADVERSE","")</f>
        <v/>
      </c>
    </row>
    <row r="737" customFormat="false" ht="15" hidden="false" customHeight="false" outlineLevel="0" collapsed="false">
      <c r="A737" s="47" t="s">
        <v>134</v>
      </c>
      <c r="B737" s="47" t="s">
        <v>138</v>
      </c>
      <c r="C737" s="48" t="n">
        <v>45352</v>
      </c>
      <c r="D737" s="47" t="s">
        <v>36</v>
      </c>
      <c r="E737" s="47" t="s">
        <v>42</v>
      </c>
      <c r="F737" s="49" t="n">
        <v>540799</v>
      </c>
      <c r="G737" s="49" t="n">
        <v>534607</v>
      </c>
      <c r="H737" s="49" t="n">
        <v>364769</v>
      </c>
      <c r="I737" s="49" t="n">
        <v>358628</v>
      </c>
      <c r="J737" s="49" t="n">
        <v>72197</v>
      </c>
      <c r="K737" s="49" t="n">
        <v>77181</v>
      </c>
      <c r="L737" s="50" t="n">
        <v>43.1</v>
      </c>
      <c r="M737" s="51" t="n">
        <f aca="false">G737-F737</f>
        <v>-6192</v>
      </c>
      <c r="N737" s="52" t="n">
        <f aca="false">IF(F737=0,0,M737/F737)</f>
        <v>-0.0114497253138412</v>
      </c>
      <c r="O737" s="51" t="n">
        <f aca="false">G737-I737</f>
        <v>175979</v>
      </c>
      <c r="P737" s="51" t="n">
        <f aca="false">F737-H737</f>
        <v>176030</v>
      </c>
      <c r="Q737" s="51" t="n">
        <f aca="false">F737-H737-J737</f>
        <v>103833</v>
      </c>
      <c r="R737" s="51" t="n">
        <f aca="false">G737-I737-K737</f>
        <v>98798</v>
      </c>
      <c r="S737" s="51" t="n">
        <f aca="false">R737-Q737</f>
        <v>-5035</v>
      </c>
      <c r="T737" s="52" t="n">
        <f aca="false">IF(Q737=0,0,S737/Q737)</f>
        <v>-0.0484913274199917</v>
      </c>
      <c r="U737" s="51" t="str">
        <f aca="false">IF(AND(Q737&gt;0,T737&lt;-0.15),"ADVERSE","")</f>
        <v/>
      </c>
    </row>
    <row r="738" customFormat="false" ht="15" hidden="false" customHeight="false" outlineLevel="0" collapsed="false">
      <c r="A738" s="47" t="s">
        <v>139</v>
      </c>
      <c r="B738" s="47" t="s">
        <v>135</v>
      </c>
      <c r="C738" s="48" t="n">
        <v>45383</v>
      </c>
      <c r="D738" s="47" t="s">
        <v>36</v>
      </c>
      <c r="E738" s="47" t="s">
        <v>42</v>
      </c>
      <c r="F738" s="49" t="n">
        <v>517168</v>
      </c>
      <c r="G738" s="49" t="n">
        <v>476523</v>
      </c>
      <c r="H738" s="49" t="n">
        <v>348830</v>
      </c>
      <c r="I738" s="49" t="n">
        <v>325020</v>
      </c>
      <c r="J738" s="49" t="n">
        <v>69042</v>
      </c>
      <c r="K738" s="49" t="n">
        <v>64811</v>
      </c>
      <c r="L738" s="50" t="n">
        <v>43.3</v>
      </c>
      <c r="M738" s="51" t="n">
        <f aca="false">G738-F738</f>
        <v>-40645</v>
      </c>
      <c r="N738" s="52" t="n">
        <f aca="false">IF(F738=0,0,M738/F738)</f>
        <v>-0.078591482845033</v>
      </c>
      <c r="O738" s="51" t="n">
        <f aca="false">G738-I738</f>
        <v>151503</v>
      </c>
      <c r="P738" s="51" t="n">
        <f aca="false">F738-H738</f>
        <v>168338</v>
      </c>
      <c r="Q738" s="51" t="n">
        <f aca="false">F738-H738-J738</f>
        <v>99296</v>
      </c>
      <c r="R738" s="51" t="n">
        <f aca="false">G738-I738-K738</f>
        <v>86692</v>
      </c>
      <c r="S738" s="51" t="n">
        <f aca="false">R738-Q738</f>
        <v>-12604</v>
      </c>
      <c r="T738" s="52" t="n">
        <f aca="false">IF(Q738=0,0,S738/Q738)</f>
        <v>-0.126933612632936</v>
      </c>
      <c r="U738" s="51" t="str">
        <f aca="false">IF(AND(Q738&gt;0,T738&lt;-0.15),"ADVERSE","")</f>
        <v/>
      </c>
    </row>
    <row r="739" customFormat="false" ht="15" hidden="false" customHeight="false" outlineLevel="0" collapsed="false">
      <c r="A739" s="47" t="s">
        <v>139</v>
      </c>
      <c r="B739" s="47" t="s">
        <v>135</v>
      </c>
      <c r="C739" s="48" t="n">
        <v>45413</v>
      </c>
      <c r="D739" s="47" t="s">
        <v>36</v>
      </c>
      <c r="E739" s="47" t="s">
        <v>42</v>
      </c>
      <c r="F739" s="49" t="n">
        <v>520581</v>
      </c>
      <c r="G739" s="49" t="n">
        <v>511808</v>
      </c>
      <c r="H739" s="49" t="n">
        <v>351132</v>
      </c>
      <c r="I739" s="49" t="n">
        <v>350071</v>
      </c>
      <c r="J739" s="49" t="n">
        <v>69498</v>
      </c>
      <c r="K739" s="49" t="n">
        <v>71131</v>
      </c>
      <c r="L739" s="50" t="n">
        <v>43.1</v>
      </c>
      <c r="M739" s="51" t="n">
        <f aca="false">G739-F739</f>
        <v>-8773</v>
      </c>
      <c r="N739" s="52" t="n">
        <f aca="false">IF(F739=0,0,M739/F739)</f>
        <v>-0.0168523246142291</v>
      </c>
      <c r="O739" s="51" t="n">
        <f aca="false">G739-I739</f>
        <v>161737</v>
      </c>
      <c r="P739" s="51" t="n">
        <f aca="false">F739-H739</f>
        <v>169449</v>
      </c>
      <c r="Q739" s="51" t="n">
        <f aca="false">F739-H739-J739</f>
        <v>99951</v>
      </c>
      <c r="R739" s="51" t="n">
        <f aca="false">G739-I739-K739</f>
        <v>90606</v>
      </c>
      <c r="S739" s="51" t="n">
        <f aca="false">R739-Q739</f>
        <v>-9345</v>
      </c>
      <c r="T739" s="52" t="n">
        <f aca="false">IF(Q739=0,0,S739/Q739)</f>
        <v>-0.0934958129483447</v>
      </c>
      <c r="U739" s="51" t="str">
        <f aca="false">IF(AND(Q739&gt;0,T739&lt;-0.15),"ADVERSE","")</f>
        <v/>
      </c>
    </row>
    <row r="740" customFormat="false" ht="15" hidden="false" customHeight="false" outlineLevel="0" collapsed="false">
      <c r="A740" s="47" t="s">
        <v>139</v>
      </c>
      <c r="B740" s="47" t="s">
        <v>135</v>
      </c>
      <c r="C740" s="48" t="n">
        <v>45444</v>
      </c>
      <c r="D740" s="47" t="s">
        <v>36</v>
      </c>
      <c r="E740" s="47" t="s">
        <v>42</v>
      </c>
      <c r="F740" s="49" t="n">
        <v>536685</v>
      </c>
      <c r="G740" s="49" t="n">
        <v>501071</v>
      </c>
      <c r="H740" s="49" t="n">
        <v>361994</v>
      </c>
      <c r="I740" s="49" t="n">
        <v>344458</v>
      </c>
      <c r="J740" s="49" t="n">
        <v>71647</v>
      </c>
      <c r="K740" s="49" t="n">
        <v>58969</v>
      </c>
      <c r="L740" s="50" t="n">
        <v>43.4</v>
      </c>
      <c r="M740" s="51" t="n">
        <f aca="false">G740-F740</f>
        <v>-35614</v>
      </c>
      <c r="N740" s="52" t="n">
        <f aca="false">IF(F740=0,0,M740/F740)</f>
        <v>-0.0663592237532258</v>
      </c>
      <c r="O740" s="51" t="n">
        <f aca="false">G740-I740</f>
        <v>156613</v>
      </c>
      <c r="P740" s="51" t="n">
        <f aca="false">F740-H740</f>
        <v>174691</v>
      </c>
      <c r="Q740" s="51" t="n">
        <f aca="false">F740-H740-J740</f>
        <v>103044</v>
      </c>
      <c r="R740" s="51" t="n">
        <f aca="false">G740-I740-K740</f>
        <v>97644</v>
      </c>
      <c r="S740" s="51" t="n">
        <f aca="false">R740-Q740</f>
        <v>-5400</v>
      </c>
      <c r="T740" s="52" t="n">
        <f aca="false">IF(Q740=0,0,S740/Q740)</f>
        <v>-0.0524047979503901</v>
      </c>
      <c r="U740" s="51" t="str">
        <f aca="false">IF(AND(Q740&gt;0,T740&lt;-0.15),"ADVERSE","")</f>
        <v/>
      </c>
    </row>
    <row r="741" customFormat="false" ht="15" hidden="false" customHeight="false" outlineLevel="0" collapsed="false">
      <c r="A741" s="47" t="s">
        <v>139</v>
      </c>
      <c r="B741" s="47" t="s">
        <v>136</v>
      </c>
      <c r="C741" s="48" t="n">
        <v>45474</v>
      </c>
      <c r="D741" s="47" t="s">
        <v>36</v>
      </c>
      <c r="E741" s="47" t="s">
        <v>42</v>
      </c>
      <c r="F741" s="49" t="n">
        <v>546626</v>
      </c>
      <c r="G741" s="49" t="n">
        <v>535689</v>
      </c>
      <c r="H741" s="49" t="n">
        <v>368699</v>
      </c>
      <c r="I741" s="49" t="n">
        <v>370884</v>
      </c>
      <c r="J741" s="49" t="n">
        <v>72975</v>
      </c>
      <c r="K741" s="49" t="n">
        <v>73333</v>
      </c>
      <c r="L741" s="50" t="n">
        <v>44.5</v>
      </c>
      <c r="M741" s="51" t="n">
        <f aca="false">G741-F741</f>
        <v>-10937</v>
      </c>
      <c r="N741" s="52" t="n">
        <f aca="false">IF(F741=0,0,M741/F741)</f>
        <v>-0.0200081957316337</v>
      </c>
      <c r="O741" s="51" t="n">
        <f aca="false">G741-I741</f>
        <v>164805</v>
      </c>
      <c r="P741" s="51" t="n">
        <f aca="false">F741-H741</f>
        <v>177927</v>
      </c>
      <c r="Q741" s="51" t="n">
        <f aca="false">F741-H741-J741</f>
        <v>104952</v>
      </c>
      <c r="R741" s="51" t="n">
        <f aca="false">G741-I741-K741</f>
        <v>91472</v>
      </c>
      <c r="S741" s="51" t="n">
        <f aca="false">R741-Q741</f>
        <v>-13480</v>
      </c>
      <c r="T741" s="52" t="n">
        <f aca="false">IF(Q741=0,0,S741/Q741)</f>
        <v>-0.128439667657596</v>
      </c>
      <c r="U741" s="51" t="str">
        <f aca="false">IF(AND(Q741&gt;0,T741&lt;-0.15),"ADVERSE","")</f>
        <v/>
      </c>
    </row>
    <row r="742" customFormat="false" ht="15" hidden="false" customHeight="false" outlineLevel="0" collapsed="false">
      <c r="A742" s="47" t="s">
        <v>139</v>
      </c>
      <c r="B742" s="47" t="s">
        <v>136</v>
      </c>
      <c r="C742" s="48" t="n">
        <v>45505</v>
      </c>
      <c r="D742" s="47" t="s">
        <v>36</v>
      </c>
      <c r="E742" s="47" t="s">
        <v>42</v>
      </c>
      <c r="F742" s="49" t="n">
        <v>525254</v>
      </c>
      <c r="G742" s="49" t="n">
        <v>523585</v>
      </c>
      <c r="H742" s="49" t="n">
        <v>354284</v>
      </c>
      <c r="I742" s="49" t="n">
        <v>354948</v>
      </c>
      <c r="J742" s="49" t="n">
        <v>70121</v>
      </c>
      <c r="K742" s="49" t="n">
        <v>70389</v>
      </c>
      <c r="L742" s="50" t="n">
        <v>42.9</v>
      </c>
      <c r="M742" s="51" t="n">
        <f aca="false">G742-F742</f>
        <v>-1669</v>
      </c>
      <c r="N742" s="52" t="n">
        <f aca="false">IF(F742=0,0,M742/F742)</f>
        <v>-0.00317751030929798</v>
      </c>
      <c r="O742" s="51" t="n">
        <f aca="false">G742-I742</f>
        <v>168637</v>
      </c>
      <c r="P742" s="51" t="n">
        <f aca="false">F742-H742</f>
        <v>170970</v>
      </c>
      <c r="Q742" s="51" t="n">
        <f aca="false">F742-H742-J742</f>
        <v>100849</v>
      </c>
      <c r="R742" s="51" t="n">
        <f aca="false">G742-I742-K742</f>
        <v>98248</v>
      </c>
      <c r="S742" s="51" t="n">
        <f aca="false">R742-Q742</f>
        <v>-2601</v>
      </c>
      <c r="T742" s="52" t="n">
        <f aca="false">IF(Q742=0,0,S742/Q742)</f>
        <v>-0.0257910341203185</v>
      </c>
      <c r="U742" s="51" t="str">
        <f aca="false">IF(AND(Q742&gt;0,T742&lt;-0.15),"ADVERSE","")</f>
        <v/>
      </c>
    </row>
    <row r="743" customFormat="false" ht="15" hidden="false" customHeight="false" outlineLevel="0" collapsed="false">
      <c r="A743" s="47" t="s">
        <v>139</v>
      </c>
      <c r="B743" s="47" t="s">
        <v>136</v>
      </c>
      <c r="C743" s="48" t="n">
        <v>45536</v>
      </c>
      <c r="D743" s="47" t="s">
        <v>36</v>
      </c>
      <c r="E743" s="47" t="s">
        <v>42</v>
      </c>
      <c r="F743" s="49" t="n">
        <v>528091</v>
      </c>
      <c r="G743" s="49" t="n">
        <v>536042</v>
      </c>
      <c r="H743" s="49" t="n">
        <v>356197</v>
      </c>
      <c r="I743" s="49" t="n">
        <v>363895</v>
      </c>
      <c r="J743" s="49" t="n">
        <v>70500</v>
      </c>
      <c r="K743" s="49" t="n">
        <v>78117</v>
      </c>
      <c r="L743" s="50" t="n">
        <v>43.2</v>
      </c>
      <c r="M743" s="51" t="n">
        <f aca="false">G743-F743</f>
        <v>7951</v>
      </c>
      <c r="N743" s="52" t="n">
        <f aca="false">IF(F743=0,0,M743/F743)</f>
        <v>0.0150561172222212</v>
      </c>
      <c r="O743" s="51" t="n">
        <f aca="false">G743-I743</f>
        <v>172147</v>
      </c>
      <c r="P743" s="51" t="n">
        <f aca="false">F743-H743</f>
        <v>171894</v>
      </c>
      <c r="Q743" s="51" t="n">
        <f aca="false">F743-H743-J743</f>
        <v>101394</v>
      </c>
      <c r="R743" s="51" t="n">
        <f aca="false">G743-I743-K743</f>
        <v>94030</v>
      </c>
      <c r="S743" s="51" t="n">
        <f aca="false">R743-Q743</f>
        <v>-7364</v>
      </c>
      <c r="T743" s="52" t="n">
        <f aca="false">IF(Q743=0,0,S743/Q743)</f>
        <v>-0.0726275716511825</v>
      </c>
      <c r="U743" s="51" t="str">
        <f aca="false">IF(AND(Q743&gt;0,T743&lt;-0.15),"ADVERSE","")</f>
        <v/>
      </c>
    </row>
    <row r="744" customFormat="false" ht="15" hidden="false" customHeight="false" outlineLevel="0" collapsed="false">
      <c r="A744" s="47" t="s">
        <v>139</v>
      </c>
      <c r="B744" s="47" t="s">
        <v>137</v>
      </c>
      <c r="C744" s="48" t="n">
        <v>45566</v>
      </c>
      <c r="D744" s="47" t="s">
        <v>36</v>
      </c>
      <c r="E744" s="47" t="s">
        <v>42</v>
      </c>
      <c r="F744" s="49" t="n">
        <v>549328</v>
      </c>
      <c r="G744" s="49" t="n">
        <v>525756</v>
      </c>
      <c r="H744" s="49" t="n">
        <v>370522</v>
      </c>
      <c r="I744" s="49" t="n">
        <v>360349</v>
      </c>
      <c r="J744" s="49" t="n">
        <v>73335</v>
      </c>
      <c r="K744" s="49" t="n">
        <v>74472</v>
      </c>
      <c r="L744" s="50" t="n">
        <v>44.4</v>
      </c>
      <c r="M744" s="51" t="n">
        <f aca="false">G744-F744</f>
        <v>-23572</v>
      </c>
      <c r="N744" s="52" t="n">
        <f aca="false">IF(F744=0,0,M744/F744)</f>
        <v>-0.042910610782629</v>
      </c>
      <c r="O744" s="51" t="n">
        <f aca="false">G744-I744</f>
        <v>165407</v>
      </c>
      <c r="P744" s="51" t="n">
        <f aca="false">F744-H744</f>
        <v>178806</v>
      </c>
      <c r="Q744" s="51" t="n">
        <f aca="false">F744-H744-J744</f>
        <v>105471</v>
      </c>
      <c r="R744" s="51" t="n">
        <f aca="false">G744-I744-K744</f>
        <v>90935</v>
      </c>
      <c r="S744" s="51" t="n">
        <f aca="false">R744-Q744</f>
        <v>-14536</v>
      </c>
      <c r="T744" s="52" t="n">
        <f aca="false">IF(Q744=0,0,S744/Q744)</f>
        <v>-0.137819874657489</v>
      </c>
      <c r="U744" s="51" t="str">
        <f aca="false">IF(AND(Q744&gt;0,T744&lt;-0.15),"ADVERSE","")</f>
        <v/>
      </c>
    </row>
    <row r="745" customFormat="false" ht="15" hidden="false" customHeight="false" outlineLevel="0" collapsed="false">
      <c r="A745" s="47" t="s">
        <v>139</v>
      </c>
      <c r="B745" s="47" t="s">
        <v>137</v>
      </c>
      <c r="C745" s="48" t="n">
        <v>45597</v>
      </c>
      <c r="D745" s="47" t="s">
        <v>36</v>
      </c>
      <c r="E745" s="47" t="s">
        <v>42</v>
      </c>
      <c r="F745" s="49" t="n">
        <v>550061</v>
      </c>
      <c r="G745" s="49" t="n">
        <v>510431</v>
      </c>
      <c r="H745" s="49" t="n">
        <v>371016</v>
      </c>
      <c r="I745" s="49" t="n">
        <v>349422</v>
      </c>
      <c r="J745" s="49" t="n">
        <v>73433</v>
      </c>
      <c r="K745" s="49" t="n">
        <v>67106</v>
      </c>
      <c r="L745" s="50" t="n">
        <v>44.4</v>
      </c>
      <c r="M745" s="51" t="n">
        <f aca="false">G745-F745</f>
        <v>-39630</v>
      </c>
      <c r="N745" s="52" t="n">
        <f aca="false">IF(F745=0,0,M745/F745)</f>
        <v>-0.0720465548366454</v>
      </c>
      <c r="O745" s="51" t="n">
        <f aca="false">G745-I745</f>
        <v>161009</v>
      </c>
      <c r="P745" s="51" t="n">
        <f aca="false">F745-H745</f>
        <v>179045</v>
      </c>
      <c r="Q745" s="51" t="n">
        <f aca="false">F745-H745-J745</f>
        <v>105612</v>
      </c>
      <c r="R745" s="51" t="n">
        <f aca="false">G745-I745-K745</f>
        <v>93903</v>
      </c>
      <c r="S745" s="51" t="n">
        <f aca="false">R745-Q745</f>
        <v>-11709</v>
      </c>
      <c r="T745" s="52" t="n">
        <f aca="false">IF(Q745=0,0,S745/Q745)</f>
        <v>-0.110868083172367</v>
      </c>
      <c r="U745" s="51" t="str">
        <f aca="false">IF(AND(Q745&gt;0,T745&lt;-0.15),"ADVERSE","")</f>
        <v/>
      </c>
    </row>
    <row r="746" customFormat="false" ht="15" hidden="false" customHeight="false" outlineLevel="0" collapsed="false">
      <c r="A746" s="47" t="s">
        <v>139</v>
      </c>
      <c r="B746" s="47" t="s">
        <v>137</v>
      </c>
      <c r="C746" s="48" t="n">
        <v>45627</v>
      </c>
      <c r="D746" s="47" t="s">
        <v>36</v>
      </c>
      <c r="E746" s="47" t="s">
        <v>42</v>
      </c>
      <c r="F746" s="49" t="n">
        <v>537490</v>
      </c>
      <c r="G746" s="49" t="n">
        <v>526898</v>
      </c>
      <c r="H746" s="49" t="n">
        <v>362537</v>
      </c>
      <c r="I746" s="49" t="n">
        <v>358296</v>
      </c>
      <c r="J746" s="49" t="n">
        <v>71755</v>
      </c>
      <c r="K746" s="49" t="n">
        <v>71295</v>
      </c>
      <c r="L746" s="50" t="n">
        <v>43.3</v>
      </c>
      <c r="M746" s="51" t="n">
        <f aca="false">G746-F746</f>
        <v>-10592</v>
      </c>
      <c r="N746" s="52" t="n">
        <f aca="false">IF(F746=0,0,M746/F746)</f>
        <v>-0.0197064131425701</v>
      </c>
      <c r="O746" s="51" t="n">
        <f aca="false">G746-I746</f>
        <v>168602</v>
      </c>
      <c r="P746" s="51" t="n">
        <f aca="false">F746-H746</f>
        <v>174953</v>
      </c>
      <c r="Q746" s="51" t="n">
        <f aca="false">F746-H746-J746</f>
        <v>103198</v>
      </c>
      <c r="R746" s="51" t="n">
        <f aca="false">G746-I746-K746</f>
        <v>97307</v>
      </c>
      <c r="S746" s="51" t="n">
        <f aca="false">R746-Q746</f>
        <v>-5891</v>
      </c>
      <c r="T746" s="52" t="n">
        <f aca="false">IF(Q746=0,0,S746/Q746)</f>
        <v>-0.0570844396209229</v>
      </c>
      <c r="U746" s="51" t="str">
        <f aca="false">IF(AND(Q746&gt;0,T746&lt;-0.15),"ADVERSE","")</f>
        <v/>
      </c>
    </row>
    <row r="747" customFormat="false" ht="15" hidden="false" customHeight="false" outlineLevel="0" collapsed="false">
      <c r="A747" s="47" t="s">
        <v>139</v>
      </c>
      <c r="B747" s="47" t="s">
        <v>138</v>
      </c>
      <c r="C747" s="48" t="n">
        <v>45658</v>
      </c>
      <c r="D747" s="47" t="s">
        <v>36</v>
      </c>
      <c r="E747" s="47" t="s">
        <v>42</v>
      </c>
      <c r="F747" s="49" t="n">
        <v>520831</v>
      </c>
      <c r="G747" s="49" t="n">
        <v>517542</v>
      </c>
      <c r="H747" s="49" t="n">
        <v>351301</v>
      </c>
      <c r="I747" s="49" t="n">
        <v>355021</v>
      </c>
      <c r="J747" s="49" t="n">
        <v>69531</v>
      </c>
      <c r="K747" s="49" t="n">
        <v>71880</v>
      </c>
      <c r="L747" s="50" t="n">
        <v>44</v>
      </c>
      <c r="M747" s="51" t="n">
        <f aca="false">G747-F747</f>
        <v>-3289</v>
      </c>
      <c r="N747" s="52" t="n">
        <f aca="false">IF(F747=0,0,M747/F747)</f>
        <v>-0.00631490829078914</v>
      </c>
      <c r="O747" s="51" t="n">
        <f aca="false">G747-I747</f>
        <v>162521</v>
      </c>
      <c r="P747" s="51" t="n">
        <f aca="false">F747-H747</f>
        <v>169530</v>
      </c>
      <c r="Q747" s="51" t="n">
        <f aca="false">F747-H747-J747</f>
        <v>99999</v>
      </c>
      <c r="R747" s="51" t="n">
        <f aca="false">G747-I747-K747</f>
        <v>90641</v>
      </c>
      <c r="S747" s="51" t="n">
        <f aca="false">R747-Q747</f>
        <v>-9358</v>
      </c>
      <c r="T747" s="52" t="n">
        <f aca="false">IF(Q747=0,0,S747/Q747)</f>
        <v>-0.0935809358093581</v>
      </c>
      <c r="U747" s="51" t="str">
        <f aca="false">IF(AND(Q747&gt;0,T747&lt;-0.15),"ADVERSE","")</f>
        <v/>
      </c>
    </row>
    <row r="748" customFormat="false" ht="15" hidden="false" customHeight="false" outlineLevel="0" collapsed="false">
      <c r="A748" s="47" t="s">
        <v>139</v>
      </c>
      <c r="B748" s="47" t="s">
        <v>138</v>
      </c>
      <c r="C748" s="48" t="n">
        <v>45689</v>
      </c>
      <c r="D748" s="47" t="s">
        <v>36</v>
      </c>
      <c r="E748" s="47" t="s">
        <v>42</v>
      </c>
      <c r="F748" s="49" t="n">
        <v>525662</v>
      </c>
      <c r="G748" s="49" t="n">
        <v>518633</v>
      </c>
      <c r="H748" s="49" t="n">
        <v>354559</v>
      </c>
      <c r="I748" s="49" t="n">
        <v>357280</v>
      </c>
      <c r="J748" s="49" t="n">
        <v>70176</v>
      </c>
      <c r="K748" s="49" t="n">
        <v>72742</v>
      </c>
      <c r="L748" s="50" t="n">
        <v>43</v>
      </c>
      <c r="M748" s="51" t="n">
        <f aca="false">G748-F748</f>
        <v>-7029</v>
      </c>
      <c r="N748" s="52" t="n">
        <f aca="false">IF(F748=0,0,M748/F748)</f>
        <v>-0.0133717103385826</v>
      </c>
      <c r="O748" s="51" t="n">
        <f aca="false">G748-I748</f>
        <v>161353</v>
      </c>
      <c r="P748" s="51" t="n">
        <f aca="false">F748-H748</f>
        <v>171103</v>
      </c>
      <c r="Q748" s="51" t="n">
        <f aca="false">F748-H748-J748</f>
        <v>100927</v>
      </c>
      <c r="R748" s="51" t="n">
        <f aca="false">G748-I748-K748</f>
        <v>88611</v>
      </c>
      <c r="S748" s="51" t="n">
        <f aca="false">R748-Q748</f>
        <v>-12316</v>
      </c>
      <c r="T748" s="52" t="n">
        <f aca="false">IF(Q748=0,0,S748/Q748)</f>
        <v>-0.122028793088074</v>
      </c>
      <c r="U748" s="51" t="str">
        <f aca="false">IF(AND(Q748&gt;0,T748&lt;-0.15),"ADVERSE","")</f>
        <v/>
      </c>
    </row>
    <row r="749" customFormat="false" ht="15" hidden="false" customHeight="false" outlineLevel="0" collapsed="false">
      <c r="A749" s="47" t="s">
        <v>139</v>
      </c>
      <c r="B749" s="47" t="s">
        <v>138</v>
      </c>
      <c r="C749" s="48" t="n">
        <v>45717</v>
      </c>
      <c r="D749" s="47" t="s">
        <v>36</v>
      </c>
      <c r="E749" s="47" t="s">
        <v>42</v>
      </c>
      <c r="F749" s="49" t="n">
        <v>575047</v>
      </c>
      <c r="G749" s="49" t="n">
        <v>544016</v>
      </c>
      <c r="H749" s="49" t="n">
        <v>387869</v>
      </c>
      <c r="I749" s="49" t="n">
        <v>372807</v>
      </c>
      <c r="J749" s="49" t="n">
        <v>76769</v>
      </c>
      <c r="K749" s="49" t="n">
        <v>74795</v>
      </c>
      <c r="L749" s="50" t="n">
        <v>45</v>
      </c>
      <c r="M749" s="51" t="n">
        <f aca="false">G749-F749</f>
        <v>-31031</v>
      </c>
      <c r="N749" s="52" t="n">
        <f aca="false">IF(F749=0,0,M749/F749)</f>
        <v>-0.05396254567018</v>
      </c>
      <c r="O749" s="51" t="n">
        <f aca="false">G749-I749</f>
        <v>171209</v>
      </c>
      <c r="P749" s="51" t="n">
        <f aca="false">F749-H749</f>
        <v>187178</v>
      </c>
      <c r="Q749" s="51" t="n">
        <f aca="false">F749-H749-J749</f>
        <v>110409</v>
      </c>
      <c r="R749" s="51" t="n">
        <f aca="false">G749-I749-K749</f>
        <v>96414</v>
      </c>
      <c r="S749" s="51" t="n">
        <f aca="false">R749-Q749</f>
        <v>-13995</v>
      </c>
      <c r="T749" s="52" t="n">
        <f aca="false">IF(Q749=0,0,S749/Q749)</f>
        <v>-0.126755970980627</v>
      </c>
      <c r="U749" s="51" t="str">
        <f aca="false">IF(AND(Q749&gt;0,T749&lt;-0.15),"ADVERSE","")</f>
        <v/>
      </c>
    </row>
    <row r="750" customFormat="false" ht="15" hidden="false" customHeight="false" outlineLevel="0" collapsed="false">
      <c r="A750" s="47" t="s">
        <v>3</v>
      </c>
      <c r="B750" s="47" t="s">
        <v>135</v>
      </c>
      <c r="C750" s="48" t="n">
        <v>45748</v>
      </c>
      <c r="D750" s="47" t="s">
        <v>36</v>
      </c>
      <c r="E750" s="47" t="s">
        <v>42</v>
      </c>
      <c r="F750" s="49" t="n">
        <v>556710</v>
      </c>
      <c r="G750" s="49" t="n">
        <v>523852</v>
      </c>
      <c r="H750" s="49" t="n">
        <v>375501</v>
      </c>
      <c r="I750" s="49" t="n">
        <v>376061</v>
      </c>
      <c r="J750" s="49" t="n">
        <v>74321</v>
      </c>
      <c r="K750" s="49" t="n">
        <v>73683</v>
      </c>
      <c r="L750" s="50" t="n">
        <v>44.8</v>
      </c>
      <c r="M750" s="51" t="n">
        <f aca="false">G750-F750</f>
        <v>-32858</v>
      </c>
      <c r="N750" s="52" t="n">
        <f aca="false">IF(F750=0,0,M750/F750)</f>
        <v>-0.0590217527976864</v>
      </c>
      <c r="O750" s="51" t="n">
        <f aca="false">G750-I750</f>
        <v>147791</v>
      </c>
      <c r="P750" s="51" t="n">
        <f aca="false">F750-H750</f>
        <v>181209</v>
      </c>
      <c r="Q750" s="51" t="n">
        <f aca="false">F750-H750-J750</f>
        <v>106888</v>
      </c>
      <c r="R750" s="51" t="n">
        <f aca="false">G750-I750-K750</f>
        <v>74108</v>
      </c>
      <c r="S750" s="51" t="n">
        <f aca="false">R750-Q750</f>
        <v>-32780</v>
      </c>
      <c r="T750" s="52" t="n">
        <f aca="false">IF(Q750=0,0,S750/Q750)</f>
        <v>-0.306676146994985</v>
      </c>
      <c r="U750" s="51" t="str">
        <f aca="false">IF(AND(Q750&gt;0,T750&lt;-0.15),"ADVERSE","")</f>
        <v>ADVERSE</v>
      </c>
    </row>
    <row r="751" customFormat="false" ht="15" hidden="false" customHeight="false" outlineLevel="0" collapsed="false">
      <c r="A751" s="47" t="s">
        <v>3</v>
      </c>
      <c r="B751" s="47" t="s">
        <v>135</v>
      </c>
      <c r="C751" s="48" t="n">
        <v>45778</v>
      </c>
      <c r="D751" s="47" t="s">
        <v>36</v>
      </c>
      <c r="E751" s="47" t="s">
        <v>42</v>
      </c>
      <c r="F751" s="49" t="n">
        <v>556477</v>
      </c>
      <c r="G751" s="49" t="n">
        <v>545039</v>
      </c>
      <c r="H751" s="49" t="n">
        <v>375344</v>
      </c>
      <c r="I751" s="49" t="n">
        <v>386933</v>
      </c>
      <c r="J751" s="49" t="n">
        <v>74290</v>
      </c>
      <c r="K751" s="49" t="n">
        <v>74326</v>
      </c>
      <c r="L751" s="50" t="n">
        <v>45</v>
      </c>
      <c r="M751" s="51" t="n">
        <f aca="false">G751-F751</f>
        <v>-11438</v>
      </c>
      <c r="N751" s="52" t="n">
        <f aca="false">IF(F751=0,0,M751/F751)</f>
        <v>-0.0205543086237167</v>
      </c>
      <c r="O751" s="51" t="n">
        <f aca="false">G751-I751</f>
        <v>158106</v>
      </c>
      <c r="P751" s="51" t="n">
        <f aca="false">F751-H751</f>
        <v>181133</v>
      </c>
      <c r="Q751" s="51" t="n">
        <f aca="false">F751-H751-J751</f>
        <v>106843</v>
      </c>
      <c r="R751" s="51" t="n">
        <f aca="false">G751-I751-K751</f>
        <v>83780</v>
      </c>
      <c r="S751" s="51" t="n">
        <f aca="false">R751-Q751</f>
        <v>-23063</v>
      </c>
      <c r="T751" s="52" t="n">
        <f aca="false">IF(Q751=0,0,S751/Q751)</f>
        <v>-0.215858783448612</v>
      </c>
      <c r="U751" s="51" t="str">
        <f aca="false">IF(AND(Q751&gt;0,T751&lt;-0.15),"ADVERSE","")</f>
        <v>ADVERSE</v>
      </c>
    </row>
    <row r="752" customFormat="false" ht="15" hidden="false" customHeight="false" outlineLevel="0" collapsed="false">
      <c r="A752" s="47" t="s">
        <v>3</v>
      </c>
      <c r="B752" s="47" t="s">
        <v>135</v>
      </c>
      <c r="C752" s="48" t="n">
        <v>45809</v>
      </c>
      <c r="D752" s="47" t="s">
        <v>36</v>
      </c>
      <c r="E752" s="47" t="s">
        <v>42</v>
      </c>
      <c r="F752" s="49" t="n">
        <v>547988</v>
      </c>
      <c r="G752" s="49" t="n">
        <v>531951</v>
      </c>
      <c r="H752" s="49" t="n">
        <v>369618</v>
      </c>
      <c r="I752" s="49" t="n">
        <v>387791</v>
      </c>
      <c r="J752" s="49" t="n">
        <v>73156</v>
      </c>
      <c r="K752" s="49" t="n">
        <v>73111</v>
      </c>
      <c r="L752" s="50" t="n">
        <v>44.6</v>
      </c>
      <c r="M752" s="51" t="n">
        <f aca="false">G752-F752</f>
        <v>-16037</v>
      </c>
      <c r="N752" s="52" t="n">
        <f aca="false">IF(F752=0,0,M752/F752)</f>
        <v>-0.029265239384804</v>
      </c>
      <c r="O752" s="51" t="n">
        <f aca="false">G752-I752</f>
        <v>144160</v>
      </c>
      <c r="P752" s="51" t="n">
        <f aca="false">F752-H752</f>
        <v>178370</v>
      </c>
      <c r="Q752" s="51" t="n">
        <f aca="false">F752-H752-J752</f>
        <v>105214</v>
      </c>
      <c r="R752" s="51" t="n">
        <f aca="false">G752-I752-K752</f>
        <v>71049</v>
      </c>
      <c r="S752" s="51" t="n">
        <f aca="false">R752-Q752</f>
        <v>-34165</v>
      </c>
      <c r="T752" s="52" t="n">
        <f aca="false">IF(Q752=0,0,S752/Q752)</f>
        <v>-0.324719143840173</v>
      </c>
      <c r="U752" s="51" t="str">
        <f aca="false">IF(AND(Q752&gt;0,T752&lt;-0.15),"ADVERSE","")</f>
        <v>ADVERSE</v>
      </c>
    </row>
    <row r="753" customFormat="false" ht="15" hidden="false" customHeight="false" outlineLevel="0" collapsed="false">
      <c r="A753" s="47" t="s">
        <v>3</v>
      </c>
      <c r="B753" s="47" t="s">
        <v>136</v>
      </c>
      <c r="C753" s="48" t="n">
        <v>45839</v>
      </c>
      <c r="D753" s="47" t="s">
        <v>36</v>
      </c>
      <c r="E753" s="47" t="s">
        <v>42</v>
      </c>
      <c r="F753" s="49" t="n">
        <v>566342</v>
      </c>
      <c r="G753" s="49" t="n">
        <v>541718</v>
      </c>
      <c r="H753" s="49" t="n">
        <v>381998</v>
      </c>
      <c r="I753" s="49" t="n">
        <v>387324</v>
      </c>
      <c r="J753" s="49" t="n">
        <v>75607</v>
      </c>
      <c r="K753" s="49" t="n">
        <v>71911</v>
      </c>
      <c r="L753" s="50" t="n">
        <v>43.9</v>
      </c>
      <c r="M753" s="51" t="n">
        <f aca="false">G753-F753</f>
        <v>-24624</v>
      </c>
      <c r="N753" s="52" t="n">
        <f aca="false">IF(F753=0,0,M753/F753)</f>
        <v>-0.0434790285728411</v>
      </c>
      <c r="O753" s="51" t="n">
        <f aca="false">G753-I753</f>
        <v>154394</v>
      </c>
      <c r="P753" s="51" t="n">
        <f aca="false">F753-H753</f>
        <v>184344</v>
      </c>
      <c r="Q753" s="51" t="n">
        <f aca="false">F753-H753-J753</f>
        <v>108737</v>
      </c>
      <c r="R753" s="51" t="n">
        <f aca="false">G753-I753-K753</f>
        <v>82483</v>
      </c>
      <c r="S753" s="51" t="n">
        <f aca="false">R753-Q753</f>
        <v>-26254</v>
      </c>
      <c r="T753" s="52" t="n">
        <f aca="false">IF(Q753=0,0,S753/Q753)</f>
        <v>-0.241444954339369</v>
      </c>
      <c r="U753" s="51" t="str">
        <f aca="false">IF(AND(Q753&gt;0,T753&lt;-0.15),"ADVERSE","")</f>
        <v>ADVERSE</v>
      </c>
    </row>
    <row r="754" customFormat="false" ht="15" hidden="false" customHeight="false" outlineLevel="0" collapsed="false">
      <c r="A754" s="47" t="s">
        <v>3</v>
      </c>
      <c r="B754" s="47" t="s">
        <v>136</v>
      </c>
      <c r="C754" s="48" t="n">
        <v>45870</v>
      </c>
      <c r="D754" s="47" t="s">
        <v>36</v>
      </c>
      <c r="E754" s="47" t="s">
        <v>42</v>
      </c>
      <c r="F754" s="49" t="n">
        <v>552598</v>
      </c>
      <c r="G754" s="49" t="n">
        <v>518139</v>
      </c>
      <c r="H754" s="49" t="n">
        <v>372727</v>
      </c>
      <c r="I754" s="49" t="n">
        <v>374913</v>
      </c>
      <c r="J754" s="49" t="n">
        <v>73772</v>
      </c>
      <c r="K754" s="49" t="n">
        <v>70768</v>
      </c>
      <c r="L754" s="50" t="n">
        <v>44.5</v>
      </c>
      <c r="M754" s="51" t="n">
        <f aca="false">G754-F754</f>
        <v>-34459</v>
      </c>
      <c r="N754" s="52" t="n">
        <f aca="false">IF(F754=0,0,M754/F754)</f>
        <v>-0.0623581699535648</v>
      </c>
      <c r="O754" s="51" t="n">
        <f aca="false">G754-I754</f>
        <v>143226</v>
      </c>
      <c r="P754" s="51" t="n">
        <f aca="false">F754-H754</f>
        <v>179871</v>
      </c>
      <c r="Q754" s="51" t="n">
        <f aca="false">F754-H754-J754</f>
        <v>106099</v>
      </c>
      <c r="R754" s="51" t="n">
        <f aca="false">G754-I754-K754</f>
        <v>72458</v>
      </c>
      <c r="S754" s="51" t="n">
        <f aca="false">R754-Q754</f>
        <v>-33641</v>
      </c>
      <c r="T754" s="52" t="n">
        <f aca="false">IF(Q754=0,0,S754/Q754)</f>
        <v>-0.31707179144007</v>
      </c>
      <c r="U754" s="51" t="str">
        <f aca="false">IF(AND(Q754&gt;0,T754&lt;-0.15),"ADVERSE","")</f>
        <v>ADVERSE</v>
      </c>
    </row>
    <row r="755" customFormat="false" ht="15" hidden="false" customHeight="false" outlineLevel="0" collapsed="false">
      <c r="A755" s="47" t="s">
        <v>3</v>
      </c>
      <c r="B755" s="47" t="s">
        <v>136</v>
      </c>
      <c r="C755" s="48" t="n">
        <v>45901</v>
      </c>
      <c r="D755" s="47" t="s">
        <v>36</v>
      </c>
      <c r="E755" s="47" t="s">
        <v>42</v>
      </c>
      <c r="F755" s="49" t="n">
        <v>569516</v>
      </c>
      <c r="G755" s="49" t="n">
        <v>537826</v>
      </c>
      <c r="H755" s="49" t="n">
        <v>384138</v>
      </c>
      <c r="I755" s="49" t="n">
        <v>388721</v>
      </c>
      <c r="J755" s="49" t="n">
        <v>76030</v>
      </c>
      <c r="K755" s="49" t="n">
        <v>71868</v>
      </c>
      <c r="L755" s="50" t="n">
        <v>44.7</v>
      </c>
      <c r="M755" s="51" t="n">
        <f aca="false">G755-F755</f>
        <v>-31690</v>
      </c>
      <c r="N755" s="52" t="n">
        <f aca="false">IF(F755=0,0,M755/F755)</f>
        <v>-0.0556437395964293</v>
      </c>
      <c r="O755" s="51" t="n">
        <f aca="false">G755-I755</f>
        <v>149105</v>
      </c>
      <c r="P755" s="51" t="n">
        <f aca="false">F755-H755</f>
        <v>185378</v>
      </c>
      <c r="Q755" s="51" t="n">
        <f aca="false">F755-H755-J755</f>
        <v>109348</v>
      </c>
      <c r="R755" s="51" t="n">
        <f aca="false">G755-I755-K755</f>
        <v>77237</v>
      </c>
      <c r="S755" s="51" t="n">
        <f aca="false">R755-Q755</f>
        <v>-32111</v>
      </c>
      <c r="T755" s="52" t="n">
        <f aca="false">IF(Q755=0,0,S755/Q755)</f>
        <v>-0.29365877748107</v>
      </c>
      <c r="U755" s="51" t="str">
        <f aca="false">IF(AND(Q755&gt;0,T755&lt;-0.15),"ADVERSE","")</f>
        <v>ADVERSE</v>
      </c>
    </row>
    <row r="756" customFormat="false" ht="15" hidden="false" customHeight="false" outlineLevel="0" collapsed="false">
      <c r="A756" s="47" t="s">
        <v>3</v>
      </c>
      <c r="B756" s="47" t="s">
        <v>137</v>
      </c>
      <c r="C756" s="48" t="n">
        <v>45931</v>
      </c>
      <c r="D756" s="47" t="s">
        <v>36</v>
      </c>
      <c r="E756" s="47" t="s">
        <v>42</v>
      </c>
      <c r="F756" s="49" t="n">
        <v>594804</v>
      </c>
      <c r="G756" s="49" t="n">
        <v>538708</v>
      </c>
      <c r="H756" s="49" t="n">
        <v>401195</v>
      </c>
      <c r="I756" s="49" t="n">
        <v>389430</v>
      </c>
      <c r="J756" s="49" t="n">
        <v>79406</v>
      </c>
      <c r="K756" s="49" t="n">
        <v>76675</v>
      </c>
      <c r="L756" s="50" t="n">
        <v>44</v>
      </c>
      <c r="M756" s="51" t="n">
        <f aca="false">G756-F756</f>
        <v>-56096</v>
      </c>
      <c r="N756" s="52" t="n">
        <f aca="false">IF(F756=0,0,M756/F756)</f>
        <v>-0.0943100584394187</v>
      </c>
      <c r="O756" s="51" t="n">
        <f aca="false">G756-I756</f>
        <v>149278</v>
      </c>
      <c r="P756" s="51" t="n">
        <f aca="false">F756-H756</f>
        <v>193609</v>
      </c>
      <c r="Q756" s="51" t="n">
        <f aca="false">F756-H756-J756</f>
        <v>114203</v>
      </c>
      <c r="R756" s="51" t="n">
        <f aca="false">G756-I756-K756</f>
        <v>72603</v>
      </c>
      <c r="S756" s="51" t="n">
        <f aca="false">R756-Q756</f>
        <v>-41600</v>
      </c>
      <c r="T756" s="52" t="n">
        <f aca="false">IF(Q756=0,0,S756/Q756)</f>
        <v>-0.364263635806415</v>
      </c>
      <c r="U756" s="51" t="str">
        <f aca="false">IF(AND(Q756&gt;0,T756&lt;-0.15),"ADVERSE","")</f>
        <v>ADVERSE</v>
      </c>
    </row>
    <row r="757" customFormat="false" ht="15" hidden="false" customHeight="false" outlineLevel="0" collapsed="false">
      <c r="A757" s="47" t="s">
        <v>3</v>
      </c>
      <c r="B757" s="47" t="s">
        <v>137</v>
      </c>
      <c r="C757" s="48" t="n">
        <v>45962</v>
      </c>
      <c r="D757" s="47" t="s">
        <v>36</v>
      </c>
      <c r="E757" s="47" t="s">
        <v>42</v>
      </c>
      <c r="F757" s="49" t="n">
        <v>586754</v>
      </c>
      <c r="G757" s="49" t="n">
        <v>546829</v>
      </c>
      <c r="H757" s="49" t="n">
        <v>395765</v>
      </c>
      <c r="I757" s="49" t="n">
        <v>385552</v>
      </c>
      <c r="J757" s="49" t="n">
        <v>78332</v>
      </c>
      <c r="K757" s="49" t="n">
        <v>73538</v>
      </c>
      <c r="L757" s="50" t="n">
        <v>43.5</v>
      </c>
      <c r="M757" s="51" t="n">
        <f aca="false">G757-F757</f>
        <v>-39925</v>
      </c>
      <c r="N757" s="52" t="n">
        <f aca="false">IF(F757=0,0,M757/F757)</f>
        <v>-0.0680438480180791</v>
      </c>
      <c r="O757" s="51" t="n">
        <f aca="false">G757-I757</f>
        <v>161277</v>
      </c>
      <c r="P757" s="51" t="n">
        <f aca="false">F757-H757</f>
        <v>190989</v>
      </c>
      <c r="Q757" s="51" t="n">
        <f aca="false">F757-H757-J757</f>
        <v>112657</v>
      </c>
      <c r="R757" s="51" t="n">
        <f aca="false">G757-I757-K757</f>
        <v>87739</v>
      </c>
      <c r="S757" s="51" t="n">
        <f aca="false">R757-Q757</f>
        <v>-24918</v>
      </c>
      <c r="T757" s="52" t="n">
        <f aca="false">IF(Q757=0,0,S757/Q757)</f>
        <v>-0.22118465785526</v>
      </c>
      <c r="U757" s="51" t="str">
        <f aca="false">IF(AND(Q757&gt;0,T757&lt;-0.15),"ADVERSE","")</f>
        <v>ADVERSE</v>
      </c>
    </row>
    <row r="758" customFormat="false" ht="15" hidden="false" customHeight="false" outlineLevel="0" collapsed="false">
      <c r="A758" s="47" t="s">
        <v>3</v>
      </c>
      <c r="B758" s="47" t="s">
        <v>137</v>
      </c>
      <c r="C758" s="48" t="n">
        <v>45992</v>
      </c>
      <c r="D758" s="47" t="s">
        <v>36</v>
      </c>
      <c r="E758" s="47" t="s">
        <v>42</v>
      </c>
      <c r="F758" s="49" t="n">
        <v>570543</v>
      </c>
      <c r="G758" s="49" t="n">
        <v>585856</v>
      </c>
      <c r="H758" s="49" t="n">
        <v>384831</v>
      </c>
      <c r="I758" s="49" t="n">
        <v>416588</v>
      </c>
      <c r="J758" s="49" t="n">
        <v>76167</v>
      </c>
      <c r="K758" s="49" t="n">
        <v>82286</v>
      </c>
      <c r="L758" s="50" t="n">
        <v>44.5</v>
      </c>
      <c r="M758" s="51" t="n">
        <f aca="false">G758-F758</f>
        <v>15313</v>
      </c>
      <c r="N758" s="52" t="n">
        <f aca="false">IF(F758=0,0,M758/F758)</f>
        <v>0.0268393442737883</v>
      </c>
      <c r="O758" s="51" t="n">
        <f aca="false">G758-I758</f>
        <v>169268</v>
      </c>
      <c r="P758" s="51" t="n">
        <f aca="false">F758-H758</f>
        <v>185712</v>
      </c>
      <c r="Q758" s="51" t="n">
        <f aca="false">F758-H758-J758</f>
        <v>109545</v>
      </c>
      <c r="R758" s="51" t="n">
        <f aca="false">G758-I758-K758</f>
        <v>86982</v>
      </c>
      <c r="S758" s="51" t="n">
        <f aca="false">R758-Q758</f>
        <v>-22563</v>
      </c>
      <c r="T758" s="52" t="n">
        <f aca="false">IF(Q758=0,0,S758/Q758)</f>
        <v>-0.205970149253731</v>
      </c>
      <c r="U758" s="51" t="str">
        <f aca="false">IF(AND(Q758&gt;0,T758&lt;-0.15),"ADVERSE","")</f>
        <v>ADVERSE</v>
      </c>
    </row>
    <row r="759" customFormat="false" ht="15" hidden="false" customHeight="false" outlineLevel="0" collapsed="false">
      <c r="A759" s="47" t="s">
        <v>3</v>
      </c>
      <c r="B759" s="47" t="s">
        <v>138</v>
      </c>
      <c r="C759" s="48" t="n">
        <v>46023</v>
      </c>
      <c r="D759" s="47" t="s">
        <v>36</v>
      </c>
      <c r="E759" s="47" t="s">
        <v>42</v>
      </c>
      <c r="F759" s="49" t="n">
        <v>551434</v>
      </c>
      <c r="G759" s="49" t="n">
        <v>527011</v>
      </c>
      <c r="H759" s="49" t="n">
        <v>371942</v>
      </c>
      <c r="I759" s="49" t="n">
        <v>381721</v>
      </c>
      <c r="J759" s="49" t="n">
        <v>73616</v>
      </c>
      <c r="K759" s="49" t="n">
        <v>69154</v>
      </c>
      <c r="L759" s="50" t="n">
        <v>45</v>
      </c>
      <c r="M759" s="51" t="n">
        <f aca="false">G759-F759</f>
        <v>-24423</v>
      </c>
      <c r="N759" s="52" t="n">
        <f aca="false">IF(F759=0,0,M759/F759)</f>
        <v>-0.0442899784924397</v>
      </c>
      <c r="O759" s="51" t="n">
        <f aca="false">G759-I759</f>
        <v>145290</v>
      </c>
      <c r="P759" s="51" t="n">
        <f aca="false">F759-H759</f>
        <v>179492</v>
      </c>
      <c r="Q759" s="51" t="n">
        <f aca="false">F759-H759-J759</f>
        <v>105876</v>
      </c>
      <c r="R759" s="51" t="n">
        <f aca="false">G759-I759-K759</f>
        <v>76136</v>
      </c>
      <c r="S759" s="51" t="n">
        <f aca="false">R759-Q759</f>
        <v>-29740</v>
      </c>
      <c r="T759" s="52" t="n">
        <f aca="false">IF(Q759=0,0,S759/Q759)</f>
        <v>-0.280894631455665</v>
      </c>
      <c r="U759" s="51" t="str">
        <f aca="false">IF(AND(Q759&gt;0,T759&lt;-0.15),"ADVERSE","")</f>
        <v>ADVERSE</v>
      </c>
    </row>
    <row r="760" customFormat="false" ht="15" hidden="false" customHeight="false" outlineLevel="0" collapsed="false">
      <c r="A760" s="47" t="s">
        <v>3</v>
      </c>
      <c r="B760" s="47" t="s">
        <v>138</v>
      </c>
      <c r="C760" s="48" t="n">
        <v>46054</v>
      </c>
      <c r="D760" s="47" t="s">
        <v>36</v>
      </c>
      <c r="E760" s="47" t="s">
        <v>42</v>
      </c>
      <c r="F760" s="49" t="n">
        <v>562481</v>
      </c>
      <c r="G760" s="49" t="n">
        <v>503145</v>
      </c>
      <c r="H760" s="49" t="n">
        <v>379393</v>
      </c>
      <c r="I760" s="49" t="n">
        <v>359391</v>
      </c>
      <c r="J760" s="49" t="n">
        <v>75091</v>
      </c>
      <c r="K760" s="49" t="n">
        <v>64218</v>
      </c>
      <c r="L760" s="50" t="n">
        <v>46.1</v>
      </c>
      <c r="M760" s="51" t="n">
        <f aca="false">G760-F760</f>
        <v>-59336</v>
      </c>
      <c r="N760" s="52" t="n">
        <f aca="false">IF(F760=0,0,M760/F760)</f>
        <v>-0.105489785432752</v>
      </c>
      <c r="O760" s="51" t="n">
        <f aca="false">G760-I760</f>
        <v>143754</v>
      </c>
      <c r="P760" s="51" t="n">
        <f aca="false">F760-H760</f>
        <v>183088</v>
      </c>
      <c r="Q760" s="51" t="n">
        <f aca="false">F760-H760-J760</f>
        <v>107997</v>
      </c>
      <c r="R760" s="51" t="n">
        <f aca="false">G760-I760-K760</f>
        <v>79536</v>
      </c>
      <c r="S760" s="51" t="n">
        <f aca="false">R760-Q760</f>
        <v>-28461</v>
      </c>
      <c r="T760" s="52" t="n">
        <f aca="false">IF(Q760=0,0,S760/Q760)</f>
        <v>-0.263535098197172</v>
      </c>
      <c r="U760" s="51" t="str">
        <f aca="false">IF(AND(Q760&gt;0,T760&lt;-0.15),"ADVERSE","")</f>
        <v>ADVERSE</v>
      </c>
    </row>
    <row r="761" customFormat="false" ht="15" hidden="false" customHeight="false" outlineLevel="0" collapsed="false">
      <c r="A761" s="47" t="s">
        <v>3</v>
      </c>
      <c r="B761" s="47" t="s">
        <v>138</v>
      </c>
      <c r="C761" s="48" t="n">
        <v>46082</v>
      </c>
      <c r="D761" s="47" t="s">
        <v>36</v>
      </c>
      <c r="E761" s="47" t="s">
        <v>42</v>
      </c>
      <c r="F761" s="49" t="n">
        <v>609338</v>
      </c>
      <c r="G761" s="49" t="n">
        <v>561208</v>
      </c>
      <c r="H761" s="49" t="n">
        <v>410998</v>
      </c>
      <c r="I761" s="49" t="n">
        <v>405566</v>
      </c>
      <c r="J761" s="49" t="n">
        <v>81347</v>
      </c>
      <c r="K761" s="49" t="n">
        <v>72646</v>
      </c>
      <c r="L761" s="50" t="n">
        <v>44.3</v>
      </c>
      <c r="M761" s="51" t="n">
        <f aca="false">G761-F761</f>
        <v>-48130</v>
      </c>
      <c r="N761" s="52" t="n">
        <f aca="false">IF(F761=0,0,M761/F761)</f>
        <v>-0.0789873600530412</v>
      </c>
      <c r="O761" s="51" t="n">
        <f aca="false">G761-I761</f>
        <v>155642</v>
      </c>
      <c r="P761" s="51" t="n">
        <f aca="false">F761-H761</f>
        <v>198340</v>
      </c>
      <c r="Q761" s="51" t="n">
        <f aca="false">F761-H761-J761</f>
        <v>116993</v>
      </c>
      <c r="R761" s="51" t="n">
        <f aca="false">G761-I761-K761</f>
        <v>82996</v>
      </c>
      <c r="S761" s="51" t="n">
        <f aca="false">R761-Q761</f>
        <v>-33997</v>
      </c>
      <c r="T761" s="52" t="n">
        <f aca="false">IF(Q761=0,0,S761/Q761)</f>
        <v>-0.290590035301257</v>
      </c>
      <c r="U761" s="51" t="str">
        <f aca="false">IF(AND(Q761&gt;0,T761&lt;-0.15),"ADVERSE","")</f>
        <v>ADVERSE</v>
      </c>
    </row>
    <row r="762" customFormat="false" ht="15" hidden="false" customHeight="false" outlineLevel="0" collapsed="false">
      <c r="A762" s="47" t="s">
        <v>134</v>
      </c>
      <c r="B762" s="47" t="s">
        <v>135</v>
      </c>
      <c r="C762" s="48" t="n">
        <v>45017</v>
      </c>
      <c r="D762" s="47" t="s">
        <v>36</v>
      </c>
      <c r="E762" s="47" t="s">
        <v>43</v>
      </c>
      <c r="F762" s="49" t="n">
        <v>373992</v>
      </c>
      <c r="G762" s="49" t="n">
        <v>368734</v>
      </c>
      <c r="H762" s="49" t="n">
        <v>252258</v>
      </c>
      <c r="I762" s="49" t="n">
        <v>246091</v>
      </c>
      <c r="J762" s="49" t="n">
        <v>49928</v>
      </c>
      <c r="K762" s="49" t="n">
        <v>55576</v>
      </c>
      <c r="L762" s="50" t="n">
        <v>18.2</v>
      </c>
      <c r="M762" s="51" t="n">
        <f aca="false">G762-F762</f>
        <v>-5258</v>
      </c>
      <c r="N762" s="52" t="n">
        <f aca="false">IF(F762=0,0,M762/F762)</f>
        <v>-0.0140591242593424</v>
      </c>
      <c r="O762" s="51" t="n">
        <f aca="false">G762-I762</f>
        <v>122643</v>
      </c>
      <c r="P762" s="51" t="n">
        <f aca="false">F762-H762</f>
        <v>121734</v>
      </c>
      <c r="Q762" s="51" t="n">
        <f aca="false">F762-H762-J762</f>
        <v>71806</v>
      </c>
      <c r="R762" s="51" t="n">
        <f aca="false">G762-I762-K762</f>
        <v>67067</v>
      </c>
      <c r="S762" s="51" t="n">
        <f aca="false">R762-Q762</f>
        <v>-4739</v>
      </c>
      <c r="T762" s="52" t="n">
        <f aca="false">IF(Q762=0,0,S762/Q762)</f>
        <v>-0.0659972704230844</v>
      </c>
      <c r="U762" s="51" t="str">
        <f aca="false">IF(AND(Q762&gt;0,T762&lt;-0.15),"ADVERSE","")</f>
        <v/>
      </c>
    </row>
    <row r="763" customFormat="false" ht="15" hidden="false" customHeight="false" outlineLevel="0" collapsed="false">
      <c r="A763" s="47" t="s">
        <v>134</v>
      </c>
      <c r="B763" s="47" t="s">
        <v>135</v>
      </c>
      <c r="C763" s="48" t="n">
        <v>45047</v>
      </c>
      <c r="D763" s="47" t="s">
        <v>36</v>
      </c>
      <c r="E763" s="47" t="s">
        <v>43</v>
      </c>
      <c r="F763" s="49" t="n">
        <v>369343</v>
      </c>
      <c r="G763" s="49" t="n">
        <v>379292</v>
      </c>
      <c r="H763" s="49" t="n">
        <v>249122</v>
      </c>
      <c r="I763" s="49" t="n">
        <v>254233</v>
      </c>
      <c r="J763" s="49" t="n">
        <v>49307</v>
      </c>
      <c r="K763" s="49" t="n">
        <v>51219</v>
      </c>
      <c r="L763" s="50" t="n">
        <v>18</v>
      </c>
      <c r="M763" s="51" t="n">
        <f aca="false">G763-F763</f>
        <v>9949</v>
      </c>
      <c r="N763" s="52" t="n">
        <f aca="false">IF(F763=0,0,M763/F763)</f>
        <v>0.0269370206014464</v>
      </c>
      <c r="O763" s="51" t="n">
        <f aca="false">G763-I763</f>
        <v>125059</v>
      </c>
      <c r="P763" s="51" t="n">
        <f aca="false">F763-H763</f>
        <v>120221</v>
      </c>
      <c r="Q763" s="51" t="n">
        <f aca="false">F763-H763-J763</f>
        <v>70914</v>
      </c>
      <c r="R763" s="51" t="n">
        <f aca="false">G763-I763-K763</f>
        <v>73840</v>
      </c>
      <c r="S763" s="51" t="n">
        <f aca="false">R763-Q763</f>
        <v>2926</v>
      </c>
      <c r="T763" s="52" t="n">
        <f aca="false">IF(Q763=0,0,S763/Q763)</f>
        <v>0.0412612460163014</v>
      </c>
      <c r="U763" s="51" t="str">
        <f aca="false">IF(AND(Q763&gt;0,T763&lt;-0.15),"ADVERSE","")</f>
        <v/>
      </c>
    </row>
    <row r="764" customFormat="false" ht="15" hidden="false" customHeight="false" outlineLevel="0" collapsed="false">
      <c r="A764" s="47" t="s">
        <v>134</v>
      </c>
      <c r="B764" s="47" t="s">
        <v>135</v>
      </c>
      <c r="C764" s="48" t="n">
        <v>45078</v>
      </c>
      <c r="D764" s="47" t="s">
        <v>36</v>
      </c>
      <c r="E764" s="47" t="s">
        <v>43</v>
      </c>
      <c r="F764" s="49" t="n">
        <v>375379</v>
      </c>
      <c r="G764" s="49" t="n">
        <v>381396</v>
      </c>
      <c r="H764" s="49" t="n">
        <v>253193</v>
      </c>
      <c r="I764" s="49" t="n">
        <v>261905</v>
      </c>
      <c r="J764" s="49" t="n">
        <v>50113</v>
      </c>
      <c r="K764" s="49" t="n">
        <v>52044</v>
      </c>
      <c r="L764" s="50" t="n">
        <v>18.2</v>
      </c>
      <c r="M764" s="51" t="n">
        <f aca="false">G764-F764</f>
        <v>6017</v>
      </c>
      <c r="N764" s="52" t="n">
        <f aca="false">IF(F764=0,0,M764/F764)</f>
        <v>0.0160291332226896</v>
      </c>
      <c r="O764" s="51" t="n">
        <f aca="false">G764-I764</f>
        <v>119491</v>
      </c>
      <c r="P764" s="51" t="n">
        <f aca="false">F764-H764</f>
        <v>122186</v>
      </c>
      <c r="Q764" s="51" t="n">
        <f aca="false">F764-H764-J764</f>
        <v>72073</v>
      </c>
      <c r="R764" s="51" t="n">
        <f aca="false">G764-I764-K764</f>
        <v>67447</v>
      </c>
      <c r="S764" s="51" t="n">
        <f aca="false">R764-Q764</f>
        <v>-4626</v>
      </c>
      <c r="T764" s="52" t="n">
        <f aca="false">IF(Q764=0,0,S764/Q764)</f>
        <v>-0.0641849236191084</v>
      </c>
      <c r="U764" s="51" t="str">
        <f aca="false">IF(AND(Q764&gt;0,T764&lt;-0.15),"ADVERSE","")</f>
        <v/>
      </c>
    </row>
    <row r="765" customFormat="false" ht="15" hidden="false" customHeight="false" outlineLevel="0" collapsed="false">
      <c r="A765" s="47" t="s">
        <v>134</v>
      </c>
      <c r="B765" s="47" t="s">
        <v>136</v>
      </c>
      <c r="C765" s="48" t="n">
        <v>45108</v>
      </c>
      <c r="D765" s="47" t="s">
        <v>36</v>
      </c>
      <c r="E765" s="47" t="s">
        <v>43</v>
      </c>
      <c r="F765" s="49" t="n">
        <v>378425</v>
      </c>
      <c r="G765" s="49" t="n">
        <v>384938</v>
      </c>
      <c r="H765" s="49" t="n">
        <v>255247</v>
      </c>
      <c r="I765" s="49" t="n">
        <v>257126</v>
      </c>
      <c r="J765" s="49" t="n">
        <v>50520</v>
      </c>
      <c r="K765" s="49" t="n">
        <v>51566</v>
      </c>
      <c r="L765" s="50" t="n">
        <v>18.5</v>
      </c>
      <c r="M765" s="51" t="n">
        <f aca="false">G765-F765</f>
        <v>6513</v>
      </c>
      <c r="N765" s="52" t="n">
        <f aca="false">IF(F765=0,0,M765/F765)</f>
        <v>0.01721080795402</v>
      </c>
      <c r="O765" s="51" t="n">
        <f aca="false">G765-I765</f>
        <v>127812</v>
      </c>
      <c r="P765" s="51" t="n">
        <f aca="false">F765-H765</f>
        <v>123178</v>
      </c>
      <c r="Q765" s="51" t="n">
        <f aca="false">F765-H765-J765</f>
        <v>72658</v>
      </c>
      <c r="R765" s="51" t="n">
        <f aca="false">G765-I765-K765</f>
        <v>76246</v>
      </c>
      <c r="S765" s="51" t="n">
        <f aca="false">R765-Q765</f>
        <v>3588</v>
      </c>
      <c r="T765" s="52" t="n">
        <f aca="false">IF(Q765=0,0,S765/Q765)</f>
        <v>0.0493820363896612</v>
      </c>
      <c r="U765" s="51" t="str">
        <f aca="false">IF(AND(Q765&gt;0,T765&lt;-0.15),"ADVERSE","")</f>
        <v/>
      </c>
    </row>
    <row r="766" customFormat="false" ht="15" hidden="false" customHeight="false" outlineLevel="0" collapsed="false">
      <c r="A766" s="47" t="s">
        <v>134</v>
      </c>
      <c r="B766" s="47" t="s">
        <v>136</v>
      </c>
      <c r="C766" s="48" t="n">
        <v>45139</v>
      </c>
      <c r="D766" s="47" t="s">
        <v>36</v>
      </c>
      <c r="E766" s="47" t="s">
        <v>43</v>
      </c>
      <c r="F766" s="49" t="n">
        <v>365215</v>
      </c>
      <c r="G766" s="49" t="n">
        <v>378854</v>
      </c>
      <c r="H766" s="49" t="n">
        <v>246338</v>
      </c>
      <c r="I766" s="49" t="n">
        <v>253492</v>
      </c>
      <c r="J766" s="49" t="n">
        <v>48756</v>
      </c>
      <c r="K766" s="49" t="n">
        <v>50542</v>
      </c>
      <c r="L766" s="50" t="n">
        <v>18.5</v>
      </c>
      <c r="M766" s="51" t="n">
        <f aca="false">G766-F766</f>
        <v>13639</v>
      </c>
      <c r="N766" s="52" t="n">
        <f aca="false">IF(F766=0,0,M766/F766)</f>
        <v>0.0373451254740358</v>
      </c>
      <c r="O766" s="51" t="n">
        <f aca="false">G766-I766</f>
        <v>125362</v>
      </c>
      <c r="P766" s="51" t="n">
        <f aca="false">F766-H766</f>
        <v>118877</v>
      </c>
      <c r="Q766" s="51" t="n">
        <f aca="false">F766-H766-J766</f>
        <v>70121</v>
      </c>
      <c r="R766" s="51" t="n">
        <f aca="false">G766-I766-K766</f>
        <v>74820</v>
      </c>
      <c r="S766" s="51" t="n">
        <f aca="false">R766-Q766</f>
        <v>4699</v>
      </c>
      <c r="T766" s="52" t="n">
        <f aca="false">IF(Q766=0,0,S766/Q766)</f>
        <v>0.0670127351292765</v>
      </c>
      <c r="U766" s="51" t="str">
        <f aca="false">IF(AND(Q766&gt;0,T766&lt;-0.15),"ADVERSE","")</f>
        <v/>
      </c>
    </row>
    <row r="767" customFormat="false" ht="15" hidden="false" customHeight="false" outlineLevel="0" collapsed="false">
      <c r="A767" s="47" t="s">
        <v>134</v>
      </c>
      <c r="B767" s="47" t="s">
        <v>136</v>
      </c>
      <c r="C767" s="48" t="n">
        <v>45170</v>
      </c>
      <c r="D767" s="47" t="s">
        <v>36</v>
      </c>
      <c r="E767" s="47" t="s">
        <v>43</v>
      </c>
      <c r="F767" s="49" t="n">
        <v>374709</v>
      </c>
      <c r="G767" s="49" t="n">
        <v>393956</v>
      </c>
      <c r="H767" s="49" t="n">
        <v>252741</v>
      </c>
      <c r="I767" s="49" t="n">
        <v>264108</v>
      </c>
      <c r="J767" s="49" t="n">
        <v>50024</v>
      </c>
      <c r="K767" s="49" t="n">
        <v>54398</v>
      </c>
      <c r="L767" s="50" t="n">
        <v>18</v>
      </c>
      <c r="M767" s="51" t="n">
        <f aca="false">G767-F767</f>
        <v>19247</v>
      </c>
      <c r="N767" s="52" t="n">
        <f aca="false">IF(F767=0,0,M767/F767)</f>
        <v>0.0513651927228863</v>
      </c>
      <c r="O767" s="51" t="n">
        <f aca="false">G767-I767</f>
        <v>129848</v>
      </c>
      <c r="P767" s="51" t="n">
        <f aca="false">F767-H767</f>
        <v>121968</v>
      </c>
      <c r="Q767" s="51" t="n">
        <f aca="false">F767-H767-J767</f>
        <v>71944</v>
      </c>
      <c r="R767" s="51" t="n">
        <f aca="false">G767-I767-K767</f>
        <v>75450</v>
      </c>
      <c r="S767" s="51" t="n">
        <f aca="false">R767-Q767</f>
        <v>3506</v>
      </c>
      <c r="T767" s="52" t="n">
        <f aca="false">IF(Q767=0,0,S767/Q767)</f>
        <v>0.0487323473812966</v>
      </c>
      <c r="U767" s="51" t="str">
        <f aca="false">IF(AND(Q767&gt;0,T767&lt;-0.15),"ADVERSE","")</f>
        <v/>
      </c>
    </row>
    <row r="768" customFormat="false" ht="15" hidden="false" customHeight="false" outlineLevel="0" collapsed="false">
      <c r="A768" s="47" t="s">
        <v>134</v>
      </c>
      <c r="B768" s="47" t="s">
        <v>137</v>
      </c>
      <c r="C768" s="48" t="n">
        <v>45200</v>
      </c>
      <c r="D768" s="47" t="s">
        <v>36</v>
      </c>
      <c r="E768" s="47" t="s">
        <v>43</v>
      </c>
      <c r="F768" s="49" t="n">
        <v>394892</v>
      </c>
      <c r="G768" s="49" t="n">
        <v>389237</v>
      </c>
      <c r="H768" s="49" t="n">
        <v>266354</v>
      </c>
      <c r="I768" s="49" t="n">
        <v>260854</v>
      </c>
      <c r="J768" s="49" t="n">
        <v>52718</v>
      </c>
      <c r="K768" s="49" t="n">
        <v>52879</v>
      </c>
      <c r="L768" s="50" t="n">
        <v>18.2</v>
      </c>
      <c r="M768" s="51" t="n">
        <f aca="false">G768-F768</f>
        <v>-5655</v>
      </c>
      <c r="N768" s="52" t="n">
        <f aca="false">IF(F768=0,0,M768/F768)</f>
        <v>-0.0143203711394508</v>
      </c>
      <c r="O768" s="51" t="n">
        <f aca="false">G768-I768</f>
        <v>128383</v>
      </c>
      <c r="P768" s="51" t="n">
        <f aca="false">F768-H768</f>
        <v>128538</v>
      </c>
      <c r="Q768" s="51" t="n">
        <f aca="false">F768-H768-J768</f>
        <v>75820</v>
      </c>
      <c r="R768" s="51" t="n">
        <f aca="false">G768-I768-K768</f>
        <v>75504</v>
      </c>
      <c r="S768" s="51" t="n">
        <f aca="false">R768-Q768</f>
        <v>-316</v>
      </c>
      <c r="T768" s="52" t="n">
        <f aca="false">IF(Q768=0,0,S768/Q768)</f>
        <v>-0.00416776576101293</v>
      </c>
      <c r="U768" s="51" t="str">
        <f aca="false">IF(AND(Q768&gt;0,T768&lt;-0.15),"ADVERSE","")</f>
        <v/>
      </c>
    </row>
    <row r="769" customFormat="false" ht="15" hidden="false" customHeight="false" outlineLevel="0" collapsed="false">
      <c r="A769" s="47" t="s">
        <v>134</v>
      </c>
      <c r="B769" s="47" t="s">
        <v>137</v>
      </c>
      <c r="C769" s="48" t="n">
        <v>45231</v>
      </c>
      <c r="D769" s="47" t="s">
        <v>36</v>
      </c>
      <c r="E769" s="47" t="s">
        <v>43</v>
      </c>
      <c r="F769" s="49" t="n">
        <v>387129</v>
      </c>
      <c r="G769" s="49" t="n">
        <v>401723</v>
      </c>
      <c r="H769" s="49" t="n">
        <v>261119</v>
      </c>
      <c r="I769" s="49" t="n">
        <v>266745</v>
      </c>
      <c r="J769" s="49" t="n">
        <v>51682</v>
      </c>
      <c r="K769" s="49" t="n">
        <v>51785</v>
      </c>
      <c r="L769" s="50" t="n">
        <v>18.4</v>
      </c>
      <c r="M769" s="51" t="n">
        <f aca="false">G769-F769</f>
        <v>14594</v>
      </c>
      <c r="N769" s="52" t="n">
        <f aca="false">IF(F769=0,0,M769/F769)</f>
        <v>0.0376980283058102</v>
      </c>
      <c r="O769" s="51" t="n">
        <f aca="false">G769-I769</f>
        <v>134978</v>
      </c>
      <c r="P769" s="51" t="n">
        <f aca="false">F769-H769</f>
        <v>126010</v>
      </c>
      <c r="Q769" s="51" t="n">
        <f aca="false">F769-H769-J769</f>
        <v>74328</v>
      </c>
      <c r="R769" s="51" t="n">
        <f aca="false">G769-I769-K769</f>
        <v>83193</v>
      </c>
      <c r="S769" s="51" t="n">
        <f aca="false">R769-Q769</f>
        <v>8865</v>
      </c>
      <c r="T769" s="52" t="n">
        <f aca="false">IF(Q769=0,0,S769/Q769)</f>
        <v>0.119268647077817</v>
      </c>
      <c r="U769" s="51" t="str">
        <f aca="false">IF(AND(Q769&gt;0,T769&lt;-0.15),"ADVERSE","")</f>
        <v/>
      </c>
    </row>
    <row r="770" customFormat="false" ht="15" hidden="false" customHeight="false" outlineLevel="0" collapsed="false">
      <c r="A770" s="47" t="s">
        <v>134</v>
      </c>
      <c r="B770" s="47" t="s">
        <v>137</v>
      </c>
      <c r="C770" s="48" t="n">
        <v>45261</v>
      </c>
      <c r="D770" s="47" t="s">
        <v>36</v>
      </c>
      <c r="E770" s="47" t="s">
        <v>43</v>
      </c>
      <c r="F770" s="49" t="n">
        <v>378012</v>
      </c>
      <c r="G770" s="49" t="n">
        <v>381598</v>
      </c>
      <c r="H770" s="49" t="n">
        <v>254969</v>
      </c>
      <c r="I770" s="49" t="n">
        <v>253555</v>
      </c>
      <c r="J770" s="49" t="n">
        <v>50465</v>
      </c>
      <c r="K770" s="49" t="n">
        <v>52154</v>
      </c>
      <c r="L770" s="50" t="n">
        <v>18.2</v>
      </c>
      <c r="M770" s="51" t="n">
        <f aca="false">G770-F770</f>
        <v>3586</v>
      </c>
      <c r="N770" s="52" t="n">
        <f aca="false">IF(F770=0,0,M770/F770)</f>
        <v>0.00948647132895252</v>
      </c>
      <c r="O770" s="51" t="n">
        <f aca="false">G770-I770</f>
        <v>128043</v>
      </c>
      <c r="P770" s="51" t="n">
        <f aca="false">F770-H770</f>
        <v>123043</v>
      </c>
      <c r="Q770" s="51" t="n">
        <f aca="false">F770-H770-J770</f>
        <v>72578</v>
      </c>
      <c r="R770" s="51" t="n">
        <f aca="false">G770-I770-K770</f>
        <v>75889</v>
      </c>
      <c r="S770" s="51" t="n">
        <f aca="false">R770-Q770</f>
        <v>3311</v>
      </c>
      <c r="T770" s="52" t="n">
        <f aca="false">IF(Q770=0,0,S770/Q770)</f>
        <v>0.0456198848135799</v>
      </c>
      <c r="U770" s="51" t="str">
        <f aca="false">IF(AND(Q770&gt;0,T770&lt;-0.15),"ADVERSE","")</f>
        <v/>
      </c>
    </row>
    <row r="771" customFormat="false" ht="15" hidden="false" customHeight="false" outlineLevel="0" collapsed="false">
      <c r="A771" s="47" t="s">
        <v>134</v>
      </c>
      <c r="B771" s="47" t="s">
        <v>138</v>
      </c>
      <c r="C771" s="48" t="n">
        <v>45292</v>
      </c>
      <c r="D771" s="47" t="s">
        <v>36</v>
      </c>
      <c r="E771" s="47" t="s">
        <v>43</v>
      </c>
      <c r="F771" s="49" t="n">
        <v>370802</v>
      </c>
      <c r="G771" s="49" t="n">
        <v>380420</v>
      </c>
      <c r="H771" s="49" t="n">
        <v>250106</v>
      </c>
      <c r="I771" s="49" t="n">
        <v>254107</v>
      </c>
      <c r="J771" s="49" t="n">
        <v>49502</v>
      </c>
      <c r="K771" s="49" t="n">
        <v>48541</v>
      </c>
      <c r="L771" s="50" t="n">
        <v>18.2</v>
      </c>
      <c r="M771" s="51" t="n">
        <f aca="false">G771-F771</f>
        <v>9618</v>
      </c>
      <c r="N771" s="52" t="n">
        <f aca="false">IF(F771=0,0,M771/F771)</f>
        <v>0.0259383714219449</v>
      </c>
      <c r="O771" s="51" t="n">
        <f aca="false">G771-I771</f>
        <v>126313</v>
      </c>
      <c r="P771" s="51" t="n">
        <f aca="false">F771-H771</f>
        <v>120696</v>
      </c>
      <c r="Q771" s="51" t="n">
        <f aca="false">F771-H771-J771</f>
        <v>71194</v>
      </c>
      <c r="R771" s="51" t="n">
        <f aca="false">G771-I771-K771</f>
        <v>77772</v>
      </c>
      <c r="S771" s="51" t="n">
        <f aca="false">R771-Q771</f>
        <v>6578</v>
      </c>
      <c r="T771" s="52" t="n">
        <f aca="false">IF(Q771=0,0,S771/Q771)</f>
        <v>0.0923954265808916</v>
      </c>
      <c r="U771" s="51" t="str">
        <f aca="false">IF(AND(Q771&gt;0,T771&lt;-0.15),"ADVERSE","")</f>
        <v/>
      </c>
    </row>
    <row r="772" customFormat="false" ht="15" hidden="false" customHeight="false" outlineLevel="0" collapsed="false">
      <c r="A772" s="47" t="s">
        <v>134</v>
      </c>
      <c r="B772" s="47" t="s">
        <v>138</v>
      </c>
      <c r="C772" s="48" t="n">
        <v>45323</v>
      </c>
      <c r="D772" s="47" t="s">
        <v>36</v>
      </c>
      <c r="E772" s="47" t="s">
        <v>43</v>
      </c>
      <c r="F772" s="49" t="n">
        <v>377231</v>
      </c>
      <c r="G772" s="49" t="n">
        <v>380573</v>
      </c>
      <c r="H772" s="49" t="n">
        <v>254443</v>
      </c>
      <c r="I772" s="49" t="n">
        <v>251100</v>
      </c>
      <c r="J772" s="49" t="n">
        <v>50360</v>
      </c>
      <c r="K772" s="49" t="n">
        <v>54480</v>
      </c>
      <c r="L772" s="50" t="n">
        <v>18.4</v>
      </c>
      <c r="M772" s="51" t="n">
        <f aca="false">G772-F772</f>
        <v>3342</v>
      </c>
      <c r="N772" s="52" t="n">
        <f aca="false">IF(F772=0,0,M772/F772)</f>
        <v>0.00885929311217795</v>
      </c>
      <c r="O772" s="51" t="n">
        <f aca="false">G772-I772</f>
        <v>129473</v>
      </c>
      <c r="P772" s="51" t="n">
        <f aca="false">F772-H772</f>
        <v>122788</v>
      </c>
      <c r="Q772" s="51" t="n">
        <f aca="false">F772-H772-J772</f>
        <v>72428</v>
      </c>
      <c r="R772" s="51" t="n">
        <f aca="false">G772-I772-K772</f>
        <v>74993</v>
      </c>
      <c r="S772" s="51" t="n">
        <f aca="false">R772-Q772</f>
        <v>2565</v>
      </c>
      <c r="T772" s="52" t="n">
        <f aca="false">IF(Q772=0,0,S772/Q772)</f>
        <v>0.0354144805876181</v>
      </c>
      <c r="U772" s="51" t="str">
        <f aca="false">IF(AND(Q772&gt;0,T772&lt;-0.15),"ADVERSE","")</f>
        <v/>
      </c>
    </row>
    <row r="773" customFormat="false" ht="15" hidden="false" customHeight="false" outlineLevel="0" collapsed="false">
      <c r="A773" s="47" t="s">
        <v>134</v>
      </c>
      <c r="B773" s="47" t="s">
        <v>138</v>
      </c>
      <c r="C773" s="48" t="n">
        <v>45352</v>
      </c>
      <c r="D773" s="47" t="s">
        <v>36</v>
      </c>
      <c r="E773" s="47" t="s">
        <v>43</v>
      </c>
      <c r="F773" s="49" t="n">
        <v>398641</v>
      </c>
      <c r="G773" s="49" t="n">
        <v>402543</v>
      </c>
      <c r="H773" s="49" t="n">
        <v>268883</v>
      </c>
      <c r="I773" s="49" t="n">
        <v>268438</v>
      </c>
      <c r="J773" s="49" t="n">
        <v>53219</v>
      </c>
      <c r="K773" s="49" t="n">
        <v>57130</v>
      </c>
      <c r="L773" s="50" t="n">
        <v>18.4</v>
      </c>
      <c r="M773" s="51" t="n">
        <f aca="false">G773-F773</f>
        <v>3902</v>
      </c>
      <c r="N773" s="52" t="n">
        <f aca="false">IF(F773=0,0,M773/F773)</f>
        <v>0.00978825559839555</v>
      </c>
      <c r="O773" s="51" t="n">
        <f aca="false">G773-I773</f>
        <v>134105</v>
      </c>
      <c r="P773" s="51" t="n">
        <f aca="false">F773-H773</f>
        <v>129758</v>
      </c>
      <c r="Q773" s="51" t="n">
        <f aca="false">F773-H773-J773</f>
        <v>76539</v>
      </c>
      <c r="R773" s="51" t="n">
        <f aca="false">G773-I773-K773</f>
        <v>76975</v>
      </c>
      <c r="S773" s="51" t="n">
        <f aca="false">R773-Q773</f>
        <v>436</v>
      </c>
      <c r="T773" s="52" t="n">
        <f aca="false">IF(Q773=0,0,S773/Q773)</f>
        <v>0.00569644233658658</v>
      </c>
      <c r="U773" s="51" t="str">
        <f aca="false">IF(AND(Q773&gt;0,T773&lt;-0.15),"ADVERSE","")</f>
        <v/>
      </c>
    </row>
    <row r="774" customFormat="false" ht="15" hidden="false" customHeight="false" outlineLevel="0" collapsed="false">
      <c r="A774" s="47" t="s">
        <v>139</v>
      </c>
      <c r="B774" s="47" t="s">
        <v>135</v>
      </c>
      <c r="C774" s="48" t="n">
        <v>45383</v>
      </c>
      <c r="D774" s="47" t="s">
        <v>36</v>
      </c>
      <c r="E774" s="47" t="s">
        <v>43</v>
      </c>
      <c r="F774" s="49" t="n">
        <v>390983</v>
      </c>
      <c r="G774" s="49" t="n">
        <v>385918</v>
      </c>
      <c r="H774" s="49" t="n">
        <v>263718</v>
      </c>
      <c r="I774" s="49" t="n">
        <v>263614</v>
      </c>
      <c r="J774" s="49" t="n">
        <v>52196</v>
      </c>
      <c r="K774" s="49" t="n">
        <v>51338</v>
      </c>
      <c r="L774" s="50" t="n">
        <v>18.6</v>
      </c>
      <c r="M774" s="51" t="n">
        <f aca="false">G774-F774</f>
        <v>-5065</v>
      </c>
      <c r="N774" s="52" t="n">
        <f aca="false">IF(F774=0,0,M774/F774)</f>
        <v>-0.0129545274346966</v>
      </c>
      <c r="O774" s="51" t="n">
        <f aca="false">G774-I774</f>
        <v>122304</v>
      </c>
      <c r="P774" s="51" t="n">
        <f aca="false">F774-H774</f>
        <v>127265</v>
      </c>
      <c r="Q774" s="51" t="n">
        <f aca="false">F774-H774-J774</f>
        <v>75069</v>
      </c>
      <c r="R774" s="51" t="n">
        <f aca="false">G774-I774-K774</f>
        <v>70966</v>
      </c>
      <c r="S774" s="51" t="n">
        <f aca="false">R774-Q774</f>
        <v>-4103</v>
      </c>
      <c r="T774" s="52" t="n">
        <f aca="false">IF(Q774=0,0,S774/Q774)</f>
        <v>-0.0546563827944957</v>
      </c>
      <c r="U774" s="51" t="str">
        <f aca="false">IF(AND(Q774&gt;0,T774&lt;-0.15),"ADVERSE","")</f>
        <v/>
      </c>
    </row>
    <row r="775" customFormat="false" ht="15" hidden="false" customHeight="false" outlineLevel="0" collapsed="false">
      <c r="A775" s="47" t="s">
        <v>139</v>
      </c>
      <c r="B775" s="47" t="s">
        <v>135</v>
      </c>
      <c r="C775" s="48" t="n">
        <v>45413</v>
      </c>
      <c r="D775" s="47" t="s">
        <v>36</v>
      </c>
      <c r="E775" s="47" t="s">
        <v>43</v>
      </c>
      <c r="F775" s="49" t="n">
        <v>392115</v>
      </c>
      <c r="G775" s="49" t="n">
        <v>392745</v>
      </c>
      <c r="H775" s="49" t="n">
        <v>264482</v>
      </c>
      <c r="I775" s="49" t="n">
        <v>269092</v>
      </c>
      <c r="J775" s="49" t="n">
        <v>52347</v>
      </c>
      <c r="K775" s="49" t="n">
        <v>53968</v>
      </c>
      <c r="L775" s="50" t="n">
        <v>18.8</v>
      </c>
      <c r="M775" s="51" t="n">
        <f aca="false">G775-F775</f>
        <v>630</v>
      </c>
      <c r="N775" s="52" t="n">
        <f aca="false">IF(F775=0,0,M775/F775)</f>
        <v>0.00160667151218393</v>
      </c>
      <c r="O775" s="51" t="n">
        <f aca="false">G775-I775</f>
        <v>123653</v>
      </c>
      <c r="P775" s="51" t="n">
        <f aca="false">F775-H775</f>
        <v>127633</v>
      </c>
      <c r="Q775" s="51" t="n">
        <f aca="false">F775-H775-J775</f>
        <v>75286</v>
      </c>
      <c r="R775" s="51" t="n">
        <f aca="false">G775-I775-K775</f>
        <v>69685</v>
      </c>
      <c r="S775" s="51" t="n">
        <f aca="false">R775-Q775</f>
        <v>-5601</v>
      </c>
      <c r="T775" s="52" t="n">
        <f aca="false">IF(Q775=0,0,S775/Q775)</f>
        <v>-0.0743963021013203</v>
      </c>
      <c r="U775" s="51" t="str">
        <f aca="false">IF(AND(Q775&gt;0,T775&lt;-0.15),"ADVERSE","")</f>
        <v/>
      </c>
    </row>
    <row r="776" customFormat="false" ht="15" hidden="false" customHeight="false" outlineLevel="0" collapsed="false">
      <c r="A776" s="47" t="s">
        <v>139</v>
      </c>
      <c r="B776" s="47" t="s">
        <v>135</v>
      </c>
      <c r="C776" s="48" t="n">
        <v>45444</v>
      </c>
      <c r="D776" s="47" t="s">
        <v>36</v>
      </c>
      <c r="E776" s="47" t="s">
        <v>43</v>
      </c>
      <c r="F776" s="49" t="n">
        <v>404247</v>
      </c>
      <c r="G776" s="49" t="n">
        <v>401696</v>
      </c>
      <c r="H776" s="49" t="n">
        <v>272665</v>
      </c>
      <c r="I776" s="49" t="n">
        <v>271604</v>
      </c>
      <c r="J776" s="49" t="n">
        <v>53967</v>
      </c>
      <c r="K776" s="49" t="n">
        <v>49575</v>
      </c>
      <c r="L776" s="50" t="n">
        <v>18.7</v>
      </c>
      <c r="M776" s="51" t="n">
        <f aca="false">G776-F776</f>
        <v>-2551</v>
      </c>
      <c r="N776" s="52" t="n">
        <f aca="false">IF(F776=0,0,M776/F776)</f>
        <v>-0.0063104982844647</v>
      </c>
      <c r="O776" s="51" t="n">
        <f aca="false">G776-I776</f>
        <v>130092</v>
      </c>
      <c r="P776" s="51" t="n">
        <f aca="false">F776-H776</f>
        <v>131582</v>
      </c>
      <c r="Q776" s="51" t="n">
        <f aca="false">F776-H776-J776</f>
        <v>77615</v>
      </c>
      <c r="R776" s="51" t="n">
        <f aca="false">G776-I776-K776</f>
        <v>80517</v>
      </c>
      <c r="S776" s="51" t="n">
        <f aca="false">R776-Q776</f>
        <v>2902</v>
      </c>
      <c r="T776" s="52" t="n">
        <f aca="false">IF(Q776=0,0,S776/Q776)</f>
        <v>0.0373896798299298</v>
      </c>
      <c r="U776" s="51" t="str">
        <f aca="false">IF(AND(Q776&gt;0,T776&lt;-0.15),"ADVERSE","")</f>
        <v/>
      </c>
    </row>
    <row r="777" customFormat="false" ht="15" hidden="false" customHeight="false" outlineLevel="0" collapsed="false">
      <c r="A777" s="47" t="s">
        <v>139</v>
      </c>
      <c r="B777" s="47" t="s">
        <v>136</v>
      </c>
      <c r="C777" s="48" t="n">
        <v>45474</v>
      </c>
      <c r="D777" s="47" t="s">
        <v>36</v>
      </c>
      <c r="E777" s="47" t="s">
        <v>43</v>
      </c>
      <c r="F777" s="49" t="n">
        <v>389696</v>
      </c>
      <c r="G777" s="49" t="n">
        <v>392621</v>
      </c>
      <c r="H777" s="49" t="n">
        <v>262850</v>
      </c>
      <c r="I777" s="49" t="n">
        <v>272185</v>
      </c>
      <c r="J777" s="49" t="n">
        <v>52024</v>
      </c>
      <c r="K777" s="49" t="n">
        <v>55664</v>
      </c>
      <c r="L777" s="50" t="n">
        <v>18.6</v>
      </c>
      <c r="M777" s="51" t="n">
        <f aca="false">G777-F777</f>
        <v>2925</v>
      </c>
      <c r="N777" s="52" t="n">
        <f aca="false">IF(F777=0,0,M777/F777)</f>
        <v>0.00750585071440302</v>
      </c>
      <c r="O777" s="51" t="n">
        <f aca="false">G777-I777</f>
        <v>120436</v>
      </c>
      <c r="P777" s="51" t="n">
        <f aca="false">F777-H777</f>
        <v>126846</v>
      </c>
      <c r="Q777" s="51" t="n">
        <f aca="false">F777-H777-J777</f>
        <v>74822</v>
      </c>
      <c r="R777" s="51" t="n">
        <f aca="false">G777-I777-K777</f>
        <v>64772</v>
      </c>
      <c r="S777" s="51" t="n">
        <f aca="false">R777-Q777</f>
        <v>-10050</v>
      </c>
      <c r="T777" s="52" t="n">
        <f aca="false">IF(Q777=0,0,S777/Q777)</f>
        <v>-0.134318783245569</v>
      </c>
      <c r="U777" s="51" t="str">
        <f aca="false">IF(AND(Q777&gt;0,T777&lt;-0.15),"ADVERSE","")</f>
        <v/>
      </c>
    </row>
    <row r="778" customFormat="false" ht="15" hidden="false" customHeight="false" outlineLevel="0" collapsed="false">
      <c r="A778" s="47" t="s">
        <v>139</v>
      </c>
      <c r="B778" s="47" t="s">
        <v>136</v>
      </c>
      <c r="C778" s="48" t="n">
        <v>45505</v>
      </c>
      <c r="D778" s="47" t="s">
        <v>36</v>
      </c>
      <c r="E778" s="47" t="s">
        <v>43</v>
      </c>
      <c r="F778" s="49" t="n">
        <v>383697</v>
      </c>
      <c r="G778" s="49" t="n">
        <v>381663</v>
      </c>
      <c r="H778" s="49" t="n">
        <v>258803</v>
      </c>
      <c r="I778" s="49" t="n">
        <v>265590</v>
      </c>
      <c r="J778" s="49" t="n">
        <v>51223</v>
      </c>
      <c r="K778" s="49" t="n">
        <v>57362</v>
      </c>
      <c r="L778" s="50" t="n">
        <v>19.2</v>
      </c>
      <c r="M778" s="51" t="n">
        <f aca="false">G778-F778</f>
        <v>-2034</v>
      </c>
      <c r="N778" s="52" t="n">
        <f aca="false">IF(F778=0,0,M778/F778)</f>
        <v>-0.00530105786597237</v>
      </c>
      <c r="O778" s="51" t="n">
        <f aca="false">G778-I778</f>
        <v>116073</v>
      </c>
      <c r="P778" s="51" t="n">
        <f aca="false">F778-H778</f>
        <v>124894</v>
      </c>
      <c r="Q778" s="51" t="n">
        <f aca="false">F778-H778-J778</f>
        <v>73671</v>
      </c>
      <c r="R778" s="51" t="n">
        <f aca="false">G778-I778-K778</f>
        <v>58711</v>
      </c>
      <c r="S778" s="51" t="n">
        <f aca="false">R778-Q778</f>
        <v>-14960</v>
      </c>
      <c r="T778" s="52" t="n">
        <f aca="false">IF(Q778=0,0,S778/Q778)</f>
        <v>-0.203064978078213</v>
      </c>
      <c r="U778" s="51" t="str">
        <f aca="false">IF(AND(Q778&gt;0,T778&lt;-0.15),"ADVERSE","")</f>
        <v>ADVERSE</v>
      </c>
    </row>
    <row r="779" customFormat="false" ht="15" hidden="false" customHeight="false" outlineLevel="0" collapsed="false">
      <c r="A779" s="47" t="s">
        <v>139</v>
      </c>
      <c r="B779" s="47" t="s">
        <v>136</v>
      </c>
      <c r="C779" s="48" t="n">
        <v>45536</v>
      </c>
      <c r="D779" s="47" t="s">
        <v>36</v>
      </c>
      <c r="E779" s="47" t="s">
        <v>43</v>
      </c>
      <c r="F779" s="49" t="n">
        <v>399498</v>
      </c>
      <c r="G779" s="49" t="n">
        <v>388817</v>
      </c>
      <c r="H779" s="49" t="n">
        <v>269461</v>
      </c>
      <c r="I779" s="49" t="n">
        <v>269665</v>
      </c>
      <c r="J779" s="49" t="n">
        <v>53333</v>
      </c>
      <c r="K779" s="49" t="n">
        <v>49884</v>
      </c>
      <c r="L779" s="50" t="n">
        <v>18.4</v>
      </c>
      <c r="M779" s="51" t="n">
        <f aca="false">G779-F779</f>
        <v>-10681</v>
      </c>
      <c r="N779" s="52" t="n">
        <f aca="false">IF(F779=0,0,M779/F779)</f>
        <v>-0.0267360537474531</v>
      </c>
      <c r="O779" s="51" t="n">
        <f aca="false">G779-I779</f>
        <v>119152</v>
      </c>
      <c r="P779" s="51" t="n">
        <f aca="false">F779-H779</f>
        <v>130037</v>
      </c>
      <c r="Q779" s="51" t="n">
        <f aca="false">F779-H779-J779</f>
        <v>76704</v>
      </c>
      <c r="R779" s="51" t="n">
        <f aca="false">G779-I779-K779</f>
        <v>69268</v>
      </c>
      <c r="S779" s="51" t="n">
        <f aca="false">R779-Q779</f>
        <v>-7436</v>
      </c>
      <c r="T779" s="52" t="n">
        <f aca="false">IF(Q779=0,0,S779/Q779)</f>
        <v>-0.0969440967876512</v>
      </c>
      <c r="U779" s="51" t="str">
        <f aca="false">IF(AND(Q779&gt;0,T779&lt;-0.15),"ADVERSE","")</f>
        <v/>
      </c>
    </row>
    <row r="780" customFormat="false" ht="15" hidden="false" customHeight="false" outlineLevel="0" collapsed="false">
      <c r="A780" s="47" t="s">
        <v>139</v>
      </c>
      <c r="B780" s="47" t="s">
        <v>137</v>
      </c>
      <c r="C780" s="48" t="n">
        <v>45566</v>
      </c>
      <c r="D780" s="47" t="s">
        <v>36</v>
      </c>
      <c r="E780" s="47" t="s">
        <v>43</v>
      </c>
      <c r="F780" s="49" t="n">
        <v>413387</v>
      </c>
      <c r="G780" s="49" t="n">
        <v>410445</v>
      </c>
      <c r="H780" s="49" t="n">
        <v>278830</v>
      </c>
      <c r="I780" s="49" t="n">
        <v>280343</v>
      </c>
      <c r="J780" s="49" t="n">
        <v>55187</v>
      </c>
      <c r="K780" s="49" t="n">
        <v>55274</v>
      </c>
      <c r="L780" s="50" t="n">
        <v>18.2</v>
      </c>
      <c r="M780" s="51" t="n">
        <f aca="false">G780-F780</f>
        <v>-2942</v>
      </c>
      <c r="N780" s="52" t="n">
        <f aca="false">IF(F780=0,0,M780/F780)</f>
        <v>-0.00711681789703111</v>
      </c>
      <c r="O780" s="51" t="n">
        <f aca="false">G780-I780</f>
        <v>130102</v>
      </c>
      <c r="P780" s="51" t="n">
        <f aca="false">F780-H780</f>
        <v>134557</v>
      </c>
      <c r="Q780" s="51" t="n">
        <f aca="false">F780-H780-J780</f>
        <v>79370</v>
      </c>
      <c r="R780" s="51" t="n">
        <f aca="false">G780-I780-K780</f>
        <v>74828</v>
      </c>
      <c r="S780" s="51" t="n">
        <f aca="false">R780-Q780</f>
        <v>-4542</v>
      </c>
      <c r="T780" s="52" t="n">
        <f aca="false">IF(Q780=0,0,S780/Q780)</f>
        <v>-0.0572256520095754</v>
      </c>
      <c r="U780" s="51" t="str">
        <f aca="false">IF(AND(Q780&gt;0,T780&lt;-0.15),"ADVERSE","")</f>
        <v/>
      </c>
    </row>
    <row r="781" customFormat="false" ht="15" hidden="false" customHeight="false" outlineLevel="0" collapsed="false">
      <c r="A781" s="47" t="s">
        <v>139</v>
      </c>
      <c r="B781" s="47" t="s">
        <v>137</v>
      </c>
      <c r="C781" s="48" t="n">
        <v>45597</v>
      </c>
      <c r="D781" s="47" t="s">
        <v>36</v>
      </c>
      <c r="E781" s="47" t="s">
        <v>43</v>
      </c>
      <c r="F781" s="49" t="n">
        <v>414170</v>
      </c>
      <c r="G781" s="49" t="n">
        <v>391944</v>
      </c>
      <c r="H781" s="49" t="n">
        <v>279358</v>
      </c>
      <c r="I781" s="49" t="n">
        <v>267407</v>
      </c>
      <c r="J781" s="49" t="n">
        <v>55292</v>
      </c>
      <c r="K781" s="49" t="n">
        <v>51286</v>
      </c>
      <c r="L781" s="50" t="n">
        <v>18.4</v>
      </c>
      <c r="M781" s="51" t="n">
        <f aca="false">G781-F781</f>
        <v>-22226</v>
      </c>
      <c r="N781" s="52" t="n">
        <f aca="false">IF(F781=0,0,M781/F781)</f>
        <v>-0.0536639544148538</v>
      </c>
      <c r="O781" s="51" t="n">
        <f aca="false">G781-I781</f>
        <v>124537</v>
      </c>
      <c r="P781" s="51" t="n">
        <f aca="false">F781-H781</f>
        <v>134812</v>
      </c>
      <c r="Q781" s="51" t="n">
        <f aca="false">F781-H781-J781</f>
        <v>79520</v>
      </c>
      <c r="R781" s="51" t="n">
        <f aca="false">G781-I781-K781</f>
        <v>73251</v>
      </c>
      <c r="S781" s="51" t="n">
        <f aca="false">R781-Q781</f>
        <v>-6269</v>
      </c>
      <c r="T781" s="52" t="n">
        <f aca="false">IF(Q781=0,0,S781/Q781)</f>
        <v>-0.0788355130784708</v>
      </c>
      <c r="U781" s="51" t="str">
        <f aca="false">IF(AND(Q781&gt;0,T781&lt;-0.15),"ADVERSE","")</f>
        <v/>
      </c>
    </row>
    <row r="782" customFormat="false" ht="15" hidden="false" customHeight="false" outlineLevel="0" collapsed="false">
      <c r="A782" s="47" t="s">
        <v>139</v>
      </c>
      <c r="B782" s="47" t="s">
        <v>137</v>
      </c>
      <c r="C782" s="48" t="n">
        <v>45627</v>
      </c>
      <c r="D782" s="47" t="s">
        <v>36</v>
      </c>
      <c r="E782" s="47" t="s">
        <v>43</v>
      </c>
      <c r="F782" s="49" t="n">
        <v>405541</v>
      </c>
      <c r="G782" s="49" t="n">
        <v>373902</v>
      </c>
      <c r="H782" s="49" t="n">
        <v>273538</v>
      </c>
      <c r="I782" s="49" t="n">
        <v>252360</v>
      </c>
      <c r="J782" s="49" t="n">
        <v>54140</v>
      </c>
      <c r="K782" s="49" t="n">
        <v>48447</v>
      </c>
      <c r="L782" s="50" t="n">
        <v>18.7</v>
      </c>
      <c r="M782" s="51" t="n">
        <f aca="false">G782-F782</f>
        <v>-31639</v>
      </c>
      <c r="N782" s="52" t="n">
        <f aca="false">IF(F782=0,0,M782/F782)</f>
        <v>-0.0780167726567721</v>
      </c>
      <c r="O782" s="51" t="n">
        <f aca="false">G782-I782</f>
        <v>121542</v>
      </c>
      <c r="P782" s="51" t="n">
        <f aca="false">F782-H782</f>
        <v>132003</v>
      </c>
      <c r="Q782" s="51" t="n">
        <f aca="false">F782-H782-J782</f>
        <v>77863</v>
      </c>
      <c r="R782" s="51" t="n">
        <f aca="false">G782-I782-K782</f>
        <v>73095</v>
      </c>
      <c r="S782" s="51" t="n">
        <f aca="false">R782-Q782</f>
        <v>-4768</v>
      </c>
      <c r="T782" s="52" t="n">
        <f aca="false">IF(Q782=0,0,S782/Q782)</f>
        <v>-0.0612357602455595</v>
      </c>
      <c r="U782" s="51" t="str">
        <f aca="false">IF(AND(Q782&gt;0,T782&lt;-0.15),"ADVERSE","")</f>
        <v/>
      </c>
    </row>
    <row r="783" customFormat="false" ht="15" hidden="false" customHeight="false" outlineLevel="0" collapsed="false">
      <c r="A783" s="47" t="s">
        <v>139</v>
      </c>
      <c r="B783" s="47" t="s">
        <v>138</v>
      </c>
      <c r="C783" s="48" t="n">
        <v>45658</v>
      </c>
      <c r="D783" s="47" t="s">
        <v>36</v>
      </c>
      <c r="E783" s="47" t="s">
        <v>43</v>
      </c>
      <c r="F783" s="49" t="n">
        <v>398000</v>
      </c>
      <c r="G783" s="49" t="n">
        <v>352453</v>
      </c>
      <c r="H783" s="49" t="n">
        <v>268451</v>
      </c>
      <c r="I783" s="49" t="n">
        <v>246001</v>
      </c>
      <c r="J783" s="49" t="n">
        <v>53133</v>
      </c>
      <c r="K783" s="49" t="n">
        <v>47759</v>
      </c>
      <c r="L783" s="50" t="n">
        <v>19</v>
      </c>
      <c r="M783" s="51" t="n">
        <f aca="false">G783-F783</f>
        <v>-45547</v>
      </c>
      <c r="N783" s="52" t="n">
        <f aca="false">IF(F783=0,0,M783/F783)</f>
        <v>-0.114439698492462</v>
      </c>
      <c r="O783" s="51" t="n">
        <f aca="false">G783-I783</f>
        <v>106452</v>
      </c>
      <c r="P783" s="51" t="n">
        <f aca="false">F783-H783</f>
        <v>129549</v>
      </c>
      <c r="Q783" s="51" t="n">
        <f aca="false">F783-H783-J783</f>
        <v>76416</v>
      </c>
      <c r="R783" s="51" t="n">
        <f aca="false">G783-I783-K783</f>
        <v>58693</v>
      </c>
      <c r="S783" s="51" t="n">
        <f aca="false">R783-Q783</f>
        <v>-17723</v>
      </c>
      <c r="T783" s="52" t="n">
        <f aca="false">IF(Q783=0,0,S783/Q783)</f>
        <v>-0.231927868509213</v>
      </c>
      <c r="U783" s="51" t="str">
        <f aca="false">IF(AND(Q783&gt;0,T783&lt;-0.15),"ADVERSE","")</f>
        <v>ADVERSE</v>
      </c>
    </row>
    <row r="784" customFormat="false" ht="15" hidden="false" customHeight="false" outlineLevel="0" collapsed="false">
      <c r="A784" s="47" t="s">
        <v>139</v>
      </c>
      <c r="B784" s="47" t="s">
        <v>138</v>
      </c>
      <c r="C784" s="48" t="n">
        <v>45689</v>
      </c>
      <c r="D784" s="47" t="s">
        <v>36</v>
      </c>
      <c r="E784" s="47" t="s">
        <v>43</v>
      </c>
      <c r="F784" s="49" t="n">
        <v>399938</v>
      </c>
      <c r="G784" s="49" t="n">
        <v>387797</v>
      </c>
      <c r="H784" s="49" t="n">
        <v>269758</v>
      </c>
      <c r="I784" s="49" t="n">
        <v>270158</v>
      </c>
      <c r="J784" s="49" t="n">
        <v>53392</v>
      </c>
      <c r="K784" s="49" t="n">
        <v>57658</v>
      </c>
      <c r="L784" s="50" t="n">
        <v>18.7</v>
      </c>
      <c r="M784" s="51" t="n">
        <f aca="false">G784-F784</f>
        <v>-12141</v>
      </c>
      <c r="N784" s="52" t="n">
        <f aca="false">IF(F784=0,0,M784/F784)</f>
        <v>-0.0303572053668319</v>
      </c>
      <c r="O784" s="51" t="n">
        <f aca="false">G784-I784</f>
        <v>117639</v>
      </c>
      <c r="P784" s="51" t="n">
        <f aca="false">F784-H784</f>
        <v>130180</v>
      </c>
      <c r="Q784" s="51" t="n">
        <f aca="false">F784-H784-J784</f>
        <v>76788</v>
      </c>
      <c r="R784" s="51" t="n">
        <f aca="false">G784-I784-K784</f>
        <v>59981</v>
      </c>
      <c r="S784" s="51" t="n">
        <f aca="false">R784-Q784</f>
        <v>-16807</v>
      </c>
      <c r="T784" s="52" t="n">
        <f aca="false">IF(Q784=0,0,S784/Q784)</f>
        <v>-0.218875345106006</v>
      </c>
      <c r="U784" s="51" t="str">
        <f aca="false">IF(AND(Q784&gt;0,T784&lt;-0.15),"ADVERSE","")</f>
        <v>ADVERSE</v>
      </c>
    </row>
    <row r="785" customFormat="false" ht="15" hidden="false" customHeight="false" outlineLevel="0" collapsed="false">
      <c r="A785" s="47" t="s">
        <v>139</v>
      </c>
      <c r="B785" s="47" t="s">
        <v>138</v>
      </c>
      <c r="C785" s="48" t="n">
        <v>45717</v>
      </c>
      <c r="D785" s="47" t="s">
        <v>36</v>
      </c>
      <c r="E785" s="47" t="s">
        <v>43</v>
      </c>
      <c r="F785" s="49" t="n">
        <v>436237</v>
      </c>
      <c r="G785" s="49" t="n">
        <v>450907</v>
      </c>
      <c r="H785" s="49" t="n">
        <v>294242</v>
      </c>
      <c r="I785" s="49" t="n">
        <v>315928</v>
      </c>
      <c r="J785" s="49" t="n">
        <v>58238</v>
      </c>
      <c r="K785" s="49" t="n">
        <v>61234</v>
      </c>
      <c r="L785" s="50" t="n">
        <v>18.8</v>
      </c>
      <c r="M785" s="51" t="n">
        <f aca="false">G785-F785</f>
        <v>14670</v>
      </c>
      <c r="N785" s="52" t="n">
        <f aca="false">IF(F785=0,0,M785/F785)</f>
        <v>0.0336285092736288</v>
      </c>
      <c r="O785" s="51" t="n">
        <f aca="false">G785-I785</f>
        <v>134979</v>
      </c>
      <c r="P785" s="51" t="n">
        <f aca="false">F785-H785</f>
        <v>141995</v>
      </c>
      <c r="Q785" s="51" t="n">
        <f aca="false">F785-H785-J785</f>
        <v>83757</v>
      </c>
      <c r="R785" s="51" t="n">
        <f aca="false">G785-I785-K785</f>
        <v>73745</v>
      </c>
      <c r="S785" s="51" t="n">
        <f aca="false">R785-Q785</f>
        <v>-10012</v>
      </c>
      <c r="T785" s="52" t="n">
        <f aca="false">IF(Q785=0,0,S785/Q785)</f>
        <v>-0.11953627756486</v>
      </c>
      <c r="U785" s="51" t="str">
        <f aca="false">IF(AND(Q785&gt;0,T785&lt;-0.15),"ADVERSE","")</f>
        <v/>
      </c>
    </row>
    <row r="786" customFormat="false" ht="15" hidden="false" customHeight="false" outlineLevel="0" collapsed="false">
      <c r="A786" s="47" t="s">
        <v>3</v>
      </c>
      <c r="B786" s="47" t="s">
        <v>135</v>
      </c>
      <c r="C786" s="48" t="n">
        <v>45748</v>
      </c>
      <c r="D786" s="47" t="s">
        <v>36</v>
      </c>
      <c r="E786" s="47" t="s">
        <v>43</v>
      </c>
      <c r="F786" s="49" t="n">
        <v>413667</v>
      </c>
      <c r="G786" s="49" t="n">
        <v>424664</v>
      </c>
      <c r="H786" s="49" t="n">
        <v>279018</v>
      </c>
      <c r="I786" s="49" t="n">
        <v>292198</v>
      </c>
      <c r="J786" s="49" t="n">
        <v>55225</v>
      </c>
      <c r="K786" s="49" t="n">
        <v>63469</v>
      </c>
      <c r="L786" s="50" t="n">
        <v>18.1</v>
      </c>
      <c r="M786" s="51" t="n">
        <f aca="false">G786-F786</f>
        <v>10997</v>
      </c>
      <c r="N786" s="52" t="n">
        <f aca="false">IF(F786=0,0,M786/F786)</f>
        <v>0.0265841848636705</v>
      </c>
      <c r="O786" s="51" t="n">
        <f aca="false">G786-I786</f>
        <v>132466</v>
      </c>
      <c r="P786" s="51" t="n">
        <f aca="false">F786-H786</f>
        <v>134649</v>
      </c>
      <c r="Q786" s="51" t="n">
        <f aca="false">F786-H786-J786</f>
        <v>79424</v>
      </c>
      <c r="R786" s="51" t="n">
        <f aca="false">G786-I786-K786</f>
        <v>68997</v>
      </c>
      <c r="S786" s="51" t="n">
        <f aca="false">R786-Q786</f>
        <v>-10427</v>
      </c>
      <c r="T786" s="52" t="n">
        <f aca="false">IF(Q786=0,0,S786/Q786)</f>
        <v>-0.131282735697019</v>
      </c>
      <c r="U786" s="51" t="str">
        <f aca="false">IF(AND(Q786&gt;0,T786&lt;-0.15),"ADVERSE","")</f>
        <v/>
      </c>
    </row>
    <row r="787" customFormat="false" ht="15" hidden="false" customHeight="false" outlineLevel="0" collapsed="false">
      <c r="A787" s="47" t="s">
        <v>3</v>
      </c>
      <c r="B787" s="47" t="s">
        <v>135</v>
      </c>
      <c r="C787" s="48" t="n">
        <v>45778</v>
      </c>
      <c r="D787" s="47" t="s">
        <v>36</v>
      </c>
      <c r="E787" s="47" t="s">
        <v>43</v>
      </c>
      <c r="F787" s="49" t="n">
        <v>410497</v>
      </c>
      <c r="G787" s="49" t="n">
        <v>403326</v>
      </c>
      <c r="H787" s="49" t="n">
        <v>276880</v>
      </c>
      <c r="I787" s="49" t="n">
        <v>280715</v>
      </c>
      <c r="J787" s="49" t="n">
        <v>54801</v>
      </c>
      <c r="K787" s="49" t="n">
        <v>50185</v>
      </c>
      <c r="L787" s="50" t="n">
        <v>18.7</v>
      </c>
      <c r="M787" s="51" t="n">
        <f aca="false">G787-F787</f>
        <v>-7171</v>
      </c>
      <c r="N787" s="52" t="n">
        <f aca="false">IF(F787=0,0,M787/F787)</f>
        <v>-0.0174690679834445</v>
      </c>
      <c r="O787" s="51" t="n">
        <f aca="false">G787-I787</f>
        <v>122611</v>
      </c>
      <c r="P787" s="51" t="n">
        <f aca="false">F787-H787</f>
        <v>133617</v>
      </c>
      <c r="Q787" s="51" t="n">
        <f aca="false">F787-H787-J787</f>
        <v>78816</v>
      </c>
      <c r="R787" s="51" t="n">
        <f aca="false">G787-I787-K787</f>
        <v>72426</v>
      </c>
      <c r="S787" s="51" t="n">
        <f aca="false">R787-Q787</f>
        <v>-6390</v>
      </c>
      <c r="T787" s="52" t="n">
        <f aca="false">IF(Q787=0,0,S787/Q787)</f>
        <v>-0.0810749086479903</v>
      </c>
      <c r="U787" s="51" t="str">
        <f aca="false">IF(AND(Q787&gt;0,T787&lt;-0.15),"ADVERSE","")</f>
        <v/>
      </c>
    </row>
    <row r="788" customFormat="false" ht="15" hidden="false" customHeight="false" outlineLevel="0" collapsed="false">
      <c r="A788" s="47" t="s">
        <v>3</v>
      </c>
      <c r="B788" s="47" t="s">
        <v>135</v>
      </c>
      <c r="C788" s="48" t="n">
        <v>45809</v>
      </c>
      <c r="D788" s="47" t="s">
        <v>36</v>
      </c>
      <c r="E788" s="47" t="s">
        <v>43</v>
      </c>
      <c r="F788" s="49" t="n">
        <v>422632</v>
      </c>
      <c r="G788" s="49" t="n">
        <v>379037</v>
      </c>
      <c r="H788" s="49" t="n">
        <v>285065</v>
      </c>
      <c r="I788" s="49" t="n">
        <v>265639</v>
      </c>
      <c r="J788" s="49" t="n">
        <v>56421</v>
      </c>
      <c r="K788" s="49" t="n">
        <v>47913</v>
      </c>
      <c r="L788" s="50" t="n">
        <v>19</v>
      </c>
      <c r="M788" s="51" t="n">
        <f aca="false">G788-F788</f>
        <v>-43595</v>
      </c>
      <c r="N788" s="52" t="n">
        <f aca="false">IF(F788=0,0,M788/F788)</f>
        <v>-0.10315120483068</v>
      </c>
      <c r="O788" s="51" t="n">
        <f aca="false">G788-I788</f>
        <v>113398</v>
      </c>
      <c r="P788" s="51" t="n">
        <f aca="false">F788-H788</f>
        <v>137567</v>
      </c>
      <c r="Q788" s="51" t="n">
        <f aca="false">F788-H788-J788</f>
        <v>81146</v>
      </c>
      <c r="R788" s="51" t="n">
        <f aca="false">G788-I788-K788</f>
        <v>65485</v>
      </c>
      <c r="S788" s="51" t="n">
        <f aca="false">R788-Q788</f>
        <v>-15661</v>
      </c>
      <c r="T788" s="52" t="n">
        <f aca="false">IF(Q788=0,0,S788/Q788)</f>
        <v>-0.192997806422991</v>
      </c>
      <c r="U788" s="51" t="str">
        <f aca="false">IF(AND(Q788&gt;0,T788&lt;-0.15),"ADVERSE","")</f>
        <v>ADVERSE</v>
      </c>
    </row>
    <row r="789" customFormat="false" ht="15" hidden="false" customHeight="false" outlineLevel="0" collapsed="false">
      <c r="A789" s="47" t="s">
        <v>3</v>
      </c>
      <c r="B789" s="47" t="s">
        <v>136</v>
      </c>
      <c r="C789" s="48" t="n">
        <v>45839</v>
      </c>
      <c r="D789" s="47" t="s">
        <v>36</v>
      </c>
      <c r="E789" s="47" t="s">
        <v>43</v>
      </c>
      <c r="F789" s="49" t="n">
        <v>419247</v>
      </c>
      <c r="G789" s="49" t="n">
        <v>415533</v>
      </c>
      <c r="H789" s="49" t="n">
        <v>282782</v>
      </c>
      <c r="I789" s="49" t="n">
        <v>288022</v>
      </c>
      <c r="J789" s="49" t="n">
        <v>55970</v>
      </c>
      <c r="K789" s="49" t="n">
        <v>54184</v>
      </c>
      <c r="L789" s="50" t="n">
        <v>19.8</v>
      </c>
      <c r="M789" s="51" t="n">
        <f aca="false">G789-F789</f>
        <v>-3714</v>
      </c>
      <c r="N789" s="52" t="n">
        <f aca="false">IF(F789=0,0,M789/F789)</f>
        <v>-0.00885873959742109</v>
      </c>
      <c r="O789" s="51" t="n">
        <f aca="false">G789-I789</f>
        <v>127511</v>
      </c>
      <c r="P789" s="51" t="n">
        <f aca="false">F789-H789</f>
        <v>136465</v>
      </c>
      <c r="Q789" s="51" t="n">
        <f aca="false">F789-H789-J789</f>
        <v>80495</v>
      </c>
      <c r="R789" s="51" t="n">
        <f aca="false">G789-I789-K789</f>
        <v>73327</v>
      </c>
      <c r="S789" s="51" t="n">
        <f aca="false">R789-Q789</f>
        <v>-7168</v>
      </c>
      <c r="T789" s="52" t="n">
        <f aca="false">IF(Q789=0,0,S789/Q789)</f>
        <v>-0.0890490092552333</v>
      </c>
      <c r="U789" s="51" t="str">
        <f aca="false">IF(AND(Q789&gt;0,T789&lt;-0.15),"ADVERSE","")</f>
        <v/>
      </c>
    </row>
    <row r="790" customFormat="false" ht="15" hidden="false" customHeight="false" outlineLevel="0" collapsed="false">
      <c r="A790" s="47" t="s">
        <v>3</v>
      </c>
      <c r="B790" s="47" t="s">
        <v>136</v>
      </c>
      <c r="C790" s="48" t="n">
        <v>45870</v>
      </c>
      <c r="D790" s="47" t="s">
        <v>36</v>
      </c>
      <c r="E790" s="47" t="s">
        <v>43</v>
      </c>
      <c r="F790" s="49" t="n">
        <v>407094</v>
      </c>
      <c r="G790" s="49" t="n">
        <v>387437</v>
      </c>
      <c r="H790" s="49" t="n">
        <v>274585</v>
      </c>
      <c r="I790" s="49" t="n">
        <v>270671</v>
      </c>
      <c r="J790" s="49" t="n">
        <v>54347</v>
      </c>
      <c r="K790" s="49" t="n">
        <v>49270</v>
      </c>
      <c r="L790" s="50" t="n">
        <v>18.6</v>
      </c>
      <c r="M790" s="51" t="n">
        <f aca="false">G790-F790</f>
        <v>-19657</v>
      </c>
      <c r="N790" s="52" t="n">
        <f aca="false">IF(F790=0,0,M790/F790)</f>
        <v>-0.0482861452146187</v>
      </c>
      <c r="O790" s="51" t="n">
        <f aca="false">G790-I790</f>
        <v>116766</v>
      </c>
      <c r="P790" s="51" t="n">
        <f aca="false">F790-H790</f>
        <v>132509</v>
      </c>
      <c r="Q790" s="51" t="n">
        <f aca="false">F790-H790-J790</f>
        <v>78162</v>
      </c>
      <c r="R790" s="51" t="n">
        <f aca="false">G790-I790-K790</f>
        <v>67496</v>
      </c>
      <c r="S790" s="51" t="n">
        <f aca="false">R790-Q790</f>
        <v>-10666</v>
      </c>
      <c r="T790" s="52" t="n">
        <f aca="false">IF(Q790=0,0,S790/Q790)</f>
        <v>-0.136460172462322</v>
      </c>
      <c r="U790" s="51" t="str">
        <f aca="false">IF(AND(Q790&gt;0,T790&lt;-0.15),"ADVERSE","")</f>
        <v/>
      </c>
    </row>
    <row r="791" customFormat="false" ht="15" hidden="false" customHeight="false" outlineLevel="0" collapsed="false">
      <c r="A791" s="47" t="s">
        <v>3</v>
      </c>
      <c r="B791" s="47" t="s">
        <v>136</v>
      </c>
      <c r="C791" s="48" t="n">
        <v>45901</v>
      </c>
      <c r="D791" s="47" t="s">
        <v>36</v>
      </c>
      <c r="E791" s="47" t="s">
        <v>43</v>
      </c>
      <c r="F791" s="49" t="n">
        <v>422756</v>
      </c>
      <c r="G791" s="49" t="n">
        <v>414382</v>
      </c>
      <c r="H791" s="49" t="n">
        <v>285149</v>
      </c>
      <c r="I791" s="49" t="n">
        <v>289287</v>
      </c>
      <c r="J791" s="49" t="n">
        <v>56438</v>
      </c>
      <c r="K791" s="49" t="n">
        <v>58798</v>
      </c>
      <c r="L791" s="50" t="n">
        <v>19.4</v>
      </c>
      <c r="M791" s="51" t="n">
        <f aca="false">G791-F791</f>
        <v>-8374</v>
      </c>
      <c r="N791" s="52" t="n">
        <f aca="false">IF(F791=0,0,M791/F791)</f>
        <v>-0.0198081162656473</v>
      </c>
      <c r="O791" s="51" t="n">
        <f aca="false">G791-I791</f>
        <v>125095</v>
      </c>
      <c r="P791" s="51" t="n">
        <f aca="false">F791-H791</f>
        <v>137607</v>
      </c>
      <c r="Q791" s="51" t="n">
        <f aca="false">F791-H791-J791</f>
        <v>81169</v>
      </c>
      <c r="R791" s="51" t="n">
        <f aca="false">G791-I791-K791</f>
        <v>66297</v>
      </c>
      <c r="S791" s="51" t="n">
        <f aca="false">R791-Q791</f>
        <v>-14872</v>
      </c>
      <c r="T791" s="52" t="n">
        <f aca="false">IF(Q791=0,0,S791/Q791)</f>
        <v>-0.18322265889687</v>
      </c>
      <c r="U791" s="51" t="str">
        <f aca="false">IF(AND(Q791&gt;0,T791&lt;-0.15),"ADVERSE","")</f>
        <v>ADVERSE</v>
      </c>
    </row>
    <row r="792" customFormat="false" ht="15" hidden="false" customHeight="false" outlineLevel="0" collapsed="false">
      <c r="A792" s="47" t="s">
        <v>3</v>
      </c>
      <c r="B792" s="47" t="s">
        <v>137</v>
      </c>
      <c r="C792" s="48" t="n">
        <v>45931</v>
      </c>
      <c r="D792" s="47" t="s">
        <v>36</v>
      </c>
      <c r="E792" s="47" t="s">
        <v>43</v>
      </c>
      <c r="F792" s="49" t="n">
        <v>432035</v>
      </c>
      <c r="G792" s="49" t="n">
        <v>413405</v>
      </c>
      <c r="H792" s="49" t="n">
        <v>291407</v>
      </c>
      <c r="I792" s="49" t="n">
        <v>288039</v>
      </c>
      <c r="J792" s="49" t="n">
        <v>57677</v>
      </c>
      <c r="K792" s="49" t="n">
        <v>56675</v>
      </c>
      <c r="L792" s="50" t="n">
        <v>18.8</v>
      </c>
      <c r="M792" s="51" t="n">
        <f aca="false">G792-F792</f>
        <v>-18630</v>
      </c>
      <c r="N792" s="52" t="n">
        <f aca="false">IF(F792=0,0,M792/F792)</f>
        <v>-0.0431215063594385</v>
      </c>
      <c r="O792" s="51" t="n">
        <f aca="false">G792-I792</f>
        <v>125366</v>
      </c>
      <c r="P792" s="51" t="n">
        <f aca="false">F792-H792</f>
        <v>140628</v>
      </c>
      <c r="Q792" s="51" t="n">
        <f aca="false">F792-H792-J792</f>
        <v>82951</v>
      </c>
      <c r="R792" s="51" t="n">
        <f aca="false">G792-I792-K792</f>
        <v>68691</v>
      </c>
      <c r="S792" s="51" t="n">
        <f aca="false">R792-Q792</f>
        <v>-14260</v>
      </c>
      <c r="T792" s="52" t="n">
        <f aca="false">IF(Q792=0,0,S792/Q792)</f>
        <v>-0.171908717194488</v>
      </c>
      <c r="U792" s="51" t="str">
        <f aca="false">IF(AND(Q792&gt;0,T792&lt;-0.15),"ADVERSE","")</f>
        <v>ADVERSE</v>
      </c>
    </row>
    <row r="793" customFormat="false" ht="15" hidden="false" customHeight="false" outlineLevel="0" collapsed="false">
      <c r="A793" s="47" t="s">
        <v>3</v>
      </c>
      <c r="B793" s="47" t="s">
        <v>137</v>
      </c>
      <c r="C793" s="48" t="n">
        <v>45962</v>
      </c>
      <c r="D793" s="47" t="s">
        <v>36</v>
      </c>
      <c r="E793" s="47" t="s">
        <v>43</v>
      </c>
      <c r="F793" s="49" t="n">
        <v>430844</v>
      </c>
      <c r="G793" s="49" t="n">
        <v>414884</v>
      </c>
      <c r="H793" s="49" t="n">
        <v>290604</v>
      </c>
      <c r="I793" s="49" t="n">
        <v>295552</v>
      </c>
      <c r="J793" s="49" t="n">
        <v>57518</v>
      </c>
      <c r="K793" s="49" t="n">
        <v>57377</v>
      </c>
      <c r="L793" s="50" t="n">
        <v>18.4</v>
      </c>
      <c r="M793" s="51" t="n">
        <f aca="false">G793-F793</f>
        <v>-15960</v>
      </c>
      <c r="N793" s="52" t="n">
        <f aca="false">IF(F793=0,0,M793/F793)</f>
        <v>-0.0370435702945846</v>
      </c>
      <c r="O793" s="51" t="n">
        <f aca="false">G793-I793</f>
        <v>119332</v>
      </c>
      <c r="P793" s="51" t="n">
        <f aca="false">F793-H793</f>
        <v>140240</v>
      </c>
      <c r="Q793" s="51" t="n">
        <f aca="false">F793-H793-J793</f>
        <v>82722</v>
      </c>
      <c r="R793" s="51" t="n">
        <f aca="false">G793-I793-K793</f>
        <v>61955</v>
      </c>
      <c r="S793" s="51" t="n">
        <f aca="false">R793-Q793</f>
        <v>-20767</v>
      </c>
      <c r="T793" s="52" t="n">
        <f aca="false">IF(Q793=0,0,S793/Q793)</f>
        <v>-0.25104567104277</v>
      </c>
      <c r="U793" s="51" t="str">
        <f aca="false">IF(AND(Q793&gt;0,T793&lt;-0.15),"ADVERSE","")</f>
        <v>ADVERSE</v>
      </c>
    </row>
    <row r="794" customFormat="false" ht="15" hidden="false" customHeight="false" outlineLevel="0" collapsed="false">
      <c r="A794" s="47" t="s">
        <v>3</v>
      </c>
      <c r="B794" s="47" t="s">
        <v>137</v>
      </c>
      <c r="C794" s="48" t="n">
        <v>45992</v>
      </c>
      <c r="D794" s="47" t="s">
        <v>36</v>
      </c>
      <c r="E794" s="47" t="s">
        <v>43</v>
      </c>
      <c r="F794" s="49" t="n">
        <v>430184</v>
      </c>
      <c r="G794" s="49" t="n">
        <v>398197</v>
      </c>
      <c r="H794" s="49" t="n">
        <v>290159</v>
      </c>
      <c r="I794" s="49" t="n">
        <v>279066</v>
      </c>
      <c r="J794" s="49" t="n">
        <v>57430</v>
      </c>
      <c r="K794" s="49" t="n">
        <v>57665</v>
      </c>
      <c r="L794" s="50" t="n">
        <v>18.6</v>
      </c>
      <c r="M794" s="51" t="n">
        <f aca="false">G794-F794</f>
        <v>-31987</v>
      </c>
      <c r="N794" s="52" t="n">
        <f aca="false">IF(F794=0,0,M794/F794)</f>
        <v>-0.0743565544046269</v>
      </c>
      <c r="O794" s="51" t="n">
        <f aca="false">G794-I794</f>
        <v>119131</v>
      </c>
      <c r="P794" s="51" t="n">
        <f aca="false">F794-H794</f>
        <v>140025</v>
      </c>
      <c r="Q794" s="51" t="n">
        <f aca="false">F794-H794-J794</f>
        <v>82595</v>
      </c>
      <c r="R794" s="51" t="n">
        <f aca="false">G794-I794-K794</f>
        <v>61466</v>
      </c>
      <c r="S794" s="51" t="n">
        <f aca="false">R794-Q794</f>
        <v>-21129</v>
      </c>
      <c r="T794" s="52" t="n">
        <f aca="false">IF(Q794=0,0,S794/Q794)</f>
        <v>-0.255814516617229</v>
      </c>
      <c r="U794" s="51" t="str">
        <f aca="false">IF(AND(Q794&gt;0,T794&lt;-0.15),"ADVERSE","")</f>
        <v>ADVERSE</v>
      </c>
    </row>
    <row r="795" customFormat="false" ht="15" hidden="false" customHeight="false" outlineLevel="0" collapsed="false">
      <c r="A795" s="47" t="s">
        <v>3</v>
      </c>
      <c r="B795" s="47" t="s">
        <v>138</v>
      </c>
      <c r="C795" s="48" t="n">
        <v>46023</v>
      </c>
      <c r="D795" s="47" t="s">
        <v>36</v>
      </c>
      <c r="E795" s="47" t="s">
        <v>43</v>
      </c>
      <c r="F795" s="49" t="n">
        <v>419198</v>
      </c>
      <c r="G795" s="49" t="n">
        <v>365105</v>
      </c>
      <c r="H795" s="49" t="n">
        <v>282749</v>
      </c>
      <c r="I795" s="49" t="n">
        <v>253290</v>
      </c>
      <c r="J795" s="49" t="n">
        <v>55963</v>
      </c>
      <c r="K795" s="49" t="n">
        <v>48528</v>
      </c>
      <c r="L795" s="50" t="n">
        <v>19.2</v>
      </c>
      <c r="M795" s="51" t="n">
        <f aca="false">G795-F795</f>
        <v>-54093</v>
      </c>
      <c r="N795" s="52" t="n">
        <f aca="false">IF(F795=0,0,M795/F795)</f>
        <v>-0.129039260683496</v>
      </c>
      <c r="O795" s="51" t="n">
        <f aca="false">G795-I795</f>
        <v>111815</v>
      </c>
      <c r="P795" s="51" t="n">
        <f aca="false">F795-H795</f>
        <v>136449</v>
      </c>
      <c r="Q795" s="51" t="n">
        <f aca="false">F795-H795-J795</f>
        <v>80486</v>
      </c>
      <c r="R795" s="51" t="n">
        <f aca="false">G795-I795-K795</f>
        <v>63287</v>
      </c>
      <c r="S795" s="51" t="n">
        <f aca="false">R795-Q795</f>
        <v>-17199</v>
      </c>
      <c r="T795" s="52" t="n">
        <f aca="false">IF(Q795=0,0,S795/Q795)</f>
        <v>-0.213689337276048</v>
      </c>
      <c r="U795" s="51" t="str">
        <f aca="false">IF(AND(Q795&gt;0,T795&lt;-0.15),"ADVERSE","")</f>
        <v>ADVERSE</v>
      </c>
    </row>
    <row r="796" customFormat="false" ht="15" hidden="false" customHeight="false" outlineLevel="0" collapsed="false">
      <c r="A796" s="47" t="s">
        <v>3</v>
      </c>
      <c r="B796" s="47" t="s">
        <v>138</v>
      </c>
      <c r="C796" s="48" t="n">
        <v>46054</v>
      </c>
      <c r="D796" s="47" t="s">
        <v>36</v>
      </c>
      <c r="E796" s="47" t="s">
        <v>43</v>
      </c>
      <c r="F796" s="49" t="n">
        <v>415372</v>
      </c>
      <c r="G796" s="49" t="n">
        <v>377557</v>
      </c>
      <c r="H796" s="49" t="n">
        <v>280168</v>
      </c>
      <c r="I796" s="49" t="n">
        <v>259684</v>
      </c>
      <c r="J796" s="49" t="n">
        <v>55452</v>
      </c>
      <c r="K796" s="49" t="n">
        <v>52669</v>
      </c>
      <c r="L796" s="50" t="n">
        <v>18.9</v>
      </c>
      <c r="M796" s="51" t="n">
        <f aca="false">G796-F796</f>
        <v>-37815</v>
      </c>
      <c r="N796" s="52" t="n">
        <f aca="false">IF(F796=0,0,M796/F796)</f>
        <v>-0.0910388759954932</v>
      </c>
      <c r="O796" s="51" t="n">
        <f aca="false">G796-I796</f>
        <v>117873</v>
      </c>
      <c r="P796" s="51" t="n">
        <f aca="false">F796-H796</f>
        <v>135204</v>
      </c>
      <c r="Q796" s="51" t="n">
        <f aca="false">F796-H796-J796</f>
        <v>79752</v>
      </c>
      <c r="R796" s="51" t="n">
        <f aca="false">G796-I796-K796</f>
        <v>65204</v>
      </c>
      <c r="S796" s="51" t="n">
        <f aca="false">R796-Q796</f>
        <v>-14548</v>
      </c>
      <c r="T796" s="52" t="n">
        <f aca="false">IF(Q796=0,0,S796/Q796)</f>
        <v>-0.18241548801284</v>
      </c>
      <c r="U796" s="51" t="str">
        <f aca="false">IF(AND(Q796&gt;0,T796&lt;-0.15),"ADVERSE","")</f>
        <v>ADVERSE</v>
      </c>
    </row>
    <row r="797" customFormat="false" ht="15" hidden="false" customHeight="false" outlineLevel="0" collapsed="false">
      <c r="A797" s="47" t="s">
        <v>3</v>
      </c>
      <c r="B797" s="47" t="s">
        <v>138</v>
      </c>
      <c r="C797" s="48" t="n">
        <v>46082</v>
      </c>
      <c r="D797" s="47" t="s">
        <v>36</v>
      </c>
      <c r="E797" s="47" t="s">
        <v>43</v>
      </c>
      <c r="F797" s="49" t="n">
        <v>447247</v>
      </c>
      <c r="G797" s="49" t="n">
        <v>412409</v>
      </c>
      <c r="H797" s="49" t="n">
        <v>301668</v>
      </c>
      <c r="I797" s="49" t="n">
        <v>289818</v>
      </c>
      <c r="J797" s="49" t="n">
        <v>59707</v>
      </c>
      <c r="K797" s="49" t="n">
        <v>52985</v>
      </c>
      <c r="L797" s="50" t="n">
        <v>19.1</v>
      </c>
      <c r="M797" s="51" t="n">
        <f aca="false">G797-F797</f>
        <v>-34838</v>
      </c>
      <c r="N797" s="52" t="n">
        <f aca="false">IF(F797=0,0,M797/F797)</f>
        <v>-0.0778943179048714</v>
      </c>
      <c r="O797" s="51" t="n">
        <f aca="false">G797-I797</f>
        <v>122591</v>
      </c>
      <c r="P797" s="51" t="n">
        <f aca="false">F797-H797</f>
        <v>145579</v>
      </c>
      <c r="Q797" s="51" t="n">
        <f aca="false">F797-H797-J797</f>
        <v>85872</v>
      </c>
      <c r="R797" s="51" t="n">
        <f aca="false">G797-I797-K797</f>
        <v>69606</v>
      </c>
      <c r="S797" s="51" t="n">
        <f aca="false">R797-Q797</f>
        <v>-16266</v>
      </c>
      <c r="T797" s="52" t="n">
        <f aca="false">IF(Q797=0,0,S797/Q797)</f>
        <v>-0.18942146450531</v>
      </c>
      <c r="U797" s="51" t="str">
        <f aca="false">IF(AND(Q797&gt;0,T797&lt;-0.15),"ADVERSE","")</f>
        <v>ADVERSE</v>
      </c>
    </row>
    <row r="798" customFormat="false" ht="15" hidden="false" customHeight="false" outlineLevel="0" collapsed="false">
      <c r="A798" s="47" t="s">
        <v>134</v>
      </c>
      <c r="B798" s="47" t="s">
        <v>135</v>
      </c>
      <c r="C798" s="48" t="n">
        <v>45017</v>
      </c>
      <c r="D798" s="47" t="s">
        <v>36</v>
      </c>
      <c r="E798" s="47" t="s">
        <v>44</v>
      </c>
      <c r="F798" s="49" t="n">
        <v>395836</v>
      </c>
      <c r="G798" s="49" t="n">
        <v>396247</v>
      </c>
      <c r="H798" s="49" t="n">
        <v>266991</v>
      </c>
      <c r="I798" s="49" t="n">
        <v>265178</v>
      </c>
      <c r="J798" s="49" t="n">
        <v>52844</v>
      </c>
      <c r="K798" s="49" t="n">
        <v>54335</v>
      </c>
      <c r="L798" s="50" t="n">
        <v>18.7</v>
      </c>
      <c r="M798" s="51" t="n">
        <f aca="false">G798-F798</f>
        <v>411</v>
      </c>
      <c r="N798" s="52" t="n">
        <f aca="false">IF(F798=0,0,M798/F798)</f>
        <v>0.00103830879455128</v>
      </c>
      <c r="O798" s="51" t="n">
        <f aca="false">G798-I798</f>
        <v>131069</v>
      </c>
      <c r="P798" s="51" t="n">
        <f aca="false">F798-H798</f>
        <v>128845</v>
      </c>
      <c r="Q798" s="51" t="n">
        <f aca="false">F798-H798-J798</f>
        <v>76001</v>
      </c>
      <c r="R798" s="51" t="n">
        <f aca="false">G798-I798-K798</f>
        <v>76734</v>
      </c>
      <c r="S798" s="51" t="n">
        <f aca="false">R798-Q798</f>
        <v>733</v>
      </c>
      <c r="T798" s="52" t="n">
        <f aca="false">IF(Q798=0,0,S798/Q798)</f>
        <v>0.0096446099393429</v>
      </c>
      <c r="U798" s="51" t="str">
        <f aca="false">IF(AND(Q798&gt;0,T798&lt;-0.15),"ADVERSE","")</f>
        <v/>
      </c>
    </row>
    <row r="799" customFormat="false" ht="15" hidden="false" customHeight="false" outlineLevel="0" collapsed="false">
      <c r="A799" s="47" t="s">
        <v>134</v>
      </c>
      <c r="B799" s="47" t="s">
        <v>135</v>
      </c>
      <c r="C799" s="48" t="n">
        <v>45047</v>
      </c>
      <c r="D799" s="47" t="s">
        <v>36</v>
      </c>
      <c r="E799" s="47" t="s">
        <v>44</v>
      </c>
      <c r="F799" s="49" t="n">
        <v>394102</v>
      </c>
      <c r="G799" s="49" t="n">
        <v>387806</v>
      </c>
      <c r="H799" s="49" t="n">
        <v>265822</v>
      </c>
      <c r="I799" s="49" t="n">
        <v>266532</v>
      </c>
      <c r="J799" s="49" t="n">
        <v>52613</v>
      </c>
      <c r="K799" s="49" t="n">
        <v>53503</v>
      </c>
      <c r="L799" s="50" t="n">
        <v>19.1</v>
      </c>
      <c r="M799" s="51" t="n">
        <f aca="false">G799-F799</f>
        <v>-6296</v>
      </c>
      <c r="N799" s="52" t="n">
        <f aca="false">IF(F799=0,0,M799/F799)</f>
        <v>-0.0159755596266956</v>
      </c>
      <c r="O799" s="51" t="n">
        <f aca="false">G799-I799</f>
        <v>121274</v>
      </c>
      <c r="P799" s="51" t="n">
        <f aca="false">F799-H799</f>
        <v>128280</v>
      </c>
      <c r="Q799" s="51" t="n">
        <f aca="false">F799-H799-J799</f>
        <v>75667</v>
      </c>
      <c r="R799" s="51" t="n">
        <f aca="false">G799-I799-K799</f>
        <v>67771</v>
      </c>
      <c r="S799" s="51" t="n">
        <f aca="false">R799-Q799</f>
        <v>-7896</v>
      </c>
      <c r="T799" s="52" t="n">
        <f aca="false">IF(Q799=0,0,S799/Q799)</f>
        <v>-0.104351963207211</v>
      </c>
      <c r="U799" s="51" t="str">
        <f aca="false">IF(AND(Q799&gt;0,T799&lt;-0.15),"ADVERSE","")</f>
        <v/>
      </c>
    </row>
    <row r="800" customFormat="false" ht="15" hidden="false" customHeight="false" outlineLevel="0" collapsed="false">
      <c r="A800" s="47" t="s">
        <v>134</v>
      </c>
      <c r="B800" s="47" t="s">
        <v>135</v>
      </c>
      <c r="C800" s="48" t="n">
        <v>45078</v>
      </c>
      <c r="D800" s="47" t="s">
        <v>36</v>
      </c>
      <c r="E800" s="47" t="s">
        <v>44</v>
      </c>
      <c r="F800" s="49" t="n">
        <v>401586</v>
      </c>
      <c r="G800" s="49" t="n">
        <v>398395</v>
      </c>
      <c r="H800" s="49" t="n">
        <v>270869</v>
      </c>
      <c r="I800" s="49" t="n">
        <v>265011</v>
      </c>
      <c r="J800" s="49" t="n">
        <v>53612</v>
      </c>
      <c r="K800" s="49" t="n">
        <v>56337</v>
      </c>
      <c r="L800" s="50" t="n">
        <v>20</v>
      </c>
      <c r="M800" s="51" t="n">
        <f aca="false">G800-F800</f>
        <v>-3191</v>
      </c>
      <c r="N800" s="52" t="n">
        <f aca="false">IF(F800=0,0,M800/F800)</f>
        <v>-0.00794599413326162</v>
      </c>
      <c r="O800" s="51" t="n">
        <f aca="false">G800-I800</f>
        <v>133384</v>
      </c>
      <c r="P800" s="51" t="n">
        <f aca="false">F800-H800</f>
        <v>130717</v>
      </c>
      <c r="Q800" s="51" t="n">
        <f aca="false">F800-H800-J800</f>
        <v>77105</v>
      </c>
      <c r="R800" s="51" t="n">
        <f aca="false">G800-I800-K800</f>
        <v>77047</v>
      </c>
      <c r="S800" s="51" t="n">
        <f aca="false">R800-Q800</f>
        <v>-58</v>
      </c>
      <c r="T800" s="52" t="n">
        <f aca="false">IF(Q800=0,0,S800/Q800)</f>
        <v>-0.000752220997341288</v>
      </c>
      <c r="U800" s="51" t="str">
        <f aca="false">IF(AND(Q800&gt;0,T800&lt;-0.15),"ADVERSE","")</f>
        <v/>
      </c>
    </row>
    <row r="801" customFormat="false" ht="15" hidden="false" customHeight="false" outlineLevel="0" collapsed="false">
      <c r="A801" s="47" t="s">
        <v>134</v>
      </c>
      <c r="B801" s="47" t="s">
        <v>136</v>
      </c>
      <c r="C801" s="48" t="n">
        <v>45108</v>
      </c>
      <c r="D801" s="47" t="s">
        <v>36</v>
      </c>
      <c r="E801" s="47" t="s">
        <v>44</v>
      </c>
      <c r="F801" s="49" t="n">
        <v>397218</v>
      </c>
      <c r="G801" s="49" t="n">
        <v>404766</v>
      </c>
      <c r="H801" s="49" t="n">
        <v>267924</v>
      </c>
      <c r="I801" s="49" t="n">
        <v>270626</v>
      </c>
      <c r="J801" s="49" t="n">
        <v>53029</v>
      </c>
      <c r="K801" s="49" t="n">
        <v>54154</v>
      </c>
      <c r="L801" s="50" t="n">
        <v>19.2</v>
      </c>
      <c r="M801" s="51" t="n">
        <f aca="false">G801-F801</f>
        <v>7548</v>
      </c>
      <c r="N801" s="52" t="n">
        <f aca="false">IF(F801=0,0,M801/F801)</f>
        <v>0.0190021600229597</v>
      </c>
      <c r="O801" s="51" t="n">
        <f aca="false">G801-I801</f>
        <v>134140</v>
      </c>
      <c r="P801" s="51" t="n">
        <f aca="false">F801-H801</f>
        <v>129294</v>
      </c>
      <c r="Q801" s="51" t="n">
        <f aca="false">F801-H801-J801</f>
        <v>76265</v>
      </c>
      <c r="R801" s="51" t="n">
        <f aca="false">G801-I801-K801</f>
        <v>79986</v>
      </c>
      <c r="S801" s="51" t="n">
        <f aca="false">R801-Q801</f>
        <v>3721</v>
      </c>
      <c r="T801" s="52" t="n">
        <f aca="false">IF(Q801=0,0,S801/Q801)</f>
        <v>0.0487904018881532</v>
      </c>
      <c r="U801" s="51" t="str">
        <f aca="false">IF(AND(Q801&gt;0,T801&lt;-0.15),"ADVERSE","")</f>
        <v/>
      </c>
    </row>
    <row r="802" customFormat="false" ht="15" hidden="false" customHeight="false" outlineLevel="0" collapsed="false">
      <c r="A802" s="47" t="s">
        <v>134</v>
      </c>
      <c r="B802" s="47" t="s">
        <v>136</v>
      </c>
      <c r="C802" s="48" t="n">
        <v>45139</v>
      </c>
      <c r="D802" s="47" t="s">
        <v>36</v>
      </c>
      <c r="E802" s="47" t="s">
        <v>44</v>
      </c>
      <c r="F802" s="49" t="n">
        <v>395896</v>
      </c>
      <c r="G802" s="49" t="n">
        <v>414408</v>
      </c>
      <c r="H802" s="49" t="n">
        <v>267032</v>
      </c>
      <c r="I802" s="49" t="n">
        <v>276947</v>
      </c>
      <c r="J802" s="49" t="n">
        <v>52852</v>
      </c>
      <c r="K802" s="49" t="n">
        <v>59005</v>
      </c>
      <c r="L802" s="50" t="n">
        <v>19.9</v>
      </c>
      <c r="M802" s="51" t="n">
        <f aca="false">G802-F802</f>
        <v>18512</v>
      </c>
      <c r="N802" s="52" t="n">
        <f aca="false">IF(F802=0,0,M802/F802)</f>
        <v>0.0467597550871946</v>
      </c>
      <c r="O802" s="51" t="n">
        <f aca="false">G802-I802</f>
        <v>137461</v>
      </c>
      <c r="P802" s="51" t="n">
        <f aca="false">F802-H802</f>
        <v>128864</v>
      </c>
      <c r="Q802" s="51" t="n">
        <f aca="false">F802-H802-J802</f>
        <v>76012</v>
      </c>
      <c r="R802" s="51" t="n">
        <f aca="false">G802-I802-K802</f>
        <v>78456</v>
      </c>
      <c r="S802" s="51" t="n">
        <f aca="false">R802-Q802</f>
        <v>2444</v>
      </c>
      <c r="T802" s="52" t="n">
        <f aca="false">IF(Q802=0,0,S802/Q802)</f>
        <v>0.032152817976109</v>
      </c>
      <c r="U802" s="51" t="str">
        <f aca="false">IF(AND(Q802&gt;0,T802&lt;-0.15),"ADVERSE","")</f>
        <v/>
      </c>
    </row>
    <row r="803" customFormat="false" ht="15" hidden="false" customHeight="false" outlineLevel="0" collapsed="false">
      <c r="A803" s="47" t="s">
        <v>134</v>
      </c>
      <c r="B803" s="47" t="s">
        <v>136</v>
      </c>
      <c r="C803" s="48" t="n">
        <v>45170</v>
      </c>
      <c r="D803" s="47" t="s">
        <v>36</v>
      </c>
      <c r="E803" s="47" t="s">
        <v>44</v>
      </c>
      <c r="F803" s="49" t="n">
        <v>400173</v>
      </c>
      <c r="G803" s="49" t="n">
        <v>381334</v>
      </c>
      <c r="H803" s="49" t="n">
        <v>269917</v>
      </c>
      <c r="I803" s="49" t="n">
        <v>257811</v>
      </c>
      <c r="J803" s="49" t="n">
        <v>53423</v>
      </c>
      <c r="K803" s="49" t="n">
        <v>54846</v>
      </c>
      <c r="L803" s="50" t="n">
        <v>19</v>
      </c>
      <c r="M803" s="51" t="n">
        <f aca="false">G803-F803</f>
        <v>-18839</v>
      </c>
      <c r="N803" s="52" t="n">
        <f aca="false">IF(F803=0,0,M803/F803)</f>
        <v>-0.0470771391373231</v>
      </c>
      <c r="O803" s="51" t="n">
        <f aca="false">G803-I803</f>
        <v>123523</v>
      </c>
      <c r="P803" s="51" t="n">
        <f aca="false">F803-H803</f>
        <v>130256</v>
      </c>
      <c r="Q803" s="51" t="n">
        <f aca="false">F803-H803-J803</f>
        <v>76833</v>
      </c>
      <c r="R803" s="51" t="n">
        <f aca="false">G803-I803-K803</f>
        <v>68677</v>
      </c>
      <c r="S803" s="51" t="n">
        <f aca="false">R803-Q803</f>
        <v>-8156</v>
      </c>
      <c r="T803" s="52" t="n">
        <f aca="false">IF(Q803=0,0,S803/Q803)</f>
        <v>-0.106152304348392</v>
      </c>
      <c r="U803" s="51" t="str">
        <f aca="false">IF(AND(Q803&gt;0,T803&lt;-0.15),"ADVERSE","")</f>
        <v/>
      </c>
    </row>
    <row r="804" customFormat="false" ht="15" hidden="false" customHeight="false" outlineLevel="0" collapsed="false">
      <c r="A804" s="47" t="s">
        <v>134</v>
      </c>
      <c r="B804" s="47" t="s">
        <v>137</v>
      </c>
      <c r="C804" s="48" t="n">
        <v>45200</v>
      </c>
      <c r="D804" s="47" t="s">
        <v>36</v>
      </c>
      <c r="E804" s="47" t="s">
        <v>44</v>
      </c>
      <c r="F804" s="49" t="n">
        <v>411581</v>
      </c>
      <c r="G804" s="49" t="n">
        <v>413671</v>
      </c>
      <c r="H804" s="49" t="n">
        <v>277612</v>
      </c>
      <c r="I804" s="49" t="n">
        <v>276271</v>
      </c>
      <c r="J804" s="49" t="n">
        <v>54946</v>
      </c>
      <c r="K804" s="49" t="n">
        <v>55345</v>
      </c>
      <c r="L804" s="50" t="n">
        <v>19.7</v>
      </c>
      <c r="M804" s="51" t="n">
        <f aca="false">G804-F804</f>
        <v>2090</v>
      </c>
      <c r="N804" s="52" t="n">
        <f aca="false">IF(F804=0,0,M804/F804)</f>
        <v>0.00507797979012637</v>
      </c>
      <c r="O804" s="51" t="n">
        <f aca="false">G804-I804</f>
        <v>137400</v>
      </c>
      <c r="P804" s="51" t="n">
        <f aca="false">F804-H804</f>
        <v>133969</v>
      </c>
      <c r="Q804" s="51" t="n">
        <f aca="false">F804-H804-J804</f>
        <v>79023</v>
      </c>
      <c r="R804" s="51" t="n">
        <f aca="false">G804-I804-K804</f>
        <v>82055</v>
      </c>
      <c r="S804" s="51" t="n">
        <f aca="false">R804-Q804</f>
        <v>3032</v>
      </c>
      <c r="T804" s="52" t="n">
        <f aca="false">IF(Q804=0,0,S804/Q804)</f>
        <v>0.038368576237298</v>
      </c>
      <c r="U804" s="51" t="str">
        <f aca="false">IF(AND(Q804&gt;0,T804&lt;-0.15),"ADVERSE","")</f>
        <v/>
      </c>
    </row>
    <row r="805" customFormat="false" ht="15" hidden="false" customHeight="false" outlineLevel="0" collapsed="false">
      <c r="A805" s="47" t="s">
        <v>134</v>
      </c>
      <c r="B805" s="47" t="s">
        <v>137</v>
      </c>
      <c r="C805" s="48" t="n">
        <v>45231</v>
      </c>
      <c r="D805" s="47" t="s">
        <v>36</v>
      </c>
      <c r="E805" s="47" t="s">
        <v>44</v>
      </c>
      <c r="F805" s="49" t="n">
        <v>417458</v>
      </c>
      <c r="G805" s="49" t="n">
        <v>424485</v>
      </c>
      <c r="H805" s="49" t="n">
        <v>281576</v>
      </c>
      <c r="I805" s="49" t="n">
        <v>284805</v>
      </c>
      <c r="J805" s="49" t="n">
        <v>55731</v>
      </c>
      <c r="K805" s="49" t="n">
        <v>57698</v>
      </c>
      <c r="L805" s="50" t="n">
        <v>19.6</v>
      </c>
      <c r="M805" s="51" t="n">
        <f aca="false">G805-F805</f>
        <v>7027</v>
      </c>
      <c r="N805" s="52" t="n">
        <f aca="false">IF(F805=0,0,M805/F805)</f>
        <v>0.0168328310871992</v>
      </c>
      <c r="O805" s="51" t="n">
        <f aca="false">G805-I805</f>
        <v>139680</v>
      </c>
      <c r="P805" s="51" t="n">
        <f aca="false">F805-H805</f>
        <v>135882</v>
      </c>
      <c r="Q805" s="51" t="n">
        <f aca="false">F805-H805-J805</f>
        <v>80151</v>
      </c>
      <c r="R805" s="51" t="n">
        <f aca="false">G805-I805-K805</f>
        <v>81982</v>
      </c>
      <c r="S805" s="51" t="n">
        <f aca="false">R805-Q805</f>
        <v>1831</v>
      </c>
      <c r="T805" s="52" t="n">
        <f aca="false">IF(Q805=0,0,S805/Q805)</f>
        <v>0.0228443812304276</v>
      </c>
      <c r="U805" s="51" t="str">
        <f aca="false">IF(AND(Q805&gt;0,T805&lt;-0.15),"ADVERSE","")</f>
        <v/>
      </c>
    </row>
    <row r="806" customFormat="false" ht="15" hidden="false" customHeight="false" outlineLevel="0" collapsed="false">
      <c r="A806" s="47" t="s">
        <v>134</v>
      </c>
      <c r="B806" s="47" t="s">
        <v>137</v>
      </c>
      <c r="C806" s="48" t="n">
        <v>45261</v>
      </c>
      <c r="D806" s="47" t="s">
        <v>36</v>
      </c>
      <c r="E806" s="47" t="s">
        <v>44</v>
      </c>
      <c r="F806" s="49" t="n">
        <v>401360</v>
      </c>
      <c r="G806" s="49" t="n">
        <v>428888</v>
      </c>
      <c r="H806" s="49" t="n">
        <v>270717</v>
      </c>
      <c r="I806" s="49" t="n">
        <v>289581</v>
      </c>
      <c r="J806" s="49" t="n">
        <v>53582</v>
      </c>
      <c r="K806" s="49" t="n">
        <v>55344</v>
      </c>
      <c r="L806" s="50" t="n">
        <v>19.6</v>
      </c>
      <c r="M806" s="51" t="n">
        <f aca="false">G806-F806</f>
        <v>27528</v>
      </c>
      <c r="N806" s="52" t="n">
        <f aca="false">IF(F806=0,0,M806/F806)</f>
        <v>0.0685868048634642</v>
      </c>
      <c r="O806" s="51" t="n">
        <f aca="false">G806-I806</f>
        <v>139307</v>
      </c>
      <c r="P806" s="51" t="n">
        <f aca="false">F806-H806</f>
        <v>130643</v>
      </c>
      <c r="Q806" s="51" t="n">
        <f aca="false">F806-H806-J806</f>
        <v>77061</v>
      </c>
      <c r="R806" s="51" t="n">
        <f aca="false">G806-I806-K806</f>
        <v>83963</v>
      </c>
      <c r="S806" s="51" t="n">
        <f aca="false">R806-Q806</f>
        <v>6902</v>
      </c>
      <c r="T806" s="52" t="n">
        <f aca="false">IF(Q806=0,0,S806/Q806)</f>
        <v>0.0895654092212663</v>
      </c>
      <c r="U806" s="51" t="str">
        <f aca="false">IF(AND(Q806&gt;0,T806&lt;-0.15),"ADVERSE","")</f>
        <v/>
      </c>
    </row>
    <row r="807" customFormat="false" ht="15" hidden="false" customHeight="false" outlineLevel="0" collapsed="false">
      <c r="A807" s="47" t="s">
        <v>134</v>
      </c>
      <c r="B807" s="47" t="s">
        <v>138</v>
      </c>
      <c r="C807" s="48" t="n">
        <v>45292</v>
      </c>
      <c r="D807" s="47" t="s">
        <v>36</v>
      </c>
      <c r="E807" s="47" t="s">
        <v>44</v>
      </c>
      <c r="F807" s="49" t="n">
        <v>389452</v>
      </c>
      <c r="G807" s="49" t="n">
        <v>374108</v>
      </c>
      <c r="H807" s="49" t="n">
        <v>262685</v>
      </c>
      <c r="I807" s="49" t="n">
        <v>252612</v>
      </c>
      <c r="J807" s="49" t="n">
        <v>51992</v>
      </c>
      <c r="K807" s="49" t="n">
        <v>47964</v>
      </c>
      <c r="L807" s="50" t="n">
        <v>19.6</v>
      </c>
      <c r="M807" s="51" t="n">
        <f aca="false">G807-F807</f>
        <v>-15344</v>
      </c>
      <c r="N807" s="52" t="n">
        <f aca="false">IF(F807=0,0,M807/F807)</f>
        <v>-0.0393989503199367</v>
      </c>
      <c r="O807" s="51" t="n">
        <f aca="false">G807-I807</f>
        <v>121496</v>
      </c>
      <c r="P807" s="51" t="n">
        <f aca="false">F807-H807</f>
        <v>126767</v>
      </c>
      <c r="Q807" s="51" t="n">
        <f aca="false">F807-H807-J807</f>
        <v>74775</v>
      </c>
      <c r="R807" s="51" t="n">
        <f aca="false">G807-I807-K807</f>
        <v>73532</v>
      </c>
      <c r="S807" s="51" t="n">
        <f aca="false">R807-Q807</f>
        <v>-1243</v>
      </c>
      <c r="T807" s="52" t="n">
        <f aca="false">IF(Q807=0,0,S807/Q807)</f>
        <v>-0.0166232029421598</v>
      </c>
      <c r="U807" s="51" t="str">
        <f aca="false">IF(AND(Q807&gt;0,T807&lt;-0.15),"ADVERSE","")</f>
        <v/>
      </c>
    </row>
    <row r="808" customFormat="false" ht="15" hidden="false" customHeight="false" outlineLevel="0" collapsed="false">
      <c r="A808" s="47" t="s">
        <v>134</v>
      </c>
      <c r="B808" s="47" t="s">
        <v>138</v>
      </c>
      <c r="C808" s="48" t="n">
        <v>45323</v>
      </c>
      <c r="D808" s="47" t="s">
        <v>36</v>
      </c>
      <c r="E808" s="47" t="s">
        <v>44</v>
      </c>
      <c r="F808" s="49" t="n">
        <v>390163</v>
      </c>
      <c r="G808" s="49" t="n">
        <v>388745</v>
      </c>
      <c r="H808" s="49" t="n">
        <v>263165</v>
      </c>
      <c r="I808" s="49" t="n">
        <v>260116</v>
      </c>
      <c r="J808" s="49" t="n">
        <v>52087</v>
      </c>
      <c r="K808" s="49" t="n">
        <v>55033</v>
      </c>
      <c r="L808" s="50" t="n">
        <v>19.7</v>
      </c>
      <c r="M808" s="51" t="n">
        <f aca="false">G808-F808</f>
        <v>-1418</v>
      </c>
      <c r="N808" s="52" t="n">
        <f aca="false">IF(F808=0,0,M808/F808)</f>
        <v>-0.00363437845208285</v>
      </c>
      <c r="O808" s="51" t="n">
        <f aca="false">G808-I808</f>
        <v>128629</v>
      </c>
      <c r="P808" s="51" t="n">
        <f aca="false">F808-H808</f>
        <v>126998</v>
      </c>
      <c r="Q808" s="51" t="n">
        <f aca="false">F808-H808-J808</f>
        <v>74911</v>
      </c>
      <c r="R808" s="51" t="n">
        <f aca="false">G808-I808-K808</f>
        <v>73596</v>
      </c>
      <c r="S808" s="51" t="n">
        <f aca="false">R808-Q808</f>
        <v>-1315</v>
      </c>
      <c r="T808" s="52" t="n">
        <f aca="false">IF(Q808=0,0,S808/Q808)</f>
        <v>-0.0175541642749396</v>
      </c>
      <c r="U808" s="51" t="str">
        <f aca="false">IF(AND(Q808&gt;0,T808&lt;-0.15),"ADVERSE","")</f>
        <v/>
      </c>
    </row>
    <row r="809" customFormat="false" ht="15" hidden="false" customHeight="false" outlineLevel="0" collapsed="false">
      <c r="A809" s="47" t="s">
        <v>134</v>
      </c>
      <c r="B809" s="47" t="s">
        <v>138</v>
      </c>
      <c r="C809" s="48" t="n">
        <v>45352</v>
      </c>
      <c r="D809" s="47" t="s">
        <v>36</v>
      </c>
      <c r="E809" s="47" t="s">
        <v>44</v>
      </c>
      <c r="F809" s="49" t="n">
        <v>421413</v>
      </c>
      <c r="G809" s="49" t="n">
        <v>442780</v>
      </c>
      <c r="H809" s="49" t="n">
        <v>284243</v>
      </c>
      <c r="I809" s="49" t="n">
        <v>296992</v>
      </c>
      <c r="J809" s="49" t="n">
        <v>56259</v>
      </c>
      <c r="K809" s="49" t="n">
        <v>61370</v>
      </c>
      <c r="L809" s="50" t="n">
        <v>19.5</v>
      </c>
      <c r="M809" s="51" t="n">
        <f aca="false">G809-F809</f>
        <v>21367</v>
      </c>
      <c r="N809" s="52" t="n">
        <f aca="false">IF(F809=0,0,M809/F809)</f>
        <v>0.0507032293735599</v>
      </c>
      <c r="O809" s="51" t="n">
        <f aca="false">G809-I809</f>
        <v>145788</v>
      </c>
      <c r="P809" s="51" t="n">
        <f aca="false">F809-H809</f>
        <v>137170</v>
      </c>
      <c r="Q809" s="51" t="n">
        <f aca="false">F809-H809-J809</f>
        <v>80911</v>
      </c>
      <c r="R809" s="51" t="n">
        <f aca="false">G809-I809-K809</f>
        <v>84418</v>
      </c>
      <c r="S809" s="51" t="n">
        <f aca="false">R809-Q809</f>
        <v>3507</v>
      </c>
      <c r="T809" s="52" t="n">
        <f aca="false">IF(Q809=0,0,S809/Q809)</f>
        <v>0.0433439210984909</v>
      </c>
      <c r="U809" s="51" t="str">
        <f aca="false">IF(AND(Q809&gt;0,T809&lt;-0.15),"ADVERSE","")</f>
        <v/>
      </c>
    </row>
    <row r="810" customFormat="false" ht="15" hidden="false" customHeight="false" outlineLevel="0" collapsed="false">
      <c r="A810" s="47" t="s">
        <v>139</v>
      </c>
      <c r="B810" s="47" t="s">
        <v>135</v>
      </c>
      <c r="C810" s="48" t="n">
        <v>45383</v>
      </c>
      <c r="D810" s="47" t="s">
        <v>36</v>
      </c>
      <c r="E810" s="47" t="s">
        <v>44</v>
      </c>
      <c r="F810" s="49" t="n">
        <v>420564</v>
      </c>
      <c r="G810" s="49" t="n">
        <v>422067</v>
      </c>
      <c r="H810" s="49" t="n">
        <v>283670</v>
      </c>
      <c r="I810" s="49" t="n">
        <v>288059</v>
      </c>
      <c r="J810" s="49" t="n">
        <v>56145</v>
      </c>
      <c r="K810" s="49" t="n">
        <v>59457</v>
      </c>
      <c r="L810" s="50" t="n">
        <v>20.1</v>
      </c>
      <c r="M810" s="51" t="n">
        <f aca="false">G810-F810</f>
        <v>1503</v>
      </c>
      <c r="N810" s="52" t="n">
        <f aca="false">IF(F810=0,0,M810/F810)</f>
        <v>0.00357377236282706</v>
      </c>
      <c r="O810" s="51" t="n">
        <f aca="false">G810-I810</f>
        <v>134008</v>
      </c>
      <c r="P810" s="51" t="n">
        <f aca="false">F810-H810</f>
        <v>136894</v>
      </c>
      <c r="Q810" s="51" t="n">
        <f aca="false">F810-H810-J810</f>
        <v>80749</v>
      </c>
      <c r="R810" s="51" t="n">
        <f aca="false">G810-I810-K810</f>
        <v>74551</v>
      </c>
      <c r="S810" s="51" t="n">
        <f aca="false">R810-Q810</f>
        <v>-6198</v>
      </c>
      <c r="T810" s="52" t="n">
        <f aca="false">IF(Q810=0,0,S810/Q810)</f>
        <v>-0.0767563684999195</v>
      </c>
      <c r="U810" s="51" t="str">
        <f aca="false">IF(AND(Q810&gt;0,T810&lt;-0.15),"ADVERSE","")</f>
        <v/>
      </c>
    </row>
    <row r="811" customFormat="false" ht="15" hidden="false" customHeight="false" outlineLevel="0" collapsed="false">
      <c r="A811" s="47" t="s">
        <v>139</v>
      </c>
      <c r="B811" s="47" t="s">
        <v>135</v>
      </c>
      <c r="C811" s="48" t="n">
        <v>45413</v>
      </c>
      <c r="D811" s="47" t="s">
        <v>36</v>
      </c>
      <c r="E811" s="47" t="s">
        <v>44</v>
      </c>
      <c r="F811" s="49" t="n">
        <v>418370</v>
      </c>
      <c r="G811" s="49" t="n">
        <v>417855</v>
      </c>
      <c r="H811" s="49" t="n">
        <v>282191</v>
      </c>
      <c r="I811" s="49" t="n">
        <v>283006</v>
      </c>
      <c r="J811" s="49" t="n">
        <v>55852</v>
      </c>
      <c r="K811" s="49" t="n">
        <v>56810</v>
      </c>
      <c r="L811" s="50" t="n">
        <v>19.7</v>
      </c>
      <c r="M811" s="51" t="n">
        <f aca="false">G811-F811</f>
        <v>-515</v>
      </c>
      <c r="N811" s="52" t="n">
        <f aca="false">IF(F811=0,0,M811/F811)</f>
        <v>-0.00123096780361881</v>
      </c>
      <c r="O811" s="51" t="n">
        <f aca="false">G811-I811</f>
        <v>134849</v>
      </c>
      <c r="P811" s="51" t="n">
        <f aca="false">F811-H811</f>
        <v>136179</v>
      </c>
      <c r="Q811" s="51" t="n">
        <f aca="false">F811-H811-J811</f>
        <v>80327</v>
      </c>
      <c r="R811" s="51" t="n">
        <f aca="false">G811-I811-K811</f>
        <v>78039</v>
      </c>
      <c r="S811" s="51" t="n">
        <f aca="false">R811-Q811</f>
        <v>-2288</v>
      </c>
      <c r="T811" s="52" t="n">
        <f aca="false">IF(Q811=0,0,S811/Q811)</f>
        <v>-0.028483573393753</v>
      </c>
      <c r="U811" s="51" t="str">
        <f aca="false">IF(AND(Q811&gt;0,T811&lt;-0.15),"ADVERSE","")</f>
        <v/>
      </c>
    </row>
    <row r="812" customFormat="false" ht="15" hidden="false" customHeight="false" outlineLevel="0" collapsed="false">
      <c r="A812" s="47" t="s">
        <v>139</v>
      </c>
      <c r="B812" s="47" t="s">
        <v>135</v>
      </c>
      <c r="C812" s="48" t="n">
        <v>45444</v>
      </c>
      <c r="D812" s="47" t="s">
        <v>36</v>
      </c>
      <c r="E812" s="47" t="s">
        <v>44</v>
      </c>
      <c r="F812" s="49" t="n">
        <v>423971</v>
      </c>
      <c r="G812" s="49" t="n">
        <v>401220</v>
      </c>
      <c r="H812" s="49" t="n">
        <v>285969</v>
      </c>
      <c r="I812" s="49" t="n">
        <v>273510</v>
      </c>
      <c r="J812" s="49" t="n">
        <v>56600</v>
      </c>
      <c r="K812" s="49" t="n">
        <v>57127</v>
      </c>
      <c r="L812" s="50" t="n">
        <v>19.4</v>
      </c>
      <c r="M812" s="51" t="n">
        <f aca="false">G812-F812</f>
        <v>-22751</v>
      </c>
      <c r="N812" s="52" t="n">
        <f aca="false">IF(F812=0,0,M812/F812)</f>
        <v>-0.0536616891249637</v>
      </c>
      <c r="O812" s="51" t="n">
        <f aca="false">G812-I812</f>
        <v>127710</v>
      </c>
      <c r="P812" s="51" t="n">
        <f aca="false">F812-H812</f>
        <v>138002</v>
      </c>
      <c r="Q812" s="51" t="n">
        <f aca="false">F812-H812-J812</f>
        <v>81402</v>
      </c>
      <c r="R812" s="51" t="n">
        <f aca="false">G812-I812-K812</f>
        <v>70583</v>
      </c>
      <c r="S812" s="51" t="n">
        <f aca="false">R812-Q812</f>
        <v>-10819</v>
      </c>
      <c r="T812" s="52" t="n">
        <f aca="false">IF(Q812=0,0,S812/Q812)</f>
        <v>-0.132908282351785</v>
      </c>
      <c r="U812" s="51" t="str">
        <f aca="false">IF(AND(Q812&gt;0,T812&lt;-0.15),"ADVERSE","")</f>
        <v/>
      </c>
    </row>
    <row r="813" customFormat="false" ht="15" hidden="false" customHeight="false" outlineLevel="0" collapsed="false">
      <c r="A813" s="47" t="s">
        <v>139</v>
      </c>
      <c r="B813" s="47" t="s">
        <v>136</v>
      </c>
      <c r="C813" s="48" t="n">
        <v>45474</v>
      </c>
      <c r="D813" s="47" t="s">
        <v>36</v>
      </c>
      <c r="E813" s="47" t="s">
        <v>44</v>
      </c>
      <c r="F813" s="49" t="n">
        <v>430826</v>
      </c>
      <c r="G813" s="49" t="n">
        <v>423636</v>
      </c>
      <c r="H813" s="49" t="n">
        <v>290592</v>
      </c>
      <c r="I813" s="49" t="n">
        <v>292866</v>
      </c>
      <c r="J813" s="49" t="n">
        <v>57515</v>
      </c>
      <c r="K813" s="49" t="n">
        <v>57060</v>
      </c>
      <c r="L813" s="50" t="n">
        <v>19.4</v>
      </c>
      <c r="M813" s="51" t="n">
        <f aca="false">G813-F813</f>
        <v>-7190</v>
      </c>
      <c r="N813" s="52" t="n">
        <f aca="false">IF(F813=0,0,M813/F813)</f>
        <v>-0.0166888720736446</v>
      </c>
      <c r="O813" s="51" t="n">
        <f aca="false">G813-I813</f>
        <v>130770</v>
      </c>
      <c r="P813" s="51" t="n">
        <f aca="false">F813-H813</f>
        <v>140234</v>
      </c>
      <c r="Q813" s="51" t="n">
        <f aca="false">F813-H813-J813</f>
        <v>82719</v>
      </c>
      <c r="R813" s="51" t="n">
        <f aca="false">G813-I813-K813</f>
        <v>73710</v>
      </c>
      <c r="S813" s="51" t="n">
        <f aca="false">R813-Q813</f>
        <v>-9009</v>
      </c>
      <c r="T813" s="52" t="n">
        <f aca="false">IF(Q813=0,0,S813/Q813)</f>
        <v>-0.108910891089109</v>
      </c>
      <c r="U813" s="51" t="str">
        <f aca="false">IF(AND(Q813&gt;0,T813&lt;-0.15),"ADVERSE","")</f>
        <v/>
      </c>
    </row>
    <row r="814" customFormat="false" ht="15" hidden="false" customHeight="false" outlineLevel="0" collapsed="false">
      <c r="A814" s="47" t="s">
        <v>139</v>
      </c>
      <c r="B814" s="47" t="s">
        <v>136</v>
      </c>
      <c r="C814" s="48" t="n">
        <v>45505</v>
      </c>
      <c r="D814" s="47" t="s">
        <v>36</v>
      </c>
      <c r="E814" s="47" t="s">
        <v>44</v>
      </c>
      <c r="F814" s="49" t="n">
        <v>423630</v>
      </c>
      <c r="G814" s="49" t="n">
        <v>408198</v>
      </c>
      <c r="H814" s="49" t="n">
        <v>285739</v>
      </c>
      <c r="I814" s="49" t="n">
        <v>281968</v>
      </c>
      <c r="J814" s="49" t="n">
        <v>56555</v>
      </c>
      <c r="K814" s="49" t="n">
        <v>57686</v>
      </c>
      <c r="L814" s="50" t="n">
        <v>19.2</v>
      </c>
      <c r="M814" s="51" t="n">
        <f aca="false">G814-F814</f>
        <v>-15432</v>
      </c>
      <c r="N814" s="52" t="n">
        <f aca="false">IF(F814=0,0,M814/F814)</f>
        <v>-0.0364280150131011</v>
      </c>
      <c r="O814" s="51" t="n">
        <f aca="false">G814-I814</f>
        <v>126230</v>
      </c>
      <c r="P814" s="51" t="n">
        <f aca="false">F814-H814</f>
        <v>137891</v>
      </c>
      <c r="Q814" s="51" t="n">
        <f aca="false">F814-H814-J814</f>
        <v>81336</v>
      </c>
      <c r="R814" s="51" t="n">
        <f aca="false">G814-I814-K814</f>
        <v>68544</v>
      </c>
      <c r="S814" s="51" t="n">
        <f aca="false">R814-Q814</f>
        <v>-12792</v>
      </c>
      <c r="T814" s="52" t="n">
        <f aca="false">IF(Q814=0,0,S814/Q814)</f>
        <v>-0.157273532015344</v>
      </c>
      <c r="U814" s="51" t="str">
        <f aca="false">IF(AND(Q814&gt;0,T814&lt;-0.15),"ADVERSE","")</f>
        <v>ADVERSE</v>
      </c>
    </row>
    <row r="815" customFormat="false" ht="15" hidden="false" customHeight="false" outlineLevel="0" collapsed="false">
      <c r="A815" s="47" t="s">
        <v>139</v>
      </c>
      <c r="B815" s="47" t="s">
        <v>136</v>
      </c>
      <c r="C815" s="48" t="n">
        <v>45536</v>
      </c>
      <c r="D815" s="47" t="s">
        <v>36</v>
      </c>
      <c r="E815" s="47" t="s">
        <v>44</v>
      </c>
      <c r="F815" s="49" t="n">
        <v>430513</v>
      </c>
      <c r="G815" s="49" t="n">
        <v>440004</v>
      </c>
      <c r="H815" s="49" t="n">
        <v>290381</v>
      </c>
      <c r="I815" s="49" t="n">
        <v>301892</v>
      </c>
      <c r="J815" s="49" t="n">
        <v>57473</v>
      </c>
      <c r="K815" s="49" t="n">
        <v>61280</v>
      </c>
      <c r="L815" s="50" t="n">
        <v>20.3</v>
      </c>
      <c r="M815" s="51" t="n">
        <f aca="false">G815-F815</f>
        <v>9491</v>
      </c>
      <c r="N815" s="52" t="n">
        <f aca="false">IF(F815=0,0,M815/F815)</f>
        <v>0.0220457918808491</v>
      </c>
      <c r="O815" s="51" t="n">
        <f aca="false">G815-I815</f>
        <v>138112</v>
      </c>
      <c r="P815" s="51" t="n">
        <f aca="false">F815-H815</f>
        <v>140132</v>
      </c>
      <c r="Q815" s="51" t="n">
        <f aca="false">F815-H815-J815</f>
        <v>82659</v>
      </c>
      <c r="R815" s="51" t="n">
        <f aca="false">G815-I815-K815</f>
        <v>76832</v>
      </c>
      <c r="S815" s="51" t="n">
        <f aca="false">R815-Q815</f>
        <v>-5827</v>
      </c>
      <c r="T815" s="52" t="n">
        <f aca="false">IF(Q815=0,0,S815/Q815)</f>
        <v>-0.0704944410167072</v>
      </c>
      <c r="U815" s="51" t="str">
        <f aca="false">IF(AND(Q815&gt;0,T815&lt;-0.15),"ADVERSE","")</f>
        <v/>
      </c>
    </row>
    <row r="816" customFormat="false" ht="15" hidden="false" customHeight="false" outlineLevel="0" collapsed="false">
      <c r="A816" s="47" t="s">
        <v>139</v>
      </c>
      <c r="B816" s="47" t="s">
        <v>137</v>
      </c>
      <c r="C816" s="48" t="n">
        <v>45566</v>
      </c>
      <c r="D816" s="47" t="s">
        <v>36</v>
      </c>
      <c r="E816" s="47" t="s">
        <v>44</v>
      </c>
      <c r="F816" s="49" t="n">
        <v>434680</v>
      </c>
      <c r="G816" s="49" t="n">
        <v>425847</v>
      </c>
      <c r="H816" s="49" t="n">
        <v>293192</v>
      </c>
      <c r="I816" s="49" t="n">
        <v>295387</v>
      </c>
      <c r="J816" s="49" t="n">
        <v>58030</v>
      </c>
      <c r="K816" s="49" t="n">
        <v>56871</v>
      </c>
      <c r="L816" s="50" t="n">
        <v>19.9</v>
      </c>
      <c r="M816" s="51" t="n">
        <f aca="false">G816-F816</f>
        <v>-8833</v>
      </c>
      <c r="N816" s="52" t="n">
        <f aca="false">IF(F816=0,0,M816/F816)</f>
        <v>-0.0203206956841815</v>
      </c>
      <c r="O816" s="51" t="n">
        <f aca="false">G816-I816</f>
        <v>130460</v>
      </c>
      <c r="P816" s="51" t="n">
        <f aca="false">F816-H816</f>
        <v>141488</v>
      </c>
      <c r="Q816" s="51" t="n">
        <f aca="false">F816-H816-J816</f>
        <v>83458</v>
      </c>
      <c r="R816" s="51" t="n">
        <f aca="false">G816-I816-K816</f>
        <v>73589</v>
      </c>
      <c r="S816" s="51" t="n">
        <f aca="false">R816-Q816</f>
        <v>-9869</v>
      </c>
      <c r="T816" s="52" t="n">
        <f aca="false">IF(Q816=0,0,S816/Q816)</f>
        <v>-0.118251096359846</v>
      </c>
      <c r="U816" s="51" t="str">
        <f aca="false">IF(AND(Q816&gt;0,T816&lt;-0.15),"ADVERSE","")</f>
        <v/>
      </c>
    </row>
    <row r="817" customFormat="false" ht="15" hidden="false" customHeight="false" outlineLevel="0" collapsed="false">
      <c r="A817" s="47" t="s">
        <v>139</v>
      </c>
      <c r="B817" s="47" t="s">
        <v>137</v>
      </c>
      <c r="C817" s="48" t="n">
        <v>45597</v>
      </c>
      <c r="D817" s="47" t="s">
        <v>36</v>
      </c>
      <c r="E817" s="47" t="s">
        <v>44</v>
      </c>
      <c r="F817" s="49" t="n">
        <v>429944</v>
      </c>
      <c r="G817" s="49" t="n">
        <v>418520</v>
      </c>
      <c r="H817" s="49" t="n">
        <v>289997</v>
      </c>
      <c r="I817" s="49" t="n">
        <v>285914</v>
      </c>
      <c r="J817" s="49" t="n">
        <v>57398</v>
      </c>
      <c r="K817" s="49" t="n">
        <v>57843</v>
      </c>
      <c r="L817" s="50" t="n">
        <v>19.5</v>
      </c>
      <c r="M817" s="51" t="n">
        <f aca="false">G817-F817</f>
        <v>-11424</v>
      </c>
      <c r="N817" s="52" t="n">
        <f aca="false">IF(F817=0,0,M817/F817)</f>
        <v>-0.0265709022570381</v>
      </c>
      <c r="O817" s="51" t="n">
        <f aca="false">G817-I817</f>
        <v>132606</v>
      </c>
      <c r="P817" s="51" t="n">
        <f aca="false">F817-H817</f>
        <v>139947</v>
      </c>
      <c r="Q817" s="51" t="n">
        <f aca="false">F817-H817-J817</f>
        <v>82549</v>
      </c>
      <c r="R817" s="51" t="n">
        <f aca="false">G817-I817-K817</f>
        <v>74763</v>
      </c>
      <c r="S817" s="51" t="n">
        <f aca="false">R817-Q817</f>
        <v>-7786</v>
      </c>
      <c r="T817" s="52" t="n">
        <f aca="false">IF(Q817=0,0,S817/Q817)</f>
        <v>-0.0943197373681086</v>
      </c>
      <c r="U817" s="51" t="str">
        <f aca="false">IF(AND(Q817&gt;0,T817&lt;-0.15),"ADVERSE","")</f>
        <v/>
      </c>
    </row>
    <row r="818" customFormat="false" ht="15" hidden="false" customHeight="false" outlineLevel="0" collapsed="false">
      <c r="A818" s="47" t="s">
        <v>139</v>
      </c>
      <c r="B818" s="47" t="s">
        <v>137</v>
      </c>
      <c r="C818" s="48" t="n">
        <v>45627</v>
      </c>
      <c r="D818" s="47" t="s">
        <v>36</v>
      </c>
      <c r="E818" s="47" t="s">
        <v>44</v>
      </c>
      <c r="F818" s="49" t="n">
        <v>420733</v>
      </c>
      <c r="G818" s="49" t="n">
        <v>439681</v>
      </c>
      <c r="H818" s="49" t="n">
        <v>283784</v>
      </c>
      <c r="I818" s="49" t="n">
        <v>298895</v>
      </c>
      <c r="J818" s="49" t="n">
        <v>56168</v>
      </c>
      <c r="K818" s="49" t="n">
        <v>60056</v>
      </c>
      <c r="L818" s="50" t="n">
        <v>19.9</v>
      </c>
      <c r="M818" s="51" t="n">
        <f aca="false">G818-F818</f>
        <v>18948</v>
      </c>
      <c r="N818" s="52" t="n">
        <f aca="false">IF(F818=0,0,M818/F818)</f>
        <v>0.0450356877164377</v>
      </c>
      <c r="O818" s="51" t="n">
        <f aca="false">G818-I818</f>
        <v>140786</v>
      </c>
      <c r="P818" s="51" t="n">
        <f aca="false">F818-H818</f>
        <v>136949</v>
      </c>
      <c r="Q818" s="51" t="n">
        <f aca="false">F818-H818-J818</f>
        <v>80781</v>
      </c>
      <c r="R818" s="51" t="n">
        <f aca="false">G818-I818-K818</f>
        <v>80730</v>
      </c>
      <c r="S818" s="51" t="n">
        <f aca="false">R818-Q818</f>
        <v>-51</v>
      </c>
      <c r="T818" s="52" t="n">
        <f aca="false">IF(Q818=0,0,S818/Q818)</f>
        <v>-0.000631336576670257</v>
      </c>
      <c r="U818" s="51" t="str">
        <f aca="false">IF(AND(Q818&gt;0,T818&lt;-0.15),"ADVERSE","")</f>
        <v/>
      </c>
    </row>
    <row r="819" customFormat="false" ht="15" hidden="false" customHeight="false" outlineLevel="0" collapsed="false">
      <c r="A819" s="47" t="s">
        <v>139</v>
      </c>
      <c r="B819" s="47" t="s">
        <v>138</v>
      </c>
      <c r="C819" s="48" t="n">
        <v>45658</v>
      </c>
      <c r="D819" s="47" t="s">
        <v>36</v>
      </c>
      <c r="E819" s="47" t="s">
        <v>44</v>
      </c>
      <c r="F819" s="49" t="n">
        <v>418692</v>
      </c>
      <c r="G819" s="49" t="n">
        <v>415219</v>
      </c>
      <c r="H819" s="49" t="n">
        <v>282408</v>
      </c>
      <c r="I819" s="49" t="n">
        <v>290675</v>
      </c>
      <c r="J819" s="49" t="n">
        <v>55895</v>
      </c>
      <c r="K819" s="49" t="n">
        <v>54851</v>
      </c>
      <c r="L819" s="50" t="n">
        <v>20</v>
      </c>
      <c r="M819" s="51" t="n">
        <f aca="false">G819-F819</f>
        <v>-3473</v>
      </c>
      <c r="N819" s="52" t="n">
        <f aca="false">IF(F819=0,0,M819/F819)</f>
        <v>-0.00829488024609976</v>
      </c>
      <c r="O819" s="51" t="n">
        <f aca="false">G819-I819</f>
        <v>124544</v>
      </c>
      <c r="P819" s="51" t="n">
        <f aca="false">F819-H819</f>
        <v>136284</v>
      </c>
      <c r="Q819" s="51" t="n">
        <f aca="false">F819-H819-J819</f>
        <v>80389</v>
      </c>
      <c r="R819" s="51" t="n">
        <f aca="false">G819-I819-K819</f>
        <v>69693</v>
      </c>
      <c r="S819" s="51" t="n">
        <f aca="false">R819-Q819</f>
        <v>-10696</v>
      </c>
      <c r="T819" s="52" t="n">
        <f aca="false">IF(Q819=0,0,S819/Q819)</f>
        <v>-0.133053029643359</v>
      </c>
      <c r="U819" s="51" t="str">
        <f aca="false">IF(AND(Q819&gt;0,T819&lt;-0.15),"ADVERSE","")</f>
        <v/>
      </c>
    </row>
    <row r="820" customFormat="false" ht="15" hidden="false" customHeight="false" outlineLevel="0" collapsed="false">
      <c r="A820" s="47" t="s">
        <v>139</v>
      </c>
      <c r="B820" s="47" t="s">
        <v>138</v>
      </c>
      <c r="C820" s="48" t="n">
        <v>45689</v>
      </c>
      <c r="D820" s="47" t="s">
        <v>36</v>
      </c>
      <c r="E820" s="47" t="s">
        <v>44</v>
      </c>
      <c r="F820" s="49" t="n">
        <v>428657</v>
      </c>
      <c r="G820" s="49" t="n">
        <v>399154</v>
      </c>
      <c r="H820" s="49" t="n">
        <v>289129</v>
      </c>
      <c r="I820" s="49" t="n">
        <v>273576</v>
      </c>
      <c r="J820" s="49" t="n">
        <v>57226</v>
      </c>
      <c r="K820" s="49" t="n">
        <v>53159</v>
      </c>
      <c r="L820" s="50" t="n">
        <v>19.9</v>
      </c>
      <c r="M820" s="51" t="n">
        <f aca="false">G820-F820</f>
        <v>-29503</v>
      </c>
      <c r="N820" s="52" t="n">
        <f aca="false">IF(F820=0,0,M820/F820)</f>
        <v>-0.0688265909573389</v>
      </c>
      <c r="O820" s="51" t="n">
        <f aca="false">G820-I820</f>
        <v>125578</v>
      </c>
      <c r="P820" s="51" t="n">
        <f aca="false">F820-H820</f>
        <v>139528</v>
      </c>
      <c r="Q820" s="51" t="n">
        <f aca="false">F820-H820-J820</f>
        <v>82302</v>
      </c>
      <c r="R820" s="51" t="n">
        <f aca="false">G820-I820-K820</f>
        <v>72419</v>
      </c>
      <c r="S820" s="51" t="n">
        <f aca="false">R820-Q820</f>
        <v>-9883</v>
      </c>
      <c r="T820" s="52" t="n">
        <f aca="false">IF(Q820=0,0,S820/Q820)</f>
        <v>-0.120082136521591</v>
      </c>
      <c r="U820" s="51" t="str">
        <f aca="false">IF(AND(Q820&gt;0,T820&lt;-0.15),"ADVERSE","")</f>
        <v/>
      </c>
    </row>
    <row r="821" customFormat="false" ht="15" hidden="false" customHeight="false" outlineLevel="0" collapsed="false">
      <c r="A821" s="47" t="s">
        <v>139</v>
      </c>
      <c r="B821" s="47" t="s">
        <v>138</v>
      </c>
      <c r="C821" s="48" t="n">
        <v>45717</v>
      </c>
      <c r="D821" s="47" t="s">
        <v>36</v>
      </c>
      <c r="E821" s="47" t="s">
        <v>44</v>
      </c>
      <c r="F821" s="49" t="n">
        <v>458059</v>
      </c>
      <c r="G821" s="49" t="n">
        <v>428636</v>
      </c>
      <c r="H821" s="49" t="n">
        <v>308961</v>
      </c>
      <c r="I821" s="49" t="n">
        <v>288962</v>
      </c>
      <c r="J821" s="49" t="n">
        <v>61151</v>
      </c>
      <c r="K821" s="49" t="n">
        <v>57081</v>
      </c>
      <c r="L821" s="50" t="n">
        <v>19.9</v>
      </c>
      <c r="M821" s="51" t="n">
        <f aca="false">G821-F821</f>
        <v>-29423</v>
      </c>
      <c r="N821" s="52" t="n">
        <f aca="false">IF(F821=0,0,M821/F821)</f>
        <v>-0.0642340833822717</v>
      </c>
      <c r="O821" s="51" t="n">
        <f aca="false">G821-I821</f>
        <v>139674</v>
      </c>
      <c r="P821" s="51" t="n">
        <f aca="false">F821-H821</f>
        <v>149098</v>
      </c>
      <c r="Q821" s="51" t="n">
        <f aca="false">F821-H821-J821</f>
        <v>87947</v>
      </c>
      <c r="R821" s="51" t="n">
        <f aca="false">G821-I821-K821</f>
        <v>82593</v>
      </c>
      <c r="S821" s="51" t="n">
        <f aca="false">R821-Q821</f>
        <v>-5354</v>
      </c>
      <c r="T821" s="52" t="n">
        <f aca="false">IF(Q821=0,0,S821/Q821)</f>
        <v>-0.0608775739934279</v>
      </c>
      <c r="U821" s="51" t="str">
        <f aca="false">IF(AND(Q821&gt;0,T821&lt;-0.15),"ADVERSE","")</f>
        <v/>
      </c>
    </row>
    <row r="822" customFormat="false" ht="15" hidden="false" customHeight="false" outlineLevel="0" collapsed="false">
      <c r="A822" s="47" t="s">
        <v>3</v>
      </c>
      <c r="B822" s="47" t="s">
        <v>135</v>
      </c>
      <c r="C822" s="48" t="n">
        <v>45748</v>
      </c>
      <c r="D822" s="47" t="s">
        <v>36</v>
      </c>
      <c r="E822" s="47" t="s">
        <v>44</v>
      </c>
      <c r="F822" s="49" t="n">
        <v>441679</v>
      </c>
      <c r="G822" s="49" t="n">
        <v>427977</v>
      </c>
      <c r="H822" s="49" t="n">
        <v>297913</v>
      </c>
      <c r="I822" s="49" t="n">
        <v>293856</v>
      </c>
      <c r="J822" s="49" t="n">
        <v>58964</v>
      </c>
      <c r="K822" s="49" t="n">
        <v>57666</v>
      </c>
      <c r="L822" s="50" t="n">
        <v>19.7</v>
      </c>
      <c r="M822" s="51" t="n">
        <f aca="false">G822-F822</f>
        <v>-13702</v>
      </c>
      <c r="N822" s="52" t="n">
        <f aca="false">IF(F822=0,0,M822/F822)</f>
        <v>-0.0310225299368999</v>
      </c>
      <c r="O822" s="51" t="n">
        <f aca="false">G822-I822</f>
        <v>134121</v>
      </c>
      <c r="P822" s="51" t="n">
        <f aca="false">F822-H822</f>
        <v>143766</v>
      </c>
      <c r="Q822" s="51" t="n">
        <f aca="false">F822-H822-J822</f>
        <v>84802</v>
      </c>
      <c r="R822" s="51" t="n">
        <f aca="false">G822-I822-K822</f>
        <v>76455</v>
      </c>
      <c r="S822" s="51" t="n">
        <f aca="false">R822-Q822</f>
        <v>-8347</v>
      </c>
      <c r="T822" s="52" t="n">
        <f aca="false">IF(Q822=0,0,S822/Q822)</f>
        <v>-0.098429282328247</v>
      </c>
      <c r="U822" s="51" t="str">
        <f aca="false">IF(AND(Q822&gt;0,T822&lt;-0.15),"ADVERSE","")</f>
        <v/>
      </c>
    </row>
    <row r="823" customFormat="false" ht="15" hidden="false" customHeight="false" outlineLevel="0" collapsed="false">
      <c r="A823" s="47" t="s">
        <v>3</v>
      </c>
      <c r="B823" s="47" t="s">
        <v>135</v>
      </c>
      <c r="C823" s="48" t="n">
        <v>45778</v>
      </c>
      <c r="D823" s="47" t="s">
        <v>36</v>
      </c>
      <c r="E823" s="47" t="s">
        <v>44</v>
      </c>
      <c r="F823" s="49" t="n">
        <v>448237</v>
      </c>
      <c r="G823" s="49" t="n">
        <v>401532</v>
      </c>
      <c r="H823" s="49" t="n">
        <v>302336</v>
      </c>
      <c r="I823" s="49" t="n">
        <v>279096</v>
      </c>
      <c r="J823" s="49" t="n">
        <v>59840</v>
      </c>
      <c r="K823" s="49" t="n">
        <v>61213</v>
      </c>
      <c r="L823" s="50" t="n">
        <v>19.8</v>
      </c>
      <c r="M823" s="51" t="n">
        <f aca="false">G823-F823</f>
        <v>-46705</v>
      </c>
      <c r="N823" s="52" t="n">
        <f aca="false">IF(F823=0,0,M823/F823)</f>
        <v>-0.104197110010999</v>
      </c>
      <c r="O823" s="51" t="n">
        <f aca="false">G823-I823</f>
        <v>122436</v>
      </c>
      <c r="P823" s="51" t="n">
        <f aca="false">F823-H823</f>
        <v>145901</v>
      </c>
      <c r="Q823" s="51" t="n">
        <f aca="false">F823-H823-J823</f>
        <v>86061</v>
      </c>
      <c r="R823" s="51" t="n">
        <f aca="false">G823-I823-K823</f>
        <v>61223</v>
      </c>
      <c r="S823" s="51" t="n">
        <f aca="false">R823-Q823</f>
        <v>-24838</v>
      </c>
      <c r="T823" s="52" t="n">
        <f aca="false">IF(Q823=0,0,S823/Q823)</f>
        <v>-0.288609242281637</v>
      </c>
      <c r="U823" s="51" t="str">
        <f aca="false">IF(AND(Q823&gt;0,T823&lt;-0.15),"ADVERSE","")</f>
        <v>ADVERSE</v>
      </c>
    </row>
    <row r="824" customFormat="false" ht="15" hidden="false" customHeight="false" outlineLevel="0" collapsed="false">
      <c r="A824" s="47" t="s">
        <v>3</v>
      </c>
      <c r="B824" s="47" t="s">
        <v>135</v>
      </c>
      <c r="C824" s="48" t="n">
        <v>45809</v>
      </c>
      <c r="D824" s="47" t="s">
        <v>36</v>
      </c>
      <c r="E824" s="47" t="s">
        <v>44</v>
      </c>
      <c r="F824" s="49" t="n">
        <v>449814</v>
      </c>
      <c r="G824" s="49" t="n">
        <v>408220</v>
      </c>
      <c r="H824" s="49" t="n">
        <v>303399</v>
      </c>
      <c r="I824" s="49" t="n">
        <v>281822</v>
      </c>
      <c r="J824" s="49" t="n">
        <v>60050</v>
      </c>
      <c r="K824" s="49" t="n">
        <v>56969</v>
      </c>
      <c r="L824" s="50" t="n">
        <v>19.8</v>
      </c>
      <c r="M824" s="51" t="n">
        <f aca="false">G824-F824</f>
        <v>-41594</v>
      </c>
      <c r="N824" s="52" t="n">
        <f aca="false">IF(F824=0,0,M824/F824)</f>
        <v>-0.092469331768242</v>
      </c>
      <c r="O824" s="51" t="n">
        <f aca="false">G824-I824</f>
        <v>126398</v>
      </c>
      <c r="P824" s="51" t="n">
        <f aca="false">F824-H824</f>
        <v>146415</v>
      </c>
      <c r="Q824" s="51" t="n">
        <f aca="false">F824-H824-J824</f>
        <v>86365</v>
      </c>
      <c r="R824" s="51" t="n">
        <f aca="false">G824-I824-K824</f>
        <v>69429</v>
      </c>
      <c r="S824" s="51" t="n">
        <f aca="false">R824-Q824</f>
        <v>-16936</v>
      </c>
      <c r="T824" s="52" t="n">
        <f aca="false">IF(Q824=0,0,S824/Q824)</f>
        <v>-0.196097956348058</v>
      </c>
      <c r="U824" s="51" t="str">
        <f aca="false">IF(AND(Q824&gt;0,T824&lt;-0.15),"ADVERSE","")</f>
        <v>ADVERSE</v>
      </c>
    </row>
    <row r="825" customFormat="false" ht="15" hidden="false" customHeight="false" outlineLevel="0" collapsed="false">
      <c r="A825" s="47" t="s">
        <v>3</v>
      </c>
      <c r="B825" s="47" t="s">
        <v>136</v>
      </c>
      <c r="C825" s="48" t="n">
        <v>45839</v>
      </c>
      <c r="D825" s="47" t="s">
        <v>36</v>
      </c>
      <c r="E825" s="47" t="s">
        <v>44</v>
      </c>
      <c r="F825" s="49" t="n">
        <v>460619</v>
      </c>
      <c r="G825" s="49" t="n">
        <v>429466</v>
      </c>
      <c r="H825" s="49" t="n">
        <v>310688</v>
      </c>
      <c r="I825" s="49" t="n">
        <v>299029</v>
      </c>
      <c r="J825" s="49" t="n">
        <v>61493</v>
      </c>
      <c r="K825" s="49" t="n">
        <v>58522</v>
      </c>
      <c r="L825" s="50" t="n">
        <v>19.8</v>
      </c>
      <c r="M825" s="51" t="n">
        <f aca="false">G825-F825</f>
        <v>-31153</v>
      </c>
      <c r="N825" s="52" t="n">
        <f aca="false">IF(F825=0,0,M825/F825)</f>
        <v>-0.0676329026809576</v>
      </c>
      <c r="O825" s="51" t="n">
        <f aca="false">G825-I825</f>
        <v>130437</v>
      </c>
      <c r="P825" s="51" t="n">
        <f aca="false">F825-H825</f>
        <v>149931</v>
      </c>
      <c r="Q825" s="51" t="n">
        <f aca="false">F825-H825-J825</f>
        <v>88438</v>
      </c>
      <c r="R825" s="51" t="n">
        <f aca="false">G825-I825-K825</f>
        <v>71915</v>
      </c>
      <c r="S825" s="51" t="n">
        <f aca="false">R825-Q825</f>
        <v>-16523</v>
      </c>
      <c r="T825" s="52" t="n">
        <f aca="false">IF(Q825=0,0,S825/Q825)</f>
        <v>-0.186831452543025</v>
      </c>
      <c r="U825" s="51" t="str">
        <f aca="false">IF(AND(Q825&gt;0,T825&lt;-0.15),"ADVERSE","")</f>
        <v>ADVERSE</v>
      </c>
    </row>
    <row r="826" customFormat="false" ht="15" hidden="false" customHeight="false" outlineLevel="0" collapsed="false">
      <c r="A826" s="47" t="s">
        <v>3</v>
      </c>
      <c r="B826" s="47" t="s">
        <v>136</v>
      </c>
      <c r="C826" s="48" t="n">
        <v>45870</v>
      </c>
      <c r="D826" s="47" t="s">
        <v>36</v>
      </c>
      <c r="E826" s="47" t="s">
        <v>44</v>
      </c>
      <c r="F826" s="49" t="n">
        <v>447924</v>
      </c>
      <c r="G826" s="49" t="n">
        <v>426597</v>
      </c>
      <c r="H826" s="49" t="n">
        <v>302124</v>
      </c>
      <c r="I826" s="49" t="n">
        <v>296696</v>
      </c>
      <c r="J826" s="49" t="n">
        <v>59798</v>
      </c>
      <c r="K826" s="49" t="n">
        <v>55146</v>
      </c>
      <c r="L826" s="50" t="n">
        <v>20.1</v>
      </c>
      <c r="M826" s="51" t="n">
        <f aca="false">G826-F826</f>
        <v>-21327</v>
      </c>
      <c r="N826" s="52" t="n">
        <f aca="false">IF(F826=0,0,M826/F826)</f>
        <v>-0.0476129879175932</v>
      </c>
      <c r="O826" s="51" t="n">
        <f aca="false">G826-I826</f>
        <v>129901</v>
      </c>
      <c r="P826" s="51" t="n">
        <f aca="false">F826-H826</f>
        <v>145800</v>
      </c>
      <c r="Q826" s="51" t="n">
        <f aca="false">F826-H826-J826</f>
        <v>86002</v>
      </c>
      <c r="R826" s="51" t="n">
        <f aca="false">G826-I826-K826</f>
        <v>74755</v>
      </c>
      <c r="S826" s="51" t="n">
        <f aca="false">R826-Q826</f>
        <v>-11247</v>
      </c>
      <c r="T826" s="52" t="n">
        <f aca="false">IF(Q826=0,0,S826/Q826)</f>
        <v>-0.130776028464454</v>
      </c>
      <c r="U826" s="51" t="str">
        <f aca="false">IF(AND(Q826&gt;0,T826&lt;-0.15),"ADVERSE","")</f>
        <v/>
      </c>
    </row>
    <row r="827" customFormat="false" ht="15" hidden="false" customHeight="false" outlineLevel="0" collapsed="false">
      <c r="A827" s="47" t="s">
        <v>3</v>
      </c>
      <c r="B827" s="47" t="s">
        <v>136</v>
      </c>
      <c r="C827" s="48" t="n">
        <v>45901</v>
      </c>
      <c r="D827" s="47" t="s">
        <v>36</v>
      </c>
      <c r="E827" s="47" t="s">
        <v>44</v>
      </c>
      <c r="F827" s="49" t="n">
        <v>450107</v>
      </c>
      <c r="G827" s="49" t="n">
        <v>448087</v>
      </c>
      <c r="H827" s="49" t="n">
        <v>303597</v>
      </c>
      <c r="I827" s="49" t="n">
        <v>317699</v>
      </c>
      <c r="J827" s="49" t="n">
        <v>60089</v>
      </c>
      <c r="K827" s="49" t="n">
        <v>58240</v>
      </c>
      <c r="L827" s="50" t="n">
        <v>20</v>
      </c>
      <c r="M827" s="51" t="n">
        <f aca="false">G827-F827</f>
        <v>-2020</v>
      </c>
      <c r="N827" s="52" t="n">
        <f aca="false">IF(F827=0,0,M827/F827)</f>
        <v>-0.00448782178459788</v>
      </c>
      <c r="O827" s="51" t="n">
        <f aca="false">G827-I827</f>
        <v>130388</v>
      </c>
      <c r="P827" s="51" t="n">
        <f aca="false">F827-H827</f>
        <v>146510</v>
      </c>
      <c r="Q827" s="51" t="n">
        <f aca="false">F827-H827-J827</f>
        <v>86421</v>
      </c>
      <c r="R827" s="51" t="n">
        <f aca="false">G827-I827-K827</f>
        <v>72148</v>
      </c>
      <c r="S827" s="51" t="n">
        <f aca="false">R827-Q827</f>
        <v>-14273</v>
      </c>
      <c r="T827" s="52" t="n">
        <f aca="false">IF(Q827=0,0,S827/Q827)</f>
        <v>-0.165156617025954</v>
      </c>
      <c r="U827" s="51" t="str">
        <f aca="false">IF(AND(Q827&gt;0,T827&lt;-0.15),"ADVERSE","")</f>
        <v>ADVERSE</v>
      </c>
    </row>
    <row r="828" customFormat="false" ht="15" hidden="false" customHeight="false" outlineLevel="0" collapsed="false">
      <c r="A828" s="47" t="s">
        <v>3</v>
      </c>
      <c r="B828" s="47" t="s">
        <v>137</v>
      </c>
      <c r="C828" s="48" t="n">
        <v>45931</v>
      </c>
      <c r="D828" s="47" t="s">
        <v>36</v>
      </c>
      <c r="E828" s="47" t="s">
        <v>44</v>
      </c>
      <c r="F828" s="49" t="n">
        <v>467379</v>
      </c>
      <c r="G828" s="49" t="n">
        <v>451663</v>
      </c>
      <c r="H828" s="49" t="n">
        <v>315247</v>
      </c>
      <c r="I828" s="49" t="n">
        <v>313333</v>
      </c>
      <c r="J828" s="49" t="n">
        <v>62395</v>
      </c>
      <c r="K828" s="49" t="n">
        <v>65833</v>
      </c>
      <c r="L828" s="50" t="n">
        <v>20.1</v>
      </c>
      <c r="M828" s="51" t="n">
        <f aca="false">G828-F828</f>
        <v>-15716</v>
      </c>
      <c r="N828" s="52" t="n">
        <f aca="false">IF(F828=0,0,M828/F828)</f>
        <v>-0.0336258154516998</v>
      </c>
      <c r="O828" s="51" t="n">
        <f aca="false">G828-I828</f>
        <v>138330</v>
      </c>
      <c r="P828" s="51" t="n">
        <f aca="false">F828-H828</f>
        <v>152132</v>
      </c>
      <c r="Q828" s="51" t="n">
        <f aca="false">F828-H828-J828</f>
        <v>89737</v>
      </c>
      <c r="R828" s="51" t="n">
        <f aca="false">G828-I828-K828</f>
        <v>72497</v>
      </c>
      <c r="S828" s="51" t="n">
        <f aca="false">R828-Q828</f>
        <v>-17240</v>
      </c>
      <c r="T828" s="52" t="n">
        <f aca="false">IF(Q828=0,0,S828/Q828)</f>
        <v>-0.192116964017072</v>
      </c>
      <c r="U828" s="51" t="str">
        <f aca="false">IF(AND(Q828&gt;0,T828&lt;-0.15),"ADVERSE","")</f>
        <v>ADVERSE</v>
      </c>
    </row>
    <row r="829" customFormat="false" ht="15" hidden="false" customHeight="false" outlineLevel="0" collapsed="false">
      <c r="A829" s="47" t="s">
        <v>3</v>
      </c>
      <c r="B829" s="47" t="s">
        <v>137</v>
      </c>
      <c r="C829" s="48" t="n">
        <v>45962</v>
      </c>
      <c r="D829" s="47" t="s">
        <v>36</v>
      </c>
      <c r="E829" s="47" t="s">
        <v>44</v>
      </c>
      <c r="F829" s="49" t="n">
        <v>461919</v>
      </c>
      <c r="G829" s="49" t="n">
        <v>434261</v>
      </c>
      <c r="H829" s="49" t="n">
        <v>311565</v>
      </c>
      <c r="I829" s="49" t="n">
        <v>299869</v>
      </c>
      <c r="J829" s="49" t="n">
        <v>61666</v>
      </c>
      <c r="K829" s="49" t="n">
        <v>59217</v>
      </c>
      <c r="L829" s="50" t="n">
        <v>20.5</v>
      </c>
      <c r="M829" s="51" t="n">
        <f aca="false">G829-F829</f>
        <v>-27658</v>
      </c>
      <c r="N829" s="52" t="n">
        <f aca="false">IF(F829=0,0,M829/F829)</f>
        <v>-0.0598762986584228</v>
      </c>
      <c r="O829" s="51" t="n">
        <f aca="false">G829-I829</f>
        <v>134392</v>
      </c>
      <c r="P829" s="51" t="n">
        <f aca="false">F829-H829</f>
        <v>150354</v>
      </c>
      <c r="Q829" s="51" t="n">
        <f aca="false">F829-H829-J829</f>
        <v>88688</v>
      </c>
      <c r="R829" s="51" t="n">
        <f aca="false">G829-I829-K829</f>
        <v>75175</v>
      </c>
      <c r="S829" s="51" t="n">
        <f aca="false">R829-Q829</f>
        <v>-13513</v>
      </c>
      <c r="T829" s="52" t="n">
        <f aca="false">IF(Q829=0,0,S829/Q829)</f>
        <v>-0.152365596247519</v>
      </c>
      <c r="U829" s="51" t="str">
        <f aca="false">IF(AND(Q829&gt;0,T829&lt;-0.15),"ADVERSE","")</f>
        <v>ADVERSE</v>
      </c>
    </row>
    <row r="830" customFormat="false" ht="15" hidden="false" customHeight="false" outlineLevel="0" collapsed="false">
      <c r="A830" s="47" t="s">
        <v>3</v>
      </c>
      <c r="B830" s="47" t="s">
        <v>137</v>
      </c>
      <c r="C830" s="48" t="n">
        <v>45992</v>
      </c>
      <c r="D830" s="47" t="s">
        <v>36</v>
      </c>
      <c r="E830" s="47" t="s">
        <v>44</v>
      </c>
      <c r="F830" s="49" t="n">
        <v>461157</v>
      </c>
      <c r="G830" s="49" t="n">
        <v>422733</v>
      </c>
      <c r="H830" s="49" t="n">
        <v>311050</v>
      </c>
      <c r="I830" s="49" t="n">
        <v>291849</v>
      </c>
      <c r="J830" s="49" t="n">
        <v>61564</v>
      </c>
      <c r="K830" s="49" t="n">
        <v>57692</v>
      </c>
      <c r="L830" s="50" t="n">
        <v>20.3</v>
      </c>
      <c r="M830" s="51" t="n">
        <f aca="false">G830-F830</f>
        <v>-38424</v>
      </c>
      <c r="N830" s="52" t="n">
        <f aca="false">IF(F830=0,0,M830/F830)</f>
        <v>-0.0833208646946702</v>
      </c>
      <c r="O830" s="51" t="n">
        <f aca="false">G830-I830</f>
        <v>130884</v>
      </c>
      <c r="P830" s="51" t="n">
        <f aca="false">F830-H830</f>
        <v>150107</v>
      </c>
      <c r="Q830" s="51" t="n">
        <f aca="false">F830-H830-J830</f>
        <v>88543</v>
      </c>
      <c r="R830" s="51" t="n">
        <f aca="false">G830-I830-K830</f>
        <v>73192</v>
      </c>
      <c r="S830" s="51" t="n">
        <f aca="false">R830-Q830</f>
        <v>-15351</v>
      </c>
      <c r="T830" s="52" t="n">
        <f aca="false">IF(Q830=0,0,S830/Q830)</f>
        <v>-0.173373389200727</v>
      </c>
      <c r="U830" s="51" t="str">
        <f aca="false">IF(AND(Q830&gt;0,T830&lt;-0.15),"ADVERSE","")</f>
        <v>ADVERSE</v>
      </c>
    </row>
    <row r="831" customFormat="false" ht="15" hidden="false" customHeight="false" outlineLevel="0" collapsed="false">
      <c r="A831" s="47" t="s">
        <v>3</v>
      </c>
      <c r="B831" s="47" t="s">
        <v>138</v>
      </c>
      <c r="C831" s="48" t="n">
        <v>46023</v>
      </c>
      <c r="D831" s="47" t="s">
        <v>36</v>
      </c>
      <c r="E831" s="47" t="s">
        <v>44</v>
      </c>
      <c r="F831" s="49" t="n">
        <v>442447</v>
      </c>
      <c r="G831" s="49" t="n">
        <v>419907</v>
      </c>
      <c r="H831" s="49" t="n">
        <v>298430</v>
      </c>
      <c r="I831" s="49" t="n">
        <v>286287</v>
      </c>
      <c r="J831" s="49" t="n">
        <v>59067</v>
      </c>
      <c r="K831" s="49" t="n">
        <v>56394</v>
      </c>
      <c r="L831" s="50" t="n">
        <v>20.4</v>
      </c>
      <c r="M831" s="51" t="n">
        <f aca="false">G831-F831</f>
        <v>-22540</v>
      </c>
      <c r="N831" s="52" t="n">
        <f aca="false">IF(F831=0,0,M831/F831)</f>
        <v>-0.0509439548691708</v>
      </c>
      <c r="O831" s="51" t="n">
        <f aca="false">G831-I831</f>
        <v>133620</v>
      </c>
      <c r="P831" s="51" t="n">
        <f aca="false">F831-H831</f>
        <v>144017</v>
      </c>
      <c r="Q831" s="51" t="n">
        <f aca="false">F831-H831-J831</f>
        <v>84950</v>
      </c>
      <c r="R831" s="51" t="n">
        <f aca="false">G831-I831-K831</f>
        <v>77226</v>
      </c>
      <c r="S831" s="51" t="n">
        <f aca="false">R831-Q831</f>
        <v>-7724</v>
      </c>
      <c r="T831" s="52" t="n">
        <f aca="false">IF(Q831=0,0,S831/Q831)</f>
        <v>-0.0909240729841083</v>
      </c>
      <c r="U831" s="51" t="str">
        <f aca="false">IF(AND(Q831&gt;0,T831&lt;-0.15),"ADVERSE","")</f>
        <v/>
      </c>
    </row>
    <row r="832" customFormat="false" ht="15" hidden="false" customHeight="false" outlineLevel="0" collapsed="false">
      <c r="A832" s="47" t="s">
        <v>3</v>
      </c>
      <c r="B832" s="47" t="s">
        <v>138</v>
      </c>
      <c r="C832" s="48" t="n">
        <v>46054</v>
      </c>
      <c r="D832" s="47" t="s">
        <v>36</v>
      </c>
      <c r="E832" s="47" t="s">
        <v>44</v>
      </c>
      <c r="F832" s="49" t="n">
        <v>448796</v>
      </c>
      <c r="G832" s="49" t="n">
        <v>426680</v>
      </c>
      <c r="H832" s="49" t="n">
        <v>302713</v>
      </c>
      <c r="I832" s="49" t="n">
        <v>302167</v>
      </c>
      <c r="J832" s="49" t="n">
        <v>59914</v>
      </c>
      <c r="K832" s="49" t="n">
        <v>54936</v>
      </c>
      <c r="L832" s="50" t="n">
        <v>20.3</v>
      </c>
      <c r="M832" s="51" t="n">
        <f aca="false">G832-F832</f>
        <v>-22116</v>
      </c>
      <c r="N832" s="52" t="n">
        <f aca="false">IF(F832=0,0,M832/F832)</f>
        <v>-0.0492785140687528</v>
      </c>
      <c r="O832" s="51" t="n">
        <f aca="false">G832-I832</f>
        <v>124513</v>
      </c>
      <c r="P832" s="51" t="n">
        <f aca="false">F832-H832</f>
        <v>146083</v>
      </c>
      <c r="Q832" s="51" t="n">
        <f aca="false">F832-H832-J832</f>
        <v>86169</v>
      </c>
      <c r="R832" s="51" t="n">
        <f aca="false">G832-I832-K832</f>
        <v>69577</v>
      </c>
      <c r="S832" s="51" t="n">
        <f aca="false">R832-Q832</f>
        <v>-16592</v>
      </c>
      <c r="T832" s="52" t="n">
        <f aca="false">IF(Q832=0,0,S832/Q832)</f>
        <v>-0.19255184579141</v>
      </c>
      <c r="U832" s="51" t="str">
        <f aca="false">IF(AND(Q832&gt;0,T832&lt;-0.15),"ADVERSE","")</f>
        <v>ADVERSE</v>
      </c>
    </row>
    <row r="833" customFormat="false" ht="15" hidden="false" customHeight="false" outlineLevel="0" collapsed="false">
      <c r="A833" s="47" t="s">
        <v>3</v>
      </c>
      <c r="B833" s="47" t="s">
        <v>138</v>
      </c>
      <c r="C833" s="48" t="n">
        <v>46082</v>
      </c>
      <c r="D833" s="47" t="s">
        <v>36</v>
      </c>
      <c r="E833" s="47" t="s">
        <v>44</v>
      </c>
      <c r="F833" s="49" t="n">
        <v>495265</v>
      </c>
      <c r="G833" s="49" t="n">
        <v>478545</v>
      </c>
      <c r="H833" s="49" t="n">
        <v>334056</v>
      </c>
      <c r="I833" s="49" t="n">
        <v>341248</v>
      </c>
      <c r="J833" s="49" t="n">
        <v>66118</v>
      </c>
      <c r="K833" s="49" t="n">
        <v>61138</v>
      </c>
      <c r="L833" s="50" t="n">
        <v>20.1</v>
      </c>
      <c r="M833" s="51" t="n">
        <f aca="false">G833-F833</f>
        <v>-16720</v>
      </c>
      <c r="N833" s="52" t="n">
        <f aca="false">IF(F833=0,0,M833/F833)</f>
        <v>-0.0337597044006744</v>
      </c>
      <c r="O833" s="51" t="n">
        <f aca="false">G833-I833</f>
        <v>137297</v>
      </c>
      <c r="P833" s="51" t="n">
        <f aca="false">F833-H833</f>
        <v>161209</v>
      </c>
      <c r="Q833" s="51" t="n">
        <f aca="false">F833-H833-J833</f>
        <v>95091</v>
      </c>
      <c r="R833" s="51" t="n">
        <f aca="false">G833-I833-K833</f>
        <v>76159</v>
      </c>
      <c r="S833" s="51" t="n">
        <f aca="false">R833-Q833</f>
        <v>-18932</v>
      </c>
      <c r="T833" s="52" t="n">
        <f aca="false">IF(Q833=0,0,S833/Q833)</f>
        <v>-0.199093499910612</v>
      </c>
      <c r="U833" s="51" t="str">
        <f aca="false">IF(AND(Q833&gt;0,T833&lt;-0.15),"ADVERSE","")</f>
        <v>ADVERSE</v>
      </c>
    </row>
    <row r="834" customFormat="false" ht="15" hidden="false" customHeight="false" outlineLevel="0" collapsed="false">
      <c r="A834" s="47" t="s">
        <v>134</v>
      </c>
      <c r="B834" s="47" t="s">
        <v>135</v>
      </c>
      <c r="C834" s="48" t="n">
        <v>45017</v>
      </c>
      <c r="D834" s="47" t="s">
        <v>36</v>
      </c>
      <c r="E834" s="47" t="s">
        <v>45</v>
      </c>
      <c r="F834" s="49" t="n">
        <v>198986</v>
      </c>
      <c r="G834" s="49" t="n">
        <v>202453</v>
      </c>
      <c r="H834" s="49" t="n">
        <v>134216</v>
      </c>
      <c r="I834" s="49" t="n">
        <v>134775</v>
      </c>
      <c r="J834" s="49" t="n">
        <v>26565</v>
      </c>
      <c r="K834" s="49" t="n">
        <v>27731</v>
      </c>
      <c r="L834" s="50" t="n">
        <v>9.5</v>
      </c>
      <c r="M834" s="51" t="n">
        <f aca="false">G834-F834</f>
        <v>3467</v>
      </c>
      <c r="N834" s="52" t="n">
        <f aca="false">IF(F834=0,0,M834/F834)</f>
        <v>0.0174233363151176</v>
      </c>
      <c r="O834" s="51" t="n">
        <f aca="false">G834-I834</f>
        <v>67678</v>
      </c>
      <c r="P834" s="51" t="n">
        <f aca="false">F834-H834</f>
        <v>64770</v>
      </c>
      <c r="Q834" s="51" t="n">
        <f aca="false">F834-H834-J834</f>
        <v>38205</v>
      </c>
      <c r="R834" s="51" t="n">
        <f aca="false">G834-I834-K834</f>
        <v>39947</v>
      </c>
      <c r="S834" s="51" t="n">
        <f aca="false">R834-Q834</f>
        <v>1742</v>
      </c>
      <c r="T834" s="52" t="n">
        <f aca="false">IF(Q834=0,0,S834/Q834)</f>
        <v>0.0455961261614972</v>
      </c>
      <c r="U834" s="51" t="str">
        <f aca="false">IF(AND(Q834&gt;0,T834&lt;-0.15),"ADVERSE","")</f>
        <v/>
      </c>
    </row>
    <row r="835" customFormat="false" ht="15" hidden="false" customHeight="false" outlineLevel="0" collapsed="false">
      <c r="A835" s="47" t="s">
        <v>134</v>
      </c>
      <c r="B835" s="47" t="s">
        <v>135</v>
      </c>
      <c r="C835" s="48" t="n">
        <v>45047</v>
      </c>
      <c r="D835" s="47" t="s">
        <v>36</v>
      </c>
      <c r="E835" s="47" t="s">
        <v>45</v>
      </c>
      <c r="F835" s="49" t="n">
        <v>192876</v>
      </c>
      <c r="G835" s="49" t="n">
        <v>198906</v>
      </c>
      <c r="H835" s="49" t="n">
        <v>130095</v>
      </c>
      <c r="I835" s="49" t="n">
        <v>135318</v>
      </c>
      <c r="J835" s="49" t="n">
        <v>25749</v>
      </c>
      <c r="K835" s="49" t="n">
        <v>24593</v>
      </c>
      <c r="L835" s="50" t="n">
        <v>9.7</v>
      </c>
      <c r="M835" s="51" t="n">
        <f aca="false">G835-F835</f>
        <v>6030</v>
      </c>
      <c r="N835" s="52" t="n">
        <f aca="false">IF(F835=0,0,M835/F835)</f>
        <v>0.031263609780377</v>
      </c>
      <c r="O835" s="51" t="n">
        <f aca="false">G835-I835</f>
        <v>63588</v>
      </c>
      <c r="P835" s="51" t="n">
        <f aca="false">F835-H835</f>
        <v>62781</v>
      </c>
      <c r="Q835" s="51" t="n">
        <f aca="false">F835-H835-J835</f>
        <v>37032</v>
      </c>
      <c r="R835" s="51" t="n">
        <f aca="false">G835-I835-K835</f>
        <v>38995</v>
      </c>
      <c r="S835" s="51" t="n">
        <f aca="false">R835-Q835</f>
        <v>1963</v>
      </c>
      <c r="T835" s="52" t="n">
        <f aca="false">IF(Q835=0,0,S835/Q835)</f>
        <v>0.0530082091164398</v>
      </c>
      <c r="U835" s="51" t="str">
        <f aca="false">IF(AND(Q835&gt;0,T835&lt;-0.15),"ADVERSE","")</f>
        <v/>
      </c>
    </row>
    <row r="836" customFormat="false" ht="15" hidden="false" customHeight="false" outlineLevel="0" collapsed="false">
      <c r="A836" s="47" t="s">
        <v>134</v>
      </c>
      <c r="B836" s="47" t="s">
        <v>135</v>
      </c>
      <c r="C836" s="48" t="n">
        <v>45078</v>
      </c>
      <c r="D836" s="47" t="s">
        <v>36</v>
      </c>
      <c r="E836" s="47" t="s">
        <v>45</v>
      </c>
      <c r="F836" s="49" t="n">
        <v>199030</v>
      </c>
      <c r="G836" s="49" t="n">
        <v>195031</v>
      </c>
      <c r="H836" s="49" t="n">
        <v>134245</v>
      </c>
      <c r="I836" s="49" t="n">
        <v>132618</v>
      </c>
      <c r="J836" s="49" t="n">
        <v>26570</v>
      </c>
      <c r="K836" s="49" t="n">
        <v>26717</v>
      </c>
      <c r="L836" s="50" t="n">
        <v>9.5</v>
      </c>
      <c r="M836" s="51" t="n">
        <f aca="false">G836-F836</f>
        <v>-3999</v>
      </c>
      <c r="N836" s="52" t="n">
        <f aca="false">IF(F836=0,0,M836/F836)</f>
        <v>-0.0200924483746169</v>
      </c>
      <c r="O836" s="51" t="n">
        <f aca="false">G836-I836</f>
        <v>62413</v>
      </c>
      <c r="P836" s="51" t="n">
        <f aca="false">F836-H836</f>
        <v>64785</v>
      </c>
      <c r="Q836" s="51" t="n">
        <f aca="false">F836-H836-J836</f>
        <v>38215</v>
      </c>
      <c r="R836" s="51" t="n">
        <f aca="false">G836-I836-K836</f>
        <v>35696</v>
      </c>
      <c r="S836" s="51" t="n">
        <f aca="false">R836-Q836</f>
        <v>-2519</v>
      </c>
      <c r="T836" s="52" t="n">
        <f aca="false">IF(Q836=0,0,S836/Q836)</f>
        <v>-0.0659165249247678</v>
      </c>
      <c r="U836" s="51" t="str">
        <f aca="false">IF(AND(Q836&gt;0,T836&lt;-0.15),"ADVERSE","")</f>
        <v/>
      </c>
    </row>
    <row r="837" customFormat="false" ht="15" hidden="false" customHeight="false" outlineLevel="0" collapsed="false">
      <c r="A837" s="47" t="s">
        <v>134</v>
      </c>
      <c r="B837" s="47" t="s">
        <v>136</v>
      </c>
      <c r="C837" s="48" t="n">
        <v>45108</v>
      </c>
      <c r="D837" s="47" t="s">
        <v>36</v>
      </c>
      <c r="E837" s="47" t="s">
        <v>45</v>
      </c>
      <c r="F837" s="49" t="n">
        <v>203668</v>
      </c>
      <c r="G837" s="49" t="n">
        <v>188904</v>
      </c>
      <c r="H837" s="49" t="n">
        <v>137374</v>
      </c>
      <c r="I837" s="49" t="n">
        <v>127847</v>
      </c>
      <c r="J837" s="49" t="n">
        <v>27190</v>
      </c>
      <c r="K837" s="49" t="n">
        <v>23800</v>
      </c>
      <c r="L837" s="50" t="n">
        <v>10</v>
      </c>
      <c r="M837" s="51" t="n">
        <f aca="false">G837-F837</f>
        <v>-14764</v>
      </c>
      <c r="N837" s="52" t="n">
        <f aca="false">IF(F837=0,0,M837/F837)</f>
        <v>-0.0724905237936249</v>
      </c>
      <c r="O837" s="51" t="n">
        <f aca="false">G837-I837</f>
        <v>61057</v>
      </c>
      <c r="P837" s="51" t="n">
        <f aca="false">F837-H837</f>
        <v>66294</v>
      </c>
      <c r="Q837" s="51" t="n">
        <f aca="false">F837-H837-J837</f>
        <v>39104</v>
      </c>
      <c r="R837" s="51" t="n">
        <f aca="false">G837-I837-K837</f>
        <v>37257</v>
      </c>
      <c r="S837" s="51" t="n">
        <f aca="false">R837-Q837</f>
        <v>-1847</v>
      </c>
      <c r="T837" s="52" t="n">
        <f aca="false">IF(Q837=0,0,S837/Q837)</f>
        <v>-0.0472330196399345</v>
      </c>
      <c r="U837" s="51" t="str">
        <f aca="false">IF(AND(Q837&gt;0,T837&lt;-0.15),"ADVERSE","")</f>
        <v/>
      </c>
    </row>
    <row r="838" customFormat="false" ht="15" hidden="false" customHeight="false" outlineLevel="0" collapsed="false">
      <c r="A838" s="47" t="s">
        <v>134</v>
      </c>
      <c r="B838" s="47" t="s">
        <v>136</v>
      </c>
      <c r="C838" s="48" t="n">
        <v>45139</v>
      </c>
      <c r="D838" s="47" t="s">
        <v>36</v>
      </c>
      <c r="E838" s="47" t="s">
        <v>45</v>
      </c>
      <c r="F838" s="49" t="n">
        <v>193010</v>
      </c>
      <c r="G838" s="49" t="n">
        <v>204574</v>
      </c>
      <c r="H838" s="49" t="n">
        <v>130185</v>
      </c>
      <c r="I838" s="49" t="n">
        <v>139569</v>
      </c>
      <c r="J838" s="49" t="n">
        <v>25767</v>
      </c>
      <c r="K838" s="49" t="n">
        <v>25961</v>
      </c>
      <c r="L838" s="50" t="n">
        <v>9.9</v>
      </c>
      <c r="M838" s="51" t="n">
        <f aca="false">G838-F838</f>
        <v>11564</v>
      </c>
      <c r="N838" s="52" t="n">
        <f aca="false">IF(F838=0,0,M838/F838)</f>
        <v>0.0599139940935703</v>
      </c>
      <c r="O838" s="51" t="n">
        <f aca="false">G838-I838</f>
        <v>65005</v>
      </c>
      <c r="P838" s="51" t="n">
        <f aca="false">F838-H838</f>
        <v>62825</v>
      </c>
      <c r="Q838" s="51" t="n">
        <f aca="false">F838-H838-J838</f>
        <v>37058</v>
      </c>
      <c r="R838" s="51" t="n">
        <f aca="false">G838-I838-K838</f>
        <v>39044</v>
      </c>
      <c r="S838" s="51" t="n">
        <f aca="false">R838-Q838</f>
        <v>1986</v>
      </c>
      <c r="T838" s="52" t="n">
        <f aca="false">IF(Q838=0,0,S838/Q838)</f>
        <v>0.0535916671164121</v>
      </c>
      <c r="U838" s="51" t="str">
        <f aca="false">IF(AND(Q838&gt;0,T838&lt;-0.15),"ADVERSE","")</f>
        <v/>
      </c>
    </row>
    <row r="839" customFormat="false" ht="15" hidden="false" customHeight="false" outlineLevel="0" collapsed="false">
      <c r="A839" s="47" t="s">
        <v>134</v>
      </c>
      <c r="B839" s="47" t="s">
        <v>136</v>
      </c>
      <c r="C839" s="48" t="n">
        <v>45170</v>
      </c>
      <c r="D839" s="47" t="s">
        <v>36</v>
      </c>
      <c r="E839" s="47" t="s">
        <v>45</v>
      </c>
      <c r="F839" s="49" t="n">
        <v>204154</v>
      </c>
      <c r="G839" s="49" t="n">
        <v>214881</v>
      </c>
      <c r="H839" s="49" t="n">
        <v>137702</v>
      </c>
      <c r="I839" s="49" t="n">
        <v>142884</v>
      </c>
      <c r="J839" s="49" t="n">
        <v>27255</v>
      </c>
      <c r="K839" s="49" t="n">
        <v>28571</v>
      </c>
      <c r="L839" s="50" t="n">
        <v>9.5</v>
      </c>
      <c r="M839" s="51" t="n">
        <f aca="false">G839-F839</f>
        <v>10727</v>
      </c>
      <c r="N839" s="52" t="n">
        <f aca="false">IF(F839=0,0,M839/F839)</f>
        <v>0.0525436680153218</v>
      </c>
      <c r="O839" s="51" t="n">
        <f aca="false">G839-I839</f>
        <v>71997</v>
      </c>
      <c r="P839" s="51" t="n">
        <f aca="false">F839-H839</f>
        <v>66452</v>
      </c>
      <c r="Q839" s="51" t="n">
        <f aca="false">F839-H839-J839</f>
        <v>39197</v>
      </c>
      <c r="R839" s="51" t="n">
        <f aca="false">G839-I839-K839</f>
        <v>43426</v>
      </c>
      <c r="S839" s="51" t="n">
        <f aca="false">R839-Q839</f>
        <v>4229</v>
      </c>
      <c r="T839" s="52" t="n">
        <f aca="false">IF(Q839=0,0,S839/Q839)</f>
        <v>0.107890910018624</v>
      </c>
      <c r="U839" s="51" t="str">
        <f aca="false">IF(AND(Q839&gt;0,T839&lt;-0.15),"ADVERSE","")</f>
        <v/>
      </c>
    </row>
    <row r="840" customFormat="false" ht="15" hidden="false" customHeight="false" outlineLevel="0" collapsed="false">
      <c r="A840" s="47" t="s">
        <v>134</v>
      </c>
      <c r="B840" s="47" t="s">
        <v>137</v>
      </c>
      <c r="C840" s="48" t="n">
        <v>45200</v>
      </c>
      <c r="D840" s="47" t="s">
        <v>36</v>
      </c>
      <c r="E840" s="47" t="s">
        <v>45</v>
      </c>
      <c r="F840" s="49" t="n">
        <v>211560</v>
      </c>
      <c r="G840" s="49" t="n">
        <v>202126</v>
      </c>
      <c r="H840" s="49" t="n">
        <v>142697</v>
      </c>
      <c r="I840" s="49" t="n">
        <v>136679</v>
      </c>
      <c r="J840" s="49" t="n">
        <v>28243</v>
      </c>
      <c r="K840" s="49" t="n">
        <v>27007</v>
      </c>
      <c r="L840" s="50" t="n">
        <v>9.7</v>
      </c>
      <c r="M840" s="51" t="n">
        <f aca="false">G840-F840</f>
        <v>-9434</v>
      </c>
      <c r="N840" s="52" t="n">
        <f aca="false">IF(F840=0,0,M840/F840)</f>
        <v>-0.0445925505766686</v>
      </c>
      <c r="O840" s="51" t="n">
        <f aca="false">G840-I840</f>
        <v>65447</v>
      </c>
      <c r="P840" s="51" t="n">
        <f aca="false">F840-H840</f>
        <v>68863</v>
      </c>
      <c r="Q840" s="51" t="n">
        <f aca="false">F840-H840-J840</f>
        <v>40620</v>
      </c>
      <c r="R840" s="51" t="n">
        <f aca="false">G840-I840-K840</f>
        <v>38440</v>
      </c>
      <c r="S840" s="51" t="n">
        <f aca="false">R840-Q840</f>
        <v>-2180</v>
      </c>
      <c r="T840" s="52" t="n">
        <f aca="false">IF(Q840=0,0,S840/Q840)</f>
        <v>-0.0536681437715411</v>
      </c>
      <c r="U840" s="51" t="str">
        <f aca="false">IF(AND(Q840&gt;0,T840&lt;-0.15),"ADVERSE","")</f>
        <v/>
      </c>
    </row>
    <row r="841" customFormat="false" ht="15" hidden="false" customHeight="false" outlineLevel="0" collapsed="false">
      <c r="A841" s="47" t="s">
        <v>134</v>
      </c>
      <c r="B841" s="47" t="s">
        <v>137</v>
      </c>
      <c r="C841" s="48" t="n">
        <v>45231</v>
      </c>
      <c r="D841" s="47" t="s">
        <v>36</v>
      </c>
      <c r="E841" s="47" t="s">
        <v>45</v>
      </c>
      <c r="F841" s="49" t="n">
        <v>204801</v>
      </c>
      <c r="G841" s="49" t="n">
        <v>201473</v>
      </c>
      <c r="H841" s="49" t="n">
        <v>138138</v>
      </c>
      <c r="I841" s="49" t="n">
        <v>136858</v>
      </c>
      <c r="J841" s="49" t="n">
        <v>27341</v>
      </c>
      <c r="K841" s="49" t="n">
        <v>26841</v>
      </c>
      <c r="L841" s="50" t="n">
        <v>9.7</v>
      </c>
      <c r="M841" s="51" t="n">
        <f aca="false">G841-F841</f>
        <v>-3328</v>
      </c>
      <c r="N841" s="52" t="n">
        <f aca="false">IF(F841=0,0,M841/F841)</f>
        <v>-0.0162499206546843</v>
      </c>
      <c r="O841" s="51" t="n">
        <f aca="false">G841-I841</f>
        <v>64615</v>
      </c>
      <c r="P841" s="51" t="n">
        <f aca="false">F841-H841</f>
        <v>66663</v>
      </c>
      <c r="Q841" s="51" t="n">
        <f aca="false">F841-H841-J841</f>
        <v>39322</v>
      </c>
      <c r="R841" s="51" t="n">
        <f aca="false">G841-I841-K841</f>
        <v>37774</v>
      </c>
      <c r="S841" s="51" t="n">
        <f aca="false">R841-Q841</f>
        <v>-1548</v>
      </c>
      <c r="T841" s="52" t="n">
        <f aca="false">IF(Q841=0,0,S841/Q841)</f>
        <v>-0.0393672753166167</v>
      </c>
      <c r="U841" s="51" t="str">
        <f aca="false">IF(AND(Q841&gt;0,T841&lt;-0.15),"ADVERSE","")</f>
        <v/>
      </c>
    </row>
    <row r="842" customFormat="false" ht="15" hidden="false" customHeight="false" outlineLevel="0" collapsed="false">
      <c r="A842" s="47" t="s">
        <v>134</v>
      </c>
      <c r="B842" s="47" t="s">
        <v>137</v>
      </c>
      <c r="C842" s="48" t="n">
        <v>45261</v>
      </c>
      <c r="D842" s="47" t="s">
        <v>36</v>
      </c>
      <c r="E842" s="47" t="s">
        <v>45</v>
      </c>
      <c r="F842" s="49" t="n">
        <v>202763</v>
      </c>
      <c r="G842" s="49" t="n">
        <v>202503</v>
      </c>
      <c r="H842" s="49" t="n">
        <v>136764</v>
      </c>
      <c r="I842" s="49" t="n">
        <v>136426</v>
      </c>
      <c r="J842" s="49" t="n">
        <v>27069</v>
      </c>
      <c r="K842" s="49" t="n">
        <v>26740</v>
      </c>
      <c r="L842" s="50" t="n">
        <v>9.7</v>
      </c>
      <c r="M842" s="51" t="n">
        <f aca="false">G842-F842</f>
        <v>-260</v>
      </c>
      <c r="N842" s="52" t="n">
        <f aca="false">IF(F842=0,0,M842/F842)</f>
        <v>-0.00128228522955372</v>
      </c>
      <c r="O842" s="51" t="n">
        <f aca="false">G842-I842</f>
        <v>66077</v>
      </c>
      <c r="P842" s="51" t="n">
        <f aca="false">F842-H842</f>
        <v>65999</v>
      </c>
      <c r="Q842" s="51" t="n">
        <f aca="false">F842-H842-J842</f>
        <v>38930</v>
      </c>
      <c r="R842" s="51" t="n">
        <f aca="false">G842-I842-K842</f>
        <v>39337</v>
      </c>
      <c r="S842" s="51" t="n">
        <f aca="false">R842-Q842</f>
        <v>407</v>
      </c>
      <c r="T842" s="52" t="n">
        <f aca="false">IF(Q842=0,0,S842/Q842)</f>
        <v>0.0104546622142307</v>
      </c>
      <c r="U842" s="51" t="str">
        <f aca="false">IF(AND(Q842&gt;0,T842&lt;-0.15),"ADVERSE","")</f>
        <v/>
      </c>
    </row>
    <row r="843" customFormat="false" ht="15" hidden="false" customHeight="false" outlineLevel="0" collapsed="false">
      <c r="A843" s="47" t="s">
        <v>134</v>
      </c>
      <c r="B843" s="47" t="s">
        <v>138</v>
      </c>
      <c r="C843" s="48" t="n">
        <v>45292</v>
      </c>
      <c r="D843" s="47" t="s">
        <v>36</v>
      </c>
      <c r="E843" s="47" t="s">
        <v>45</v>
      </c>
      <c r="F843" s="49" t="n">
        <v>196442</v>
      </c>
      <c r="G843" s="49" t="n">
        <v>201219</v>
      </c>
      <c r="H843" s="49" t="n">
        <v>132500</v>
      </c>
      <c r="I843" s="49" t="n">
        <v>135496</v>
      </c>
      <c r="J843" s="49" t="n">
        <v>26225</v>
      </c>
      <c r="K843" s="49" t="n">
        <v>26354</v>
      </c>
      <c r="L843" s="50" t="n">
        <v>9.8</v>
      </c>
      <c r="M843" s="51" t="n">
        <f aca="false">G843-F843</f>
        <v>4777</v>
      </c>
      <c r="N843" s="52" t="n">
        <f aca="false">IF(F843=0,0,M843/F843)</f>
        <v>0.0243176102870058</v>
      </c>
      <c r="O843" s="51" t="n">
        <f aca="false">G843-I843</f>
        <v>65723</v>
      </c>
      <c r="P843" s="51" t="n">
        <f aca="false">F843-H843</f>
        <v>63942</v>
      </c>
      <c r="Q843" s="51" t="n">
        <f aca="false">F843-H843-J843</f>
        <v>37717</v>
      </c>
      <c r="R843" s="51" t="n">
        <f aca="false">G843-I843-K843</f>
        <v>39369</v>
      </c>
      <c r="S843" s="51" t="n">
        <f aca="false">R843-Q843</f>
        <v>1652</v>
      </c>
      <c r="T843" s="52" t="n">
        <f aca="false">IF(Q843=0,0,S843/Q843)</f>
        <v>0.0437998780390805</v>
      </c>
      <c r="U843" s="51" t="str">
        <f aca="false">IF(AND(Q843&gt;0,T843&lt;-0.15),"ADVERSE","")</f>
        <v/>
      </c>
    </row>
    <row r="844" customFormat="false" ht="15" hidden="false" customHeight="false" outlineLevel="0" collapsed="false">
      <c r="A844" s="47" t="s">
        <v>134</v>
      </c>
      <c r="B844" s="47" t="s">
        <v>138</v>
      </c>
      <c r="C844" s="48" t="n">
        <v>45323</v>
      </c>
      <c r="D844" s="47" t="s">
        <v>36</v>
      </c>
      <c r="E844" s="47" t="s">
        <v>45</v>
      </c>
      <c r="F844" s="49" t="n">
        <v>196154</v>
      </c>
      <c r="G844" s="49" t="n">
        <v>204117</v>
      </c>
      <c r="H844" s="49" t="n">
        <v>132306</v>
      </c>
      <c r="I844" s="49" t="n">
        <v>138106</v>
      </c>
      <c r="J844" s="49" t="n">
        <v>26187</v>
      </c>
      <c r="K844" s="49" t="n">
        <v>28347</v>
      </c>
      <c r="L844" s="50" t="n">
        <v>9.8</v>
      </c>
      <c r="M844" s="51" t="n">
        <f aca="false">G844-F844</f>
        <v>7963</v>
      </c>
      <c r="N844" s="52" t="n">
        <f aca="false">IF(F844=0,0,M844/F844)</f>
        <v>0.0405956544347808</v>
      </c>
      <c r="O844" s="51" t="n">
        <f aca="false">G844-I844</f>
        <v>66011</v>
      </c>
      <c r="P844" s="51" t="n">
        <f aca="false">F844-H844</f>
        <v>63848</v>
      </c>
      <c r="Q844" s="51" t="n">
        <f aca="false">F844-H844-J844</f>
        <v>37661</v>
      </c>
      <c r="R844" s="51" t="n">
        <f aca="false">G844-I844-K844</f>
        <v>37664</v>
      </c>
      <c r="S844" s="51" t="n">
        <f aca="false">R844-Q844</f>
        <v>3</v>
      </c>
      <c r="T844" s="52" t="n">
        <f aca="false">IF(Q844=0,0,S844/Q844)</f>
        <v>7.96580016462654E-005</v>
      </c>
      <c r="U844" s="51" t="str">
        <f aca="false">IF(AND(Q844&gt;0,T844&lt;-0.15),"ADVERSE","")</f>
        <v/>
      </c>
    </row>
    <row r="845" customFormat="false" ht="15" hidden="false" customHeight="false" outlineLevel="0" collapsed="false">
      <c r="A845" s="47" t="s">
        <v>134</v>
      </c>
      <c r="B845" s="47" t="s">
        <v>138</v>
      </c>
      <c r="C845" s="48" t="n">
        <v>45352</v>
      </c>
      <c r="D845" s="47" t="s">
        <v>36</v>
      </c>
      <c r="E845" s="47" t="s">
        <v>45</v>
      </c>
      <c r="F845" s="49" t="n">
        <v>218901</v>
      </c>
      <c r="G845" s="49" t="n">
        <v>212377</v>
      </c>
      <c r="H845" s="49" t="n">
        <v>147649</v>
      </c>
      <c r="I845" s="49" t="n">
        <v>145027</v>
      </c>
      <c r="J845" s="49" t="n">
        <v>29223</v>
      </c>
      <c r="K845" s="49" t="n">
        <v>27523</v>
      </c>
      <c r="L845" s="50" t="n">
        <v>9.9</v>
      </c>
      <c r="M845" s="51" t="n">
        <f aca="false">G845-F845</f>
        <v>-6524</v>
      </c>
      <c r="N845" s="52" t="n">
        <f aca="false">IF(F845=0,0,M845/F845)</f>
        <v>-0.0298034271200223</v>
      </c>
      <c r="O845" s="51" t="n">
        <f aca="false">G845-I845</f>
        <v>67350</v>
      </c>
      <c r="P845" s="51" t="n">
        <f aca="false">F845-H845</f>
        <v>71252</v>
      </c>
      <c r="Q845" s="51" t="n">
        <f aca="false">F845-H845-J845</f>
        <v>42029</v>
      </c>
      <c r="R845" s="51" t="n">
        <f aca="false">G845-I845-K845</f>
        <v>39827</v>
      </c>
      <c r="S845" s="51" t="n">
        <f aca="false">R845-Q845</f>
        <v>-2202</v>
      </c>
      <c r="T845" s="52" t="n">
        <f aca="false">IF(Q845=0,0,S845/Q845)</f>
        <v>-0.0523923957267601</v>
      </c>
      <c r="U845" s="51" t="str">
        <f aca="false">IF(AND(Q845&gt;0,T845&lt;-0.15),"ADVERSE","")</f>
        <v/>
      </c>
    </row>
    <row r="846" customFormat="false" ht="15" hidden="false" customHeight="false" outlineLevel="0" collapsed="false">
      <c r="A846" s="47" t="s">
        <v>139</v>
      </c>
      <c r="B846" s="47" t="s">
        <v>135</v>
      </c>
      <c r="C846" s="48" t="n">
        <v>45383</v>
      </c>
      <c r="D846" s="47" t="s">
        <v>36</v>
      </c>
      <c r="E846" s="47" t="s">
        <v>45</v>
      </c>
      <c r="F846" s="49" t="n">
        <v>204930</v>
      </c>
      <c r="G846" s="49" t="n">
        <v>206810</v>
      </c>
      <c r="H846" s="49" t="n">
        <v>138225</v>
      </c>
      <c r="I846" s="49" t="n">
        <v>142641</v>
      </c>
      <c r="J846" s="49" t="n">
        <v>27358</v>
      </c>
      <c r="K846" s="49" t="n">
        <v>26175</v>
      </c>
      <c r="L846" s="50" t="n">
        <v>9.8</v>
      </c>
      <c r="M846" s="51" t="n">
        <f aca="false">G846-F846</f>
        <v>1880</v>
      </c>
      <c r="N846" s="52" t="n">
        <f aca="false">IF(F846=0,0,M846/F846)</f>
        <v>0.00917386424632801</v>
      </c>
      <c r="O846" s="51" t="n">
        <f aca="false">G846-I846</f>
        <v>64169</v>
      </c>
      <c r="P846" s="51" t="n">
        <f aca="false">F846-H846</f>
        <v>66705</v>
      </c>
      <c r="Q846" s="51" t="n">
        <f aca="false">F846-H846-J846</f>
        <v>39347</v>
      </c>
      <c r="R846" s="51" t="n">
        <f aca="false">G846-I846-K846</f>
        <v>37994</v>
      </c>
      <c r="S846" s="51" t="n">
        <f aca="false">R846-Q846</f>
        <v>-1353</v>
      </c>
      <c r="T846" s="52" t="n">
        <f aca="false">IF(Q846=0,0,S846/Q846)</f>
        <v>-0.0343863572826391</v>
      </c>
      <c r="U846" s="51" t="str">
        <f aca="false">IF(AND(Q846&gt;0,T846&lt;-0.15),"ADVERSE","")</f>
        <v/>
      </c>
    </row>
    <row r="847" customFormat="false" ht="15" hidden="false" customHeight="false" outlineLevel="0" collapsed="false">
      <c r="A847" s="47" t="s">
        <v>139</v>
      </c>
      <c r="B847" s="47" t="s">
        <v>135</v>
      </c>
      <c r="C847" s="48" t="n">
        <v>45413</v>
      </c>
      <c r="D847" s="47" t="s">
        <v>36</v>
      </c>
      <c r="E847" s="47" t="s">
        <v>45</v>
      </c>
      <c r="F847" s="49" t="n">
        <v>208901</v>
      </c>
      <c r="G847" s="49" t="n">
        <v>192819</v>
      </c>
      <c r="H847" s="49" t="n">
        <v>140904</v>
      </c>
      <c r="I847" s="49" t="n">
        <v>136128</v>
      </c>
      <c r="J847" s="49" t="n">
        <v>27888</v>
      </c>
      <c r="K847" s="49" t="n">
        <v>25297</v>
      </c>
      <c r="L847" s="50" t="n">
        <v>9.7</v>
      </c>
      <c r="M847" s="51" t="n">
        <f aca="false">G847-F847</f>
        <v>-16082</v>
      </c>
      <c r="N847" s="52" t="n">
        <f aca="false">IF(F847=0,0,M847/F847)</f>
        <v>-0.0769838344478964</v>
      </c>
      <c r="O847" s="51" t="n">
        <f aca="false">G847-I847</f>
        <v>56691</v>
      </c>
      <c r="P847" s="51" t="n">
        <f aca="false">F847-H847</f>
        <v>67997</v>
      </c>
      <c r="Q847" s="51" t="n">
        <f aca="false">F847-H847-J847</f>
        <v>40109</v>
      </c>
      <c r="R847" s="51" t="n">
        <f aca="false">G847-I847-K847</f>
        <v>31394</v>
      </c>
      <c r="S847" s="51" t="n">
        <f aca="false">R847-Q847</f>
        <v>-8715</v>
      </c>
      <c r="T847" s="52" t="n">
        <f aca="false">IF(Q847=0,0,S847/Q847)</f>
        <v>-0.217282904086365</v>
      </c>
      <c r="U847" s="51" t="str">
        <f aca="false">IF(AND(Q847&gt;0,T847&lt;-0.15),"ADVERSE","")</f>
        <v>ADVERSE</v>
      </c>
    </row>
    <row r="848" customFormat="false" ht="15" hidden="false" customHeight="false" outlineLevel="0" collapsed="false">
      <c r="A848" s="47" t="s">
        <v>139</v>
      </c>
      <c r="B848" s="47" t="s">
        <v>135</v>
      </c>
      <c r="C848" s="48" t="n">
        <v>45444</v>
      </c>
      <c r="D848" s="47" t="s">
        <v>36</v>
      </c>
      <c r="E848" s="47" t="s">
        <v>45</v>
      </c>
      <c r="F848" s="49" t="n">
        <v>210497</v>
      </c>
      <c r="G848" s="49" t="n">
        <v>196091</v>
      </c>
      <c r="H848" s="49" t="n">
        <v>141980</v>
      </c>
      <c r="I848" s="49" t="n">
        <v>136352</v>
      </c>
      <c r="J848" s="49" t="n">
        <v>28101</v>
      </c>
      <c r="K848" s="49" t="n">
        <v>26524</v>
      </c>
      <c r="L848" s="50" t="n">
        <v>9.6</v>
      </c>
      <c r="M848" s="51" t="n">
        <f aca="false">G848-F848</f>
        <v>-14406</v>
      </c>
      <c r="N848" s="52" t="n">
        <f aca="false">IF(F848=0,0,M848/F848)</f>
        <v>-0.0684380299956769</v>
      </c>
      <c r="O848" s="51" t="n">
        <f aca="false">G848-I848</f>
        <v>59739</v>
      </c>
      <c r="P848" s="51" t="n">
        <f aca="false">F848-H848</f>
        <v>68517</v>
      </c>
      <c r="Q848" s="51" t="n">
        <f aca="false">F848-H848-J848</f>
        <v>40416</v>
      </c>
      <c r="R848" s="51" t="n">
        <f aca="false">G848-I848-K848</f>
        <v>33215</v>
      </c>
      <c r="S848" s="51" t="n">
        <f aca="false">R848-Q848</f>
        <v>-7201</v>
      </c>
      <c r="T848" s="52" t="n">
        <f aca="false">IF(Q848=0,0,S848/Q848)</f>
        <v>-0.178172011084719</v>
      </c>
      <c r="U848" s="51" t="str">
        <f aca="false">IF(AND(Q848&gt;0,T848&lt;-0.15),"ADVERSE","")</f>
        <v>ADVERSE</v>
      </c>
    </row>
    <row r="849" customFormat="false" ht="15" hidden="false" customHeight="false" outlineLevel="0" collapsed="false">
      <c r="A849" s="47" t="s">
        <v>139</v>
      </c>
      <c r="B849" s="47" t="s">
        <v>136</v>
      </c>
      <c r="C849" s="48" t="n">
        <v>45474</v>
      </c>
      <c r="D849" s="47" t="s">
        <v>36</v>
      </c>
      <c r="E849" s="47" t="s">
        <v>45</v>
      </c>
      <c r="F849" s="49" t="n">
        <v>214671</v>
      </c>
      <c r="G849" s="49" t="n">
        <v>208445</v>
      </c>
      <c r="H849" s="49" t="n">
        <v>144795</v>
      </c>
      <c r="I849" s="49" t="n">
        <v>144208</v>
      </c>
      <c r="J849" s="49" t="n">
        <v>28659</v>
      </c>
      <c r="K849" s="49" t="n">
        <v>27512</v>
      </c>
      <c r="L849" s="50" t="n">
        <v>9.9</v>
      </c>
      <c r="M849" s="51" t="n">
        <f aca="false">G849-F849</f>
        <v>-6226</v>
      </c>
      <c r="N849" s="52" t="n">
        <f aca="false">IF(F849=0,0,M849/F849)</f>
        <v>-0.0290025201354631</v>
      </c>
      <c r="O849" s="51" t="n">
        <f aca="false">G849-I849</f>
        <v>64237</v>
      </c>
      <c r="P849" s="51" t="n">
        <f aca="false">F849-H849</f>
        <v>69876</v>
      </c>
      <c r="Q849" s="51" t="n">
        <f aca="false">F849-H849-J849</f>
        <v>41217</v>
      </c>
      <c r="R849" s="51" t="n">
        <f aca="false">G849-I849-K849</f>
        <v>36725</v>
      </c>
      <c r="S849" s="51" t="n">
        <f aca="false">R849-Q849</f>
        <v>-4492</v>
      </c>
      <c r="T849" s="52" t="n">
        <f aca="false">IF(Q849=0,0,S849/Q849)</f>
        <v>-0.108984157022588</v>
      </c>
      <c r="U849" s="51" t="str">
        <f aca="false">IF(AND(Q849&gt;0,T849&lt;-0.15),"ADVERSE","")</f>
        <v/>
      </c>
    </row>
    <row r="850" customFormat="false" ht="15" hidden="false" customHeight="false" outlineLevel="0" collapsed="false">
      <c r="A850" s="47" t="s">
        <v>139</v>
      </c>
      <c r="B850" s="47" t="s">
        <v>136</v>
      </c>
      <c r="C850" s="48" t="n">
        <v>45505</v>
      </c>
      <c r="D850" s="47" t="s">
        <v>36</v>
      </c>
      <c r="E850" s="47" t="s">
        <v>45</v>
      </c>
      <c r="F850" s="49" t="n">
        <v>204196</v>
      </c>
      <c r="G850" s="49" t="n">
        <v>201580</v>
      </c>
      <c r="H850" s="49" t="n">
        <v>137731</v>
      </c>
      <c r="I850" s="49" t="n">
        <v>136787</v>
      </c>
      <c r="J850" s="49" t="n">
        <v>27260</v>
      </c>
      <c r="K850" s="49" t="n">
        <v>28799</v>
      </c>
      <c r="L850" s="50" t="n">
        <v>9.9</v>
      </c>
      <c r="M850" s="51" t="n">
        <f aca="false">G850-F850</f>
        <v>-2616</v>
      </c>
      <c r="N850" s="52" t="n">
        <f aca="false">IF(F850=0,0,M850/F850)</f>
        <v>-0.0128112205919803</v>
      </c>
      <c r="O850" s="51" t="n">
        <f aca="false">G850-I850</f>
        <v>64793</v>
      </c>
      <c r="P850" s="51" t="n">
        <f aca="false">F850-H850</f>
        <v>66465</v>
      </c>
      <c r="Q850" s="51" t="n">
        <f aca="false">F850-H850-J850</f>
        <v>39205</v>
      </c>
      <c r="R850" s="51" t="n">
        <f aca="false">G850-I850-K850</f>
        <v>35994</v>
      </c>
      <c r="S850" s="51" t="n">
        <f aca="false">R850-Q850</f>
        <v>-3211</v>
      </c>
      <c r="T850" s="52" t="n">
        <f aca="false">IF(Q850=0,0,S850/Q850)</f>
        <v>-0.0819028185180462</v>
      </c>
      <c r="U850" s="51" t="str">
        <f aca="false">IF(AND(Q850&gt;0,T850&lt;-0.15),"ADVERSE","")</f>
        <v/>
      </c>
    </row>
    <row r="851" customFormat="false" ht="15" hidden="false" customHeight="false" outlineLevel="0" collapsed="false">
      <c r="A851" s="47" t="s">
        <v>139</v>
      </c>
      <c r="B851" s="47" t="s">
        <v>136</v>
      </c>
      <c r="C851" s="48" t="n">
        <v>45536</v>
      </c>
      <c r="D851" s="47" t="s">
        <v>36</v>
      </c>
      <c r="E851" s="47" t="s">
        <v>45</v>
      </c>
      <c r="F851" s="49" t="n">
        <v>212627</v>
      </c>
      <c r="G851" s="49" t="n">
        <v>208171</v>
      </c>
      <c r="H851" s="49" t="n">
        <v>143417</v>
      </c>
      <c r="I851" s="49" t="n">
        <v>140273</v>
      </c>
      <c r="J851" s="49" t="n">
        <v>28386</v>
      </c>
      <c r="K851" s="49" t="n">
        <v>27757</v>
      </c>
      <c r="L851" s="50" t="n">
        <v>9.9</v>
      </c>
      <c r="M851" s="51" t="n">
        <f aca="false">G851-F851</f>
        <v>-4456</v>
      </c>
      <c r="N851" s="52" t="n">
        <f aca="false">IF(F851=0,0,M851/F851)</f>
        <v>-0.0209568869428624</v>
      </c>
      <c r="O851" s="51" t="n">
        <f aca="false">G851-I851</f>
        <v>67898</v>
      </c>
      <c r="P851" s="51" t="n">
        <f aca="false">F851-H851</f>
        <v>69210</v>
      </c>
      <c r="Q851" s="51" t="n">
        <f aca="false">F851-H851-J851</f>
        <v>40824</v>
      </c>
      <c r="R851" s="51" t="n">
        <f aca="false">G851-I851-K851</f>
        <v>40141</v>
      </c>
      <c r="S851" s="51" t="n">
        <f aca="false">R851-Q851</f>
        <v>-683</v>
      </c>
      <c r="T851" s="52" t="n">
        <f aca="false">IF(Q851=0,0,S851/Q851)</f>
        <v>-0.0167303546933177</v>
      </c>
      <c r="U851" s="51" t="str">
        <f aca="false">IF(AND(Q851&gt;0,T851&lt;-0.15),"ADVERSE","")</f>
        <v/>
      </c>
    </row>
    <row r="852" customFormat="false" ht="15" hidden="false" customHeight="false" outlineLevel="0" collapsed="false">
      <c r="A852" s="47" t="s">
        <v>139</v>
      </c>
      <c r="B852" s="47" t="s">
        <v>137</v>
      </c>
      <c r="C852" s="48" t="n">
        <v>45566</v>
      </c>
      <c r="D852" s="47" t="s">
        <v>36</v>
      </c>
      <c r="E852" s="47" t="s">
        <v>45</v>
      </c>
      <c r="F852" s="49" t="n">
        <v>222083</v>
      </c>
      <c r="G852" s="49" t="n">
        <v>218890</v>
      </c>
      <c r="H852" s="49" t="n">
        <v>149795</v>
      </c>
      <c r="I852" s="49" t="n">
        <v>151065</v>
      </c>
      <c r="J852" s="49" t="n">
        <v>29648</v>
      </c>
      <c r="K852" s="49" t="n">
        <v>30341</v>
      </c>
      <c r="L852" s="50" t="n">
        <v>9.8</v>
      </c>
      <c r="M852" s="51" t="n">
        <f aca="false">G852-F852</f>
        <v>-3193</v>
      </c>
      <c r="N852" s="52" t="n">
        <f aca="false">IF(F852=0,0,M852/F852)</f>
        <v>-0.014377507508454</v>
      </c>
      <c r="O852" s="51" t="n">
        <f aca="false">G852-I852</f>
        <v>67825</v>
      </c>
      <c r="P852" s="51" t="n">
        <f aca="false">F852-H852</f>
        <v>72288</v>
      </c>
      <c r="Q852" s="51" t="n">
        <f aca="false">F852-H852-J852</f>
        <v>42640</v>
      </c>
      <c r="R852" s="51" t="n">
        <f aca="false">G852-I852-K852</f>
        <v>37484</v>
      </c>
      <c r="S852" s="51" t="n">
        <f aca="false">R852-Q852</f>
        <v>-5156</v>
      </c>
      <c r="T852" s="52" t="n">
        <f aca="false">IF(Q852=0,0,S852/Q852)</f>
        <v>-0.120919324577861</v>
      </c>
      <c r="U852" s="51" t="str">
        <f aca="false">IF(AND(Q852&gt;0,T852&lt;-0.15),"ADVERSE","")</f>
        <v/>
      </c>
    </row>
    <row r="853" customFormat="false" ht="15" hidden="false" customHeight="false" outlineLevel="0" collapsed="false">
      <c r="A853" s="47" t="s">
        <v>139</v>
      </c>
      <c r="B853" s="47" t="s">
        <v>137</v>
      </c>
      <c r="C853" s="48" t="n">
        <v>45597</v>
      </c>
      <c r="D853" s="47" t="s">
        <v>36</v>
      </c>
      <c r="E853" s="47" t="s">
        <v>45</v>
      </c>
      <c r="F853" s="49" t="n">
        <v>216264</v>
      </c>
      <c r="G853" s="49" t="n">
        <v>222295</v>
      </c>
      <c r="H853" s="49" t="n">
        <v>145870</v>
      </c>
      <c r="I853" s="49" t="n">
        <v>153349</v>
      </c>
      <c r="J853" s="49" t="n">
        <v>28871</v>
      </c>
      <c r="K853" s="49" t="n">
        <v>29691</v>
      </c>
      <c r="L853" s="50" t="n">
        <v>10.1</v>
      </c>
      <c r="M853" s="51" t="n">
        <f aca="false">G853-F853</f>
        <v>6031</v>
      </c>
      <c r="N853" s="52" t="n">
        <f aca="false">IF(F853=0,0,M853/F853)</f>
        <v>0.0278872119261643</v>
      </c>
      <c r="O853" s="51" t="n">
        <f aca="false">G853-I853</f>
        <v>68946</v>
      </c>
      <c r="P853" s="51" t="n">
        <f aca="false">F853-H853</f>
        <v>70394</v>
      </c>
      <c r="Q853" s="51" t="n">
        <f aca="false">F853-H853-J853</f>
        <v>41523</v>
      </c>
      <c r="R853" s="51" t="n">
        <f aca="false">G853-I853-K853</f>
        <v>39255</v>
      </c>
      <c r="S853" s="51" t="n">
        <f aca="false">R853-Q853</f>
        <v>-2268</v>
      </c>
      <c r="T853" s="52" t="n">
        <f aca="false">IF(Q853=0,0,S853/Q853)</f>
        <v>-0.0546203309009465</v>
      </c>
      <c r="U853" s="51" t="str">
        <f aca="false">IF(AND(Q853&gt;0,T853&lt;-0.15),"ADVERSE","")</f>
        <v/>
      </c>
    </row>
    <row r="854" customFormat="false" ht="15" hidden="false" customHeight="false" outlineLevel="0" collapsed="false">
      <c r="A854" s="47" t="s">
        <v>139</v>
      </c>
      <c r="B854" s="47" t="s">
        <v>137</v>
      </c>
      <c r="C854" s="48" t="n">
        <v>45627</v>
      </c>
      <c r="D854" s="47" t="s">
        <v>36</v>
      </c>
      <c r="E854" s="47" t="s">
        <v>45</v>
      </c>
      <c r="F854" s="49" t="n">
        <v>216414</v>
      </c>
      <c r="G854" s="49" t="n">
        <v>207028</v>
      </c>
      <c r="H854" s="49" t="n">
        <v>145971</v>
      </c>
      <c r="I854" s="49" t="n">
        <v>141101</v>
      </c>
      <c r="J854" s="49" t="n">
        <v>28891</v>
      </c>
      <c r="K854" s="49" t="n">
        <v>29473</v>
      </c>
      <c r="L854" s="50" t="n">
        <v>10.1</v>
      </c>
      <c r="M854" s="51" t="n">
        <f aca="false">G854-F854</f>
        <v>-9386</v>
      </c>
      <c r="N854" s="52" t="n">
        <f aca="false">IF(F854=0,0,M854/F854)</f>
        <v>-0.0433705767649043</v>
      </c>
      <c r="O854" s="51" t="n">
        <f aca="false">G854-I854</f>
        <v>65927</v>
      </c>
      <c r="P854" s="51" t="n">
        <f aca="false">F854-H854</f>
        <v>70443</v>
      </c>
      <c r="Q854" s="51" t="n">
        <f aca="false">F854-H854-J854</f>
        <v>41552</v>
      </c>
      <c r="R854" s="51" t="n">
        <f aca="false">G854-I854-K854</f>
        <v>36454</v>
      </c>
      <c r="S854" s="51" t="n">
        <f aca="false">R854-Q854</f>
        <v>-5098</v>
      </c>
      <c r="T854" s="52" t="n">
        <f aca="false">IF(Q854=0,0,S854/Q854)</f>
        <v>-0.122689641894494</v>
      </c>
      <c r="U854" s="51" t="str">
        <f aca="false">IF(AND(Q854&gt;0,T854&lt;-0.15),"ADVERSE","")</f>
        <v/>
      </c>
    </row>
    <row r="855" customFormat="false" ht="15" hidden="false" customHeight="false" outlineLevel="0" collapsed="false">
      <c r="A855" s="47" t="s">
        <v>139</v>
      </c>
      <c r="B855" s="47" t="s">
        <v>138</v>
      </c>
      <c r="C855" s="48" t="n">
        <v>45658</v>
      </c>
      <c r="D855" s="47" t="s">
        <v>36</v>
      </c>
      <c r="E855" s="47" t="s">
        <v>45</v>
      </c>
      <c r="F855" s="49" t="n">
        <v>208489</v>
      </c>
      <c r="G855" s="49" t="n">
        <v>213293</v>
      </c>
      <c r="H855" s="49" t="n">
        <v>140626</v>
      </c>
      <c r="I855" s="49" t="n">
        <v>148166</v>
      </c>
      <c r="J855" s="49" t="n">
        <v>27833</v>
      </c>
      <c r="K855" s="49" t="n">
        <v>29771</v>
      </c>
      <c r="L855" s="50" t="n">
        <v>10.1</v>
      </c>
      <c r="M855" s="51" t="n">
        <f aca="false">G855-F855</f>
        <v>4804</v>
      </c>
      <c r="N855" s="52" t="n">
        <f aca="false">IF(F855=0,0,M855/F855)</f>
        <v>0.0230419830302798</v>
      </c>
      <c r="O855" s="51" t="n">
        <f aca="false">G855-I855</f>
        <v>65127</v>
      </c>
      <c r="P855" s="51" t="n">
        <f aca="false">F855-H855</f>
        <v>67863</v>
      </c>
      <c r="Q855" s="51" t="n">
        <f aca="false">F855-H855-J855</f>
        <v>40030</v>
      </c>
      <c r="R855" s="51" t="n">
        <f aca="false">G855-I855-K855</f>
        <v>35356</v>
      </c>
      <c r="S855" s="51" t="n">
        <f aca="false">R855-Q855</f>
        <v>-4674</v>
      </c>
      <c r="T855" s="52" t="n">
        <f aca="false">IF(Q855=0,0,S855/Q855)</f>
        <v>-0.116762428178866</v>
      </c>
      <c r="U855" s="51" t="str">
        <f aca="false">IF(AND(Q855&gt;0,T855&lt;-0.15),"ADVERSE","")</f>
        <v/>
      </c>
    </row>
    <row r="856" customFormat="false" ht="15" hidden="false" customHeight="false" outlineLevel="0" collapsed="false">
      <c r="A856" s="47" t="s">
        <v>139</v>
      </c>
      <c r="B856" s="47" t="s">
        <v>138</v>
      </c>
      <c r="C856" s="48" t="n">
        <v>45689</v>
      </c>
      <c r="D856" s="47" t="s">
        <v>36</v>
      </c>
      <c r="E856" s="47" t="s">
        <v>45</v>
      </c>
      <c r="F856" s="49" t="n">
        <v>212377</v>
      </c>
      <c r="G856" s="49" t="n">
        <v>210054</v>
      </c>
      <c r="H856" s="49" t="n">
        <v>143249</v>
      </c>
      <c r="I856" s="49" t="n">
        <v>146377</v>
      </c>
      <c r="J856" s="49" t="n">
        <v>28352</v>
      </c>
      <c r="K856" s="49" t="n">
        <v>25047</v>
      </c>
      <c r="L856" s="50" t="n">
        <v>9.9</v>
      </c>
      <c r="M856" s="51" t="n">
        <f aca="false">G856-F856</f>
        <v>-2323</v>
      </c>
      <c r="N856" s="52" t="n">
        <f aca="false">IF(F856=0,0,M856/F856)</f>
        <v>-0.0109380959331754</v>
      </c>
      <c r="O856" s="51" t="n">
        <f aca="false">G856-I856</f>
        <v>63677</v>
      </c>
      <c r="P856" s="51" t="n">
        <f aca="false">F856-H856</f>
        <v>69128</v>
      </c>
      <c r="Q856" s="51" t="n">
        <f aca="false">F856-H856-J856</f>
        <v>40776</v>
      </c>
      <c r="R856" s="51" t="n">
        <f aca="false">G856-I856-K856</f>
        <v>38630</v>
      </c>
      <c r="S856" s="51" t="n">
        <f aca="false">R856-Q856</f>
        <v>-2146</v>
      </c>
      <c r="T856" s="52" t="n">
        <f aca="false">IF(Q856=0,0,S856/Q856)</f>
        <v>-0.0526289974494801</v>
      </c>
      <c r="U856" s="51" t="str">
        <f aca="false">IF(AND(Q856&gt;0,T856&lt;-0.15),"ADVERSE","")</f>
        <v/>
      </c>
    </row>
    <row r="857" customFormat="false" ht="15" hidden="false" customHeight="false" outlineLevel="0" collapsed="false">
      <c r="A857" s="47" t="s">
        <v>139</v>
      </c>
      <c r="B857" s="47" t="s">
        <v>138</v>
      </c>
      <c r="C857" s="48" t="n">
        <v>45717</v>
      </c>
      <c r="D857" s="47" t="s">
        <v>36</v>
      </c>
      <c r="E857" s="47" t="s">
        <v>45</v>
      </c>
      <c r="F857" s="49" t="n">
        <v>232709</v>
      </c>
      <c r="G857" s="49" t="n">
        <v>215282</v>
      </c>
      <c r="H857" s="49" t="n">
        <v>156962</v>
      </c>
      <c r="I857" s="49" t="n">
        <v>147700</v>
      </c>
      <c r="J857" s="49" t="n">
        <v>31067</v>
      </c>
      <c r="K857" s="49" t="n">
        <v>30124</v>
      </c>
      <c r="L857" s="50" t="n">
        <v>10</v>
      </c>
      <c r="M857" s="51" t="n">
        <f aca="false">G857-F857</f>
        <v>-17427</v>
      </c>
      <c r="N857" s="52" t="n">
        <f aca="false">IF(F857=0,0,M857/F857)</f>
        <v>-0.0748875204654741</v>
      </c>
      <c r="O857" s="51" t="n">
        <f aca="false">G857-I857</f>
        <v>67582</v>
      </c>
      <c r="P857" s="51" t="n">
        <f aca="false">F857-H857</f>
        <v>75747</v>
      </c>
      <c r="Q857" s="51" t="n">
        <f aca="false">F857-H857-J857</f>
        <v>44680</v>
      </c>
      <c r="R857" s="51" t="n">
        <f aca="false">G857-I857-K857</f>
        <v>37458</v>
      </c>
      <c r="S857" s="51" t="n">
        <f aca="false">R857-Q857</f>
        <v>-7222</v>
      </c>
      <c r="T857" s="52" t="n">
        <f aca="false">IF(Q857=0,0,S857/Q857)</f>
        <v>-0.161638316920322</v>
      </c>
      <c r="U857" s="51" t="str">
        <f aca="false">IF(AND(Q857&gt;0,T857&lt;-0.15),"ADVERSE","")</f>
        <v>ADVERSE</v>
      </c>
    </row>
    <row r="858" customFormat="false" ht="15" hidden="false" customHeight="false" outlineLevel="0" collapsed="false">
      <c r="A858" s="47" t="s">
        <v>3</v>
      </c>
      <c r="B858" s="47" t="s">
        <v>135</v>
      </c>
      <c r="C858" s="48" t="n">
        <v>45748</v>
      </c>
      <c r="D858" s="47" t="s">
        <v>36</v>
      </c>
      <c r="E858" s="47" t="s">
        <v>45</v>
      </c>
      <c r="F858" s="49" t="n">
        <v>223790</v>
      </c>
      <c r="G858" s="49" t="n">
        <v>217821</v>
      </c>
      <c r="H858" s="49" t="n">
        <v>150947</v>
      </c>
      <c r="I858" s="49" t="n">
        <v>151968</v>
      </c>
      <c r="J858" s="49" t="n">
        <v>29876</v>
      </c>
      <c r="K858" s="49" t="n">
        <v>30179</v>
      </c>
      <c r="L858" s="50" t="n">
        <v>10</v>
      </c>
      <c r="M858" s="51" t="n">
        <f aca="false">G858-F858</f>
        <v>-5969</v>
      </c>
      <c r="N858" s="52" t="n">
        <f aca="false">IF(F858=0,0,M858/F858)</f>
        <v>-0.0266723267348854</v>
      </c>
      <c r="O858" s="51" t="n">
        <f aca="false">G858-I858</f>
        <v>65853</v>
      </c>
      <c r="P858" s="51" t="n">
        <f aca="false">F858-H858</f>
        <v>72843</v>
      </c>
      <c r="Q858" s="51" t="n">
        <f aca="false">F858-H858-J858</f>
        <v>42967</v>
      </c>
      <c r="R858" s="51" t="n">
        <f aca="false">G858-I858-K858</f>
        <v>35674</v>
      </c>
      <c r="S858" s="51" t="n">
        <f aca="false">R858-Q858</f>
        <v>-7293</v>
      </c>
      <c r="T858" s="52" t="n">
        <f aca="false">IF(Q858=0,0,S858/Q858)</f>
        <v>-0.169734912840087</v>
      </c>
      <c r="U858" s="51" t="str">
        <f aca="false">IF(AND(Q858&gt;0,T858&lt;-0.15),"ADVERSE","")</f>
        <v>ADVERSE</v>
      </c>
    </row>
    <row r="859" customFormat="false" ht="15" hidden="false" customHeight="false" outlineLevel="0" collapsed="false">
      <c r="A859" s="47" t="s">
        <v>3</v>
      </c>
      <c r="B859" s="47" t="s">
        <v>135</v>
      </c>
      <c r="C859" s="48" t="n">
        <v>45778</v>
      </c>
      <c r="D859" s="47" t="s">
        <v>36</v>
      </c>
      <c r="E859" s="47" t="s">
        <v>45</v>
      </c>
      <c r="F859" s="49" t="n">
        <v>221577</v>
      </c>
      <c r="G859" s="49" t="n">
        <v>204833</v>
      </c>
      <c r="H859" s="49" t="n">
        <v>149454</v>
      </c>
      <c r="I859" s="49" t="n">
        <v>145469</v>
      </c>
      <c r="J859" s="49" t="n">
        <v>29581</v>
      </c>
      <c r="K859" s="49" t="n">
        <v>28822</v>
      </c>
      <c r="L859" s="50" t="n">
        <v>9.9</v>
      </c>
      <c r="M859" s="51" t="n">
        <f aca="false">G859-F859</f>
        <v>-16744</v>
      </c>
      <c r="N859" s="52" t="n">
        <f aca="false">IF(F859=0,0,M859/F859)</f>
        <v>-0.075567409974862</v>
      </c>
      <c r="O859" s="51" t="n">
        <f aca="false">G859-I859</f>
        <v>59364</v>
      </c>
      <c r="P859" s="51" t="n">
        <f aca="false">F859-H859</f>
        <v>72123</v>
      </c>
      <c r="Q859" s="51" t="n">
        <f aca="false">F859-H859-J859</f>
        <v>42542</v>
      </c>
      <c r="R859" s="51" t="n">
        <f aca="false">G859-I859-K859</f>
        <v>30542</v>
      </c>
      <c r="S859" s="51" t="n">
        <f aca="false">R859-Q859</f>
        <v>-12000</v>
      </c>
      <c r="T859" s="52" t="n">
        <f aca="false">IF(Q859=0,0,S859/Q859)</f>
        <v>-0.282074185510789</v>
      </c>
      <c r="U859" s="51" t="str">
        <f aca="false">IF(AND(Q859&gt;0,T859&lt;-0.15),"ADVERSE","")</f>
        <v>ADVERSE</v>
      </c>
    </row>
    <row r="860" customFormat="false" ht="15" hidden="false" customHeight="false" outlineLevel="0" collapsed="false">
      <c r="A860" s="47" t="s">
        <v>3</v>
      </c>
      <c r="B860" s="47" t="s">
        <v>135</v>
      </c>
      <c r="C860" s="48" t="n">
        <v>45809</v>
      </c>
      <c r="D860" s="47" t="s">
        <v>36</v>
      </c>
      <c r="E860" s="47" t="s">
        <v>45</v>
      </c>
      <c r="F860" s="49" t="n">
        <v>223841</v>
      </c>
      <c r="G860" s="49" t="n">
        <v>218984</v>
      </c>
      <c r="H860" s="49" t="n">
        <v>150981</v>
      </c>
      <c r="I860" s="49" t="n">
        <v>147509</v>
      </c>
      <c r="J860" s="49" t="n">
        <v>29883</v>
      </c>
      <c r="K860" s="49" t="n">
        <v>28403</v>
      </c>
      <c r="L860" s="50" t="n">
        <v>10</v>
      </c>
      <c r="M860" s="51" t="n">
        <f aca="false">G860-F860</f>
        <v>-4857</v>
      </c>
      <c r="N860" s="52" t="n">
        <f aca="false">IF(F860=0,0,M860/F860)</f>
        <v>-0.0216984377303532</v>
      </c>
      <c r="O860" s="51" t="n">
        <f aca="false">G860-I860</f>
        <v>71475</v>
      </c>
      <c r="P860" s="51" t="n">
        <f aca="false">F860-H860</f>
        <v>72860</v>
      </c>
      <c r="Q860" s="51" t="n">
        <f aca="false">F860-H860-J860</f>
        <v>42977</v>
      </c>
      <c r="R860" s="51" t="n">
        <f aca="false">G860-I860-K860</f>
        <v>43072</v>
      </c>
      <c r="S860" s="51" t="n">
        <f aca="false">R860-Q860</f>
        <v>95</v>
      </c>
      <c r="T860" s="52" t="n">
        <f aca="false">IF(Q860=0,0,S860/Q860)</f>
        <v>0.00221048467785094</v>
      </c>
      <c r="U860" s="51" t="str">
        <f aca="false">IF(AND(Q860&gt;0,T860&lt;-0.15),"ADVERSE","")</f>
        <v/>
      </c>
    </row>
    <row r="861" customFormat="false" ht="15" hidden="false" customHeight="false" outlineLevel="0" collapsed="false">
      <c r="A861" s="47" t="s">
        <v>3</v>
      </c>
      <c r="B861" s="47" t="s">
        <v>136</v>
      </c>
      <c r="C861" s="48" t="n">
        <v>45839</v>
      </c>
      <c r="D861" s="47" t="s">
        <v>36</v>
      </c>
      <c r="E861" s="47" t="s">
        <v>45</v>
      </c>
      <c r="F861" s="49" t="n">
        <v>229028</v>
      </c>
      <c r="G861" s="49" t="n">
        <v>204072</v>
      </c>
      <c r="H861" s="49" t="n">
        <v>154479</v>
      </c>
      <c r="I861" s="49" t="n">
        <v>144258</v>
      </c>
      <c r="J861" s="49" t="n">
        <v>30575</v>
      </c>
      <c r="K861" s="49" t="n">
        <v>27532</v>
      </c>
      <c r="L861" s="50" t="n">
        <v>10.1</v>
      </c>
      <c r="M861" s="51" t="n">
        <f aca="false">G861-F861</f>
        <v>-24956</v>
      </c>
      <c r="N861" s="52" t="n">
        <f aca="false">IF(F861=0,0,M861/F861)</f>
        <v>-0.108964842726654</v>
      </c>
      <c r="O861" s="51" t="n">
        <f aca="false">G861-I861</f>
        <v>59814</v>
      </c>
      <c r="P861" s="51" t="n">
        <f aca="false">F861-H861</f>
        <v>74549</v>
      </c>
      <c r="Q861" s="51" t="n">
        <f aca="false">F861-H861-J861</f>
        <v>43974</v>
      </c>
      <c r="R861" s="51" t="n">
        <f aca="false">G861-I861-K861</f>
        <v>32282</v>
      </c>
      <c r="S861" s="51" t="n">
        <f aca="false">R861-Q861</f>
        <v>-11692</v>
      </c>
      <c r="T861" s="52" t="n">
        <f aca="false">IF(Q861=0,0,S861/Q861)</f>
        <v>-0.265884386228226</v>
      </c>
      <c r="U861" s="51" t="str">
        <f aca="false">IF(AND(Q861&gt;0,T861&lt;-0.15),"ADVERSE","")</f>
        <v>ADVERSE</v>
      </c>
    </row>
    <row r="862" customFormat="false" ht="15" hidden="false" customHeight="false" outlineLevel="0" collapsed="false">
      <c r="A862" s="47" t="s">
        <v>3</v>
      </c>
      <c r="B862" s="47" t="s">
        <v>136</v>
      </c>
      <c r="C862" s="48" t="n">
        <v>45870</v>
      </c>
      <c r="D862" s="47" t="s">
        <v>36</v>
      </c>
      <c r="E862" s="47" t="s">
        <v>45</v>
      </c>
      <c r="F862" s="49" t="n">
        <v>215128</v>
      </c>
      <c r="G862" s="49" t="n">
        <v>204809</v>
      </c>
      <c r="H862" s="49" t="n">
        <v>145104</v>
      </c>
      <c r="I862" s="49" t="n">
        <v>143253</v>
      </c>
      <c r="J862" s="49" t="n">
        <v>28720</v>
      </c>
      <c r="K862" s="49" t="n">
        <v>26797</v>
      </c>
      <c r="L862" s="50" t="n">
        <v>10.1</v>
      </c>
      <c r="M862" s="51" t="n">
        <f aca="false">G862-F862</f>
        <v>-10319</v>
      </c>
      <c r="N862" s="52" t="n">
        <f aca="false">IF(F862=0,0,M862/F862)</f>
        <v>-0.0479667918634487</v>
      </c>
      <c r="O862" s="51" t="n">
        <f aca="false">G862-I862</f>
        <v>61556</v>
      </c>
      <c r="P862" s="51" t="n">
        <f aca="false">F862-H862</f>
        <v>70024</v>
      </c>
      <c r="Q862" s="51" t="n">
        <f aca="false">F862-H862-J862</f>
        <v>41304</v>
      </c>
      <c r="R862" s="51" t="n">
        <f aca="false">G862-I862-K862</f>
        <v>34759</v>
      </c>
      <c r="S862" s="51" t="n">
        <f aca="false">R862-Q862</f>
        <v>-6545</v>
      </c>
      <c r="T862" s="52" t="n">
        <f aca="false">IF(Q862=0,0,S862/Q862)</f>
        <v>-0.158459229130351</v>
      </c>
      <c r="U862" s="51" t="str">
        <f aca="false">IF(AND(Q862&gt;0,T862&lt;-0.15),"ADVERSE","")</f>
        <v>ADVERSE</v>
      </c>
    </row>
    <row r="863" customFormat="false" ht="15" hidden="false" customHeight="false" outlineLevel="0" collapsed="false">
      <c r="A863" s="47" t="s">
        <v>3</v>
      </c>
      <c r="B863" s="47" t="s">
        <v>136</v>
      </c>
      <c r="C863" s="48" t="n">
        <v>45901</v>
      </c>
      <c r="D863" s="47" t="s">
        <v>36</v>
      </c>
      <c r="E863" s="47" t="s">
        <v>45</v>
      </c>
      <c r="F863" s="49" t="n">
        <v>225964</v>
      </c>
      <c r="G863" s="49" t="n">
        <v>196889</v>
      </c>
      <c r="H863" s="49" t="n">
        <v>152413</v>
      </c>
      <c r="I863" s="49" t="n">
        <v>138167</v>
      </c>
      <c r="J863" s="49" t="n">
        <v>30166</v>
      </c>
      <c r="K863" s="49" t="n">
        <v>28296</v>
      </c>
      <c r="L863" s="50" t="n">
        <v>10.1</v>
      </c>
      <c r="M863" s="51" t="n">
        <f aca="false">G863-F863</f>
        <v>-29075</v>
      </c>
      <c r="N863" s="52" t="n">
        <f aca="false">IF(F863=0,0,M863/F863)</f>
        <v>-0.128670938733604</v>
      </c>
      <c r="O863" s="51" t="n">
        <f aca="false">G863-I863</f>
        <v>58722</v>
      </c>
      <c r="P863" s="51" t="n">
        <f aca="false">F863-H863</f>
        <v>73551</v>
      </c>
      <c r="Q863" s="51" t="n">
        <f aca="false">F863-H863-J863</f>
        <v>43385</v>
      </c>
      <c r="R863" s="51" t="n">
        <f aca="false">G863-I863-K863</f>
        <v>30426</v>
      </c>
      <c r="S863" s="51" t="n">
        <f aca="false">R863-Q863</f>
        <v>-12959</v>
      </c>
      <c r="T863" s="52" t="n">
        <f aca="false">IF(Q863=0,0,S863/Q863)</f>
        <v>-0.298697706580615</v>
      </c>
      <c r="U863" s="51" t="str">
        <f aca="false">IF(AND(Q863&gt;0,T863&lt;-0.15),"ADVERSE","")</f>
        <v>ADVERSE</v>
      </c>
    </row>
    <row r="864" customFormat="false" ht="15" hidden="false" customHeight="false" outlineLevel="0" collapsed="false">
      <c r="A864" s="47" t="s">
        <v>3</v>
      </c>
      <c r="B864" s="47" t="s">
        <v>137</v>
      </c>
      <c r="C864" s="48" t="n">
        <v>45931</v>
      </c>
      <c r="D864" s="47" t="s">
        <v>36</v>
      </c>
      <c r="E864" s="47" t="s">
        <v>45</v>
      </c>
      <c r="F864" s="49" t="n">
        <v>233180</v>
      </c>
      <c r="G864" s="49" t="n">
        <v>208066</v>
      </c>
      <c r="H864" s="49" t="n">
        <v>157280</v>
      </c>
      <c r="I864" s="49" t="n">
        <v>141885</v>
      </c>
      <c r="J864" s="49" t="n">
        <v>31130</v>
      </c>
      <c r="K864" s="49" t="n">
        <v>25797</v>
      </c>
      <c r="L864" s="50" t="n">
        <v>10.1</v>
      </c>
      <c r="M864" s="51" t="n">
        <f aca="false">G864-F864</f>
        <v>-25114</v>
      </c>
      <c r="N864" s="52" t="n">
        <f aca="false">IF(F864=0,0,M864/F864)</f>
        <v>-0.107702204305687</v>
      </c>
      <c r="O864" s="51" t="n">
        <f aca="false">G864-I864</f>
        <v>66181</v>
      </c>
      <c r="P864" s="51" t="n">
        <f aca="false">F864-H864</f>
        <v>75900</v>
      </c>
      <c r="Q864" s="51" t="n">
        <f aca="false">F864-H864-J864</f>
        <v>44770</v>
      </c>
      <c r="R864" s="51" t="n">
        <f aca="false">G864-I864-K864</f>
        <v>40384</v>
      </c>
      <c r="S864" s="51" t="n">
        <f aca="false">R864-Q864</f>
        <v>-4386</v>
      </c>
      <c r="T864" s="52" t="n">
        <f aca="false">IF(Q864=0,0,S864/Q864)</f>
        <v>-0.0979673888764798</v>
      </c>
      <c r="U864" s="51" t="str">
        <f aca="false">IF(AND(Q864&gt;0,T864&lt;-0.15),"ADVERSE","")</f>
        <v/>
      </c>
    </row>
    <row r="865" customFormat="false" ht="15" hidden="false" customHeight="false" outlineLevel="0" collapsed="false">
      <c r="A865" s="47" t="s">
        <v>3</v>
      </c>
      <c r="B865" s="47" t="s">
        <v>137</v>
      </c>
      <c r="C865" s="48" t="n">
        <v>45962</v>
      </c>
      <c r="D865" s="47" t="s">
        <v>36</v>
      </c>
      <c r="E865" s="47" t="s">
        <v>45</v>
      </c>
      <c r="F865" s="49" t="n">
        <v>232123</v>
      </c>
      <c r="G865" s="49" t="n">
        <v>220658</v>
      </c>
      <c r="H865" s="49" t="n">
        <v>156567</v>
      </c>
      <c r="I865" s="49" t="n">
        <v>156041</v>
      </c>
      <c r="J865" s="49" t="n">
        <v>30988</v>
      </c>
      <c r="K865" s="49" t="n">
        <v>30956</v>
      </c>
      <c r="L865" s="50" t="n">
        <v>10.2</v>
      </c>
      <c r="M865" s="51" t="n">
        <f aca="false">G865-F865</f>
        <v>-11465</v>
      </c>
      <c r="N865" s="52" t="n">
        <f aca="false">IF(F865=0,0,M865/F865)</f>
        <v>-0.0493919172163034</v>
      </c>
      <c r="O865" s="51" t="n">
        <f aca="false">G865-I865</f>
        <v>64617</v>
      </c>
      <c r="P865" s="51" t="n">
        <f aca="false">F865-H865</f>
        <v>75556</v>
      </c>
      <c r="Q865" s="51" t="n">
        <f aca="false">F865-H865-J865</f>
        <v>44568</v>
      </c>
      <c r="R865" s="51" t="n">
        <f aca="false">G865-I865-K865</f>
        <v>33661</v>
      </c>
      <c r="S865" s="51" t="n">
        <f aca="false">R865-Q865</f>
        <v>-10907</v>
      </c>
      <c r="T865" s="52" t="n">
        <f aca="false">IF(Q865=0,0,S865/Q865)</f>
        <v>-0.244727158499372</v>
      </c>
      <c r="U865" s="51" t="str">
        <f aca="false">IF(AND(Q865&gt;0,T865&lt;-0.15),"ADVERSE","")</f>
        <v>ADVERSE</v>
      </c>
    </row>
    <row r="866" customFormat="false" ht="15" hidden="false" customHeight="false" outlineLevel="0" collapsed="false">
      <c r="A866" s="47" t="s">
        <v>3</v>
      </c>
      <c r="B866" s="47" t="s">
        <v>137</v>
      </c>
      <c r="C866" s="48" t="n">
        <v>45992</v>
      </c>
      <c r="D866" s="47" t="s">
        <v>36</v>
      </c>
      <c r="E866" s="47" t="s">
        <v>45</v>
      </c>
      <c r="F866" s="49" t="n">
        <v>226214</v>
      </c>
      <c r="G866" s="49" t="n">
        <v>200320</v>
      </c>
      <c r="H866" s="49" t="n">
        <v>152581</v>
      </c>
      <c r="I866" s="49" t="n">
        <v>140004</v>
      </c>
      <c r="J866" s="49" t="n">
        <v>30200</v>
      </c>
      <c r="K866" s="49" t="n">
        <v>25381</v>
      </c>
      <c r="L866" s="50" t="n">
        <v>9.9</v>
      </c>
      <c r="M866" s="51" t="n">
        <f aca="false">G866-F866</f>
        <v>-25894</v>
      </c>
      <c r="N866" s="52" t="n">
        <f aca="false">IF(F866=0,0,M866/F866)</f>
        <v>-0.114466832291547</v>
      </c>
      <c r="O866" s="51" t="n">
        <f aca="false">G866-I866</f>
        <v>60316</v>
      </c>
      <c r="P866" s="51" t="n">
        <f aca="false">F866-H866</f>
        <v>73633</v>
      </c>
      <c r="Q866" s="51" t="n">
        <f aca="false">F866-H866-J866</f>
        <v>43433</v>
      </c>
      <c r="R866" s="51" t="n">
        <f aca="false">G866-I866-K866</f>
        <v>34935</v>
      </c>
      <c r="S866" s="51" t="n">
        <f aca="false">R866-Q866</f>
        <v>-8498</v>
      </c>
      <c r="T866" s="52" t="n">
        <f aca="false">IF(Q866=0,0,S866/Q866)</f>
        <v>-0.19565767964451</v>
      </c>
      <c r="U866" s="51" t="str">
        <f aca="false">IF(AND(Q866&gt;0,T866&lt;-0.15),"ADVERSE","")</f>
        <v>ADVERSE</v>
      </c>
    </row>
    <row r="867" customFormat="false" ht="15" hidden="false" customHeight="false" outlineLevel="0" collapsed="false">
      <c r="A867" s="47" t="s">
        <v>3</v>
      </c>
      <c r="B867" s="47" t="s">
        <v>138</v>
      </c>
      <c r="C867" s="48" t="n">
        <v>46023</v>
      </c>
      <c r="D867" s="47" t="s">
        <v>36</v>
      </c>
      <c r="E867" s="47" t="s">
        <v>45</v>
      </c>
      <c r="F867" s="49" t="n">
        <v>220187</v>
      </c>
      <c r="G867" s="49" t="n">
        <v>195400</v>
      </c>
      <c r="H867" s="49" t="n">
        <v>148516</v>
      </c>
      <c r="I867" s="49" t="n">
        <v>136562</v>
      </c>
      <c r="J867" s="49" t="n">
        <v>29395</v>
      </c>
      <c r="K867" s="49" t="n">
        <v>27848</v>
      </c>
      <c r="L867" s="50" t="n">
        <v>10.1</v>
      </c>
      <c r="M867" s="51" t="n">
        <f aca="false">G867-F867</f>
        <v>-24787</v>
      </c>
      <c r="N867" s="52" t="n">
        <f aca="false">IF(F867=0,0,M867/F867)</f>
        <v>-0.112572495197264</v>
      </c>
      <c r="O867" s="51" t="n">
        <f aca="false">G867-I867</f>
        <v>58838</v>
      </c>
      <c r="P867" s="51" t="n">
        <f aca="false">F867-H867</f>
        <v>71671</v>
      </c>
      <c r="Q867" s="51" t="n">
        <f aca="false">F867-H867-J867</f>
        <v>42276</v>
      </c>
      <c r="R867" s="51" t="n">
        <f aca="false">G867-I867-K867</f>
        <v>30990</v>
      </c>
      <c r="S867" s="51" t="n">
        <f aca="false">R867-Q867</f>
        <v>-11286</v>
      </c>
      <c r="T867" s="52" t="n">
        <f aca="false">IF(Q867=0,0,S867/Q867)</f>
        <v>-0.266959977292081</v>
      </c>
      <c r="U867" s="51" t="str">
        <f aca="false">IF(AND(Q867&gt;0,T867&lt;-0.15),"ADVERSE","")</f>
        <v>ADVERSE</v>
      </c>
    </row>
    <row r="868" customFormat="false" ht="15" hidden="false" customHeight="false" outlineLevel="0" collapsed="false">
      <c r="A868" s="47" t="s">
        <v>3</v>
      </c>
      <c r="B868" s="47" t="s">
        <v>138</v>
      </c>
      <c r="C868" s="48" t="n">
        <v>46054</v>
      </c>
      <c r="D868" s="47" t="s">
        <v>36</v>
      </c>
      <c r="E868" s="47" t="s">
        <v>45</v>
      </c>
      <c r="F868" s="49" t="n">
        <v>222352</v>
      </c>
      <c r="G868" s="49" t="n">
        <v>206316</v>
      </c>
      <c r="H868" s="49" t="n">
        <v>149977</v>
      </c>
      <c r="I868" s="49" t="n">
        <v>146070</v>
      </c>
      <c r="J868" s="49" t="n">
        <v>29684</v>
      </c>
      <c r="K868" s="49" t="n">
        <v>28241</v>
      </c>
      <c r="L868" s="50" t="n">
        <v>10.2</v>
      </c>
      <c r="M868" s="51" t="n">
        <f aca="false">G868-F868</f>
        <v>-16036</v>
      </c>
      <c r="N868" s="52" t="n">
        <f aca="false">IF(F868=0,0,M868/F868)</f>
        <v>-0.0721198819889185</v>
      </c>
      <c r="O868" s="51" t="n">
        <f aca="false">G868-I868</f>
        <v>60246</v>
      </c>
      <c r="P868" s="51" t="n">
        <f aca="false">F868-H868</f>
        <v>72375</v>
      </c>
      <c r="Q868" s="51" t="n">
        <f aca="false">F868-H868-J868</f>
        <v>42691</v>
      </c>
      <c r="R868" s="51" t="n">
        <f aca="false">G868-I868-K868</f>
        <v>32005</v>
      </c>
      <c r="S868" s="51" t="n">
        <f aca="false">R868-Q868</f>
        <v>-10686</v>
      </c>
      <c r="T868" s="52" t="n">
        <f aca="false">IF(Q868=0,0,S868/Q868)</f>
        <v>-0.250310369867185</v>
      </c>
      <c r="U868" s="51" t="str">
        <f aca="false">IF(AND(Q868&gt;0,T868&lt;-0.15),"ADVERSE","")</f>
        <v>ADVERSE</v>
      </c>
    </row>
    <row r="869" customFormat="false" ht="15" hidden="false" customHeight="false" outlineLevel="0" collapsed="false">
      <c r="A869" s="47" t="s">
        <v>3</v>
      </c>
      <c r="B869" s="47" t="s">
        <v>138</v>
      </c>
      <c r="C869" s="48" t="n">
        <v>46082</v>
      </c>
      <c r="D869" s="47" t="s">
        <v>36</v>
      </c>
      <c r="E869" s="47" t="s">
        <v>45</v>
      </c>
      <c r="F869" s="49" t="n">
        <v>240782</v>
      </c>
      <c r="G869" s="49" t="n">
        <v>218074</v>
      </c>
      <c r="H869" s="49" t="n">
        <v>162407</v>
      </c>
      <c r="I869" s="49" t="n">
        <v>152539</v>
      </c>
      <c r="J869" s="49" t="n">
        <v>32144</v>
      </c>
      <c r="K869" s="49" t="n">
        <v>29662</v>
      </c>
      <c r="L869" s="50" t="n">
        <v>10.3</v>
      </c>
      <c r="M869" s="51" t="n">
        <f aca="false">G869-F869</f>
        <v>-22708</v>
      </c>
      <c r="N869" s="52" t="n">
        <f aca="false">IF(F869=0,0,M869/F869)</f>
        <v>-0.094309375285528</v>
      </c>
      <c r="O869" s="51" t="n">
        <f aca="false">G869-I869</f>
        <v>65535</v>
      </c>
      <c r="P869" s="51" t="n">
        <f aca="false">F869-H869</f>
        <v>78375</v>
      </c>
      <c r="Q869" s="51" t="n">
        <f aca="false">F869-H869-J869</f>
        <v>46231</v>
      </c>
      <c r="R869" s="51" t="n">
        <f aca="false">G869-I869-K869</f>
        <v>35873</v>
      </c>
      <c r="S869" s="51" t="n">
        <f aca="false">R869-Q869</f>
        <v>-10358</v>
      </c>
      <c r="T869" s="52" t="n">
        <f aca="false">IF(Q869=0,0,S869/Q869)</f>
        <v>-0.224048798425299</v>
      </c>
      <c r="U869" s="51" t="str">
        <f aca="false">IF(AND(Q869&gt;0,T869&lt;-0.15),"ADVERSE","")</f>
        <v>ADVERSE</v>
      </c>
    </row>
    <row r="870" customFormat="false" ht="15" hidden="false" customHeight="false" outlineLevel="0" collapsed="false">
      <c r="A870" s="47" t="s">
        <v>134</v>
      </c>
      <c r="B870" s="47" t="s">
        <v>135</v>
      </c>
      <c r="C870" s="48" t="n">
        <v>45017</v>
      </c>
      <c r="D870" s="47" t="s">
        <v>37</v>
      </c>
      <c r="E870" s="47" t="s">
        <v>40</v>
      </c>
      <c r="F870" s="49" t="n">
        <v>339238</v>
      </c>
      <c r="G870" s="49" t="n">
        <v>345355</v>
      </c>
      <c r="H870" s="49" t="n">
        <v>203373</v>
      </c>
      <c r="I870" s="49" t="n">
        <v>205924</v>
      </c>
      <c r="J870" s="49" t="n">
        <v>48681</v>
      </c>
      <c r="K870" s="49" t="n">
        <v>52351</v>
      </c>
      <c r="L870" s="50" t="n">
        <v>23</v>
      </c>
      <c r="M870" s="51" t="n">
        <f aca="false">G870-F870</f>
        <v>6117</v>
      </c>
      <c r="N870" s="52" t="n">
        <f aca="false">IF(F870=0,0,M870/F870)</f>
        <v>0.0180315884423325</v>
      </c>
      <c r="O870" s="51" t="n">
        <f aca="false">G870-I870</f>
        <v>139431</v>
      </c>
      <c r="P870" s="51" t="n">
        <f aca="false">F870-H870</f>
        <v>135865</v>
      </c>
      <c r="Q870" s="51" t="n">
        <f aca="false">F870-H870-J870</f>
        <v>87184</v>
      </c>
      <c r="R870" s="51" t="n">
        <f aca="false">G870-I870-K870</f>
        <v>87080</v>
      </c>
      <c r="S870" s="51" t="n">
        <f aca="false">R870-Q870</f>
        <v>-104</v>
      </c>
      <c r="T870" s="52" t="n">
        <f aca="false">IF(Q870=0,0,S870/Q870)</f>
        <v>-0.00119287942741787</v>
      </c>
      <c r="U870" s="51" t="str">
        <f aca="false">IF(AND(Q870&gt;0,T870&lt;-0.15),"ADVERSE","")</f>
        <v/>
      </c>
    </row>
    <row r="871" customFormat="false" ht="15" hidden="false" customHeight="false" outlineLevel="0" collapsed="false">
      <c r="A871" s="47" t="s">
        <v>134</v>
      </c>
      <c r="B871" s="47" t="s">
        <v>135</v>
      </c>
      <c r="C871" s="48" t="n">
        <v>45047</v>
      </c>
      <c r="D871" s="47" t="s">
        <v>37</v>
      </c>
      <c r="E871" s="47" t="s">
        <v>40</v>
      </c>
      <c r="F871" s="49" t="n">
        <v>338646</v>
      </c>
      <c r="G871" s="49" t="n">
        <v>361239</v>
      </c>
      <c r="H871" s="49" t="n">
        <v>203019</v>
      </c>
      <c r="I871" s="49" t="n">
        <v>218511</v>
      </c>
      <c r="J871" s="49" t="n">
        <v>48596</v>
      </c>
      <c r="K871" s="49" t="n">
        <v>55435</v>
      </c>
      <c r="L871" s="50" t="n">
        <v>23.6</v>
      </c>
      <c r="M871" s="51" t="n">
        <f aca="false">G871-F871</f>
        <v>22593</v>
      </c>
      <c r="N871" s="52" t="n">
        <f aca="false">IF(F871=0,0,M871/F871)</f>
        <v>0.0667156854059992</v>
      </c>
      <c r="O871" s="51" t="n">
        <f aca="false">G871-I871</f>
        <v>142728</v>
      </c>
      <c r="P871" s="51" t="n">
        <f aca="false">F871-H871</f>
        <v>135627</v>
      </c>
      <c r="Q871" s="51" t="n">
        <f aca="false">F871-H871-J871</f>
        <v>87031</v>
      </c>
      <c r="R871" s="51" t="n">
        <f aca="false">G871-I871-K871</f>
        <v>87293</v>
      </c>
      <c r="S871" s="51" t="n">
        <f aca="false">R871-Q871</f>
        <v>262</v>
      </c>
      <c r="T871" s="52" t="n">
        <f aca="false">IF(Q871=0,0,S871/Q871)</f>
        <v>0.00301042157392194</v>
      </c>
      <c r="U871" s="51" t="str">
        <f aca="false">IF(AND(Q871&gt;0,T871&lt;-0.15),"ADVERSE","")</f>
        <v/>
      </c>
    </row>
    <row r="872" customFormat="false" ht="15" hidden="false" customHeight="false" outlineLevel="0" collapsed="false">
      <c r="A872" s="47" t="s">
        <v>134</v>
      </c>
      <c r="B872" s="47" t="s">
        <v>135</v>
      </c>
      <c r="C872" s="48" t="n">
        <v>45078</v>
      </c>
      <c r="D872" s="47" t="s">
        <v>37</v>
      </c>
      <c r="E872" s="47" t="s">
        <v>40</v>
      </c>
      <c r="F872" s="49" t="n">
        <v>349108</v>
      </c>
      <c r="G872" s="49" t="n">
        <v>384814</v>
      </c>
      <c r="H872" s="49" t="n">
        <v>209290</v>
      </c>
      <c r="I872" s="49" t="n">
        <v>225422</v>
      </c>
      <c r="J872" s="49" t="n">
        <v>50097</v>
      </c>
      <c r="K872" s="49" t="n">
        <v>56779</v>
      </c>
      <c r="L872" s="50" t="n">
        <v>23.4</v>
      </c>
      <c r="M872" s="51" t="n">
        <f aca="false">G872-F872</f>
        <v>35706</v>
      </c>
      <c r="N872" s="52" t="n">
        <f aca="false">IF(F872=0,0,M872/F872)</f>
        <v>0.102277805149123</v>
      </c>
      <c r="O872" s="51" t="n">
        <f aca="false">G872-I872</f>
        <v>159392</v>
      </c>
      <c r="P872" s="51" t="n">
        <f aca="false">F872-H872</f>
        <v>139818</v>
      </c>
      <c r="Q872" s="51" t="n">
        <f aca="false">F872-H872-J872</f>
        <v>89721</v>
      </c>
      <c r="R872" s="51" t="n">
        <f aca="false">G872-I872-K872</f>
        <v>102613</v>
      </c>
      <c r="S872" s="51" t="n">
        <f aca="false">R872-Q872</f>
        <v>12892</v>
      </c>
      <c r="T872" s="52" t="n">
        <f aca="false">IF(Q872=0,0,S872/Q872)</f>
        <v>0.143689883081999</v>
      </c>
      <c r="U872" s="51" t="str">
        <f aca="false">IF(AND(Q872&gt;0,T872&lt;-0.15),"ADVERSE","")</f>
        <v/>
      </c>
    </row>
    <row r="873" customFormat="false" ht="15" hidden="false" customHeight="false" outlineLevel="0" collapsed="false">
      <c r="A873" s="47" t="s">
        <v>134</v>
      </c>
      <c r="B873" s="47" t="s">
        <v>136</v>
      </c>
      <c r="C873" s="48" t="n">
        <v>45108</v>
      </c>
      <c r="D873" s="47" t="s">
        <v>37</v>
      </c>
      <c r="E873" s="47" t="s">
        <v>40</v>
      </c>
      <c r="F873" s="49" t="n">
        <v>352855</v>
      </c>
      <c r="G873" s="49" t="n">
        <v>354656</v>
      </c>
      <c r="H873" s="49" t="n">
        <v>211536</v>
      </c>
      <c r="I873" s="49" t="n">
        <v>210411</v>
      </c>
      <c r="J873" s="49" t="n">
        <v>50635</v>
      </c>
      <c r="K873" s="49" t="n">
        <v>52428</v>
      </c>
      <c r="L873" s="50" t="n">
        <v>23.7</v>
      </c>
      <c r="M873" s="51" t="n">
        <f aca="false">G873-F873</f>
        <v>1801</v>
      </c>
      <c r="N873" s="52" t="n">
        <f aca="false">IF(F873=0,0,M873/F873)</f>
        <v>0.00510407957943064</v>
      </c>
      <c r="O873" s="51" t="n">
        <f aca="false">G873-I873</f>
        <v>144245</v>
      </c>
      <c r="P873" s="51" t="n">
        <f aca="false">F873-H873</f>
        <v>141319</v>
      </c>
      <c r="Q873" s="51" t="n">
        <f aca="false">F873-H873-J873</f>
        <v>90684</v>
      </c>
      <c r="R873" s="51" t="n">
        <f aca="false">G873-I873-K873</f>
        <v>91817</v>
      </c>
      <c r="S873" s="51" t="n">
        <f aca="false">R873-Q873</f>
        <v>1133</v>
      </c>
      <c r="T873" s="52" t="n">
        <f aca="false">IF(Q873=0,0,S873/Q873)</f>
        <v>0.012493934983018</v>
      </c>
      <c r="U873" s="51" t="str">
        <f aca="false">IF(AND(Q873&gt;0,T873&lt;-0.15),"ADVERSE","")</f>
        <v/>
      </c>
    </row>
    <row r="874" customFormat="false" ht="15" hidden="false" customHeight="false" outlineLevel="0" collapsed="false">
      <c r="A874" s="47" t="s">
        <v>134</v>
      </c>
      <c r="B874" s="47" t="s">
        <v>136</v>
      </c>
      <c r="C874" s="48" t="n">
        <v>45139</v>
      </c>
      <c r="D874" s="47" t="s">
        <v>37</v>
      </c>
      <c r="E874" s="47" t="s">
        <v>40</v>
      </c>
      <c r="F874" s="49" t="n">
        <v>344017</v>
      </c>
      <c r="G874" s="49" t="n">
        <v>364062</v>
      </c>
      <c r="H874" s="49" t="n">
        <v>206238</v>
      </c>
      <c r="I874" s="49" t="n">
        <v>220433</v>
      </c>
      <c r="J874" s="49" t="n">
        <v>49366</v>
      </c>
      <c r="K874" s="49" t="n">
        <v>49847</v>
      </c>
      <c r="L874" s="50" t="n">
        <v>23.6</v>
      </c>
      <c r="M874" s="51" t="n">
        <f aca="false">G874-F874</f>
        <v>20045</v>
      </c>
      <c r="N874" s="52" t="n">
        <f aca="false">IF(F874=0,0,M874/F874)</f>
        <v>0.058267469340178</v>
      </c>
      <c r="O874" s="51" t="n">
        <f aca="false">G874-I874</f>
        <v>143629</v>
      </c>
      <c r="P874" s="51" t="n">
        <f aca="false">F874-H874</f>
        <v>137779</v>
      </c>
      <c r="Q874" s="51" t="n">
        <f aca="false">F874-H874-J874</f>
        <v>88413</v>
      </c>
      <c r="R874" s="51" t="n">
        <f aca="false">G874-I874-K874</f>
        <v>93782</v>
      </c>
      <c r="S874" s="51" t="n">
        <f aca="false">R874-Q874</f>
        <v>5369</v>
      </c>
      <c r="T874" s="52" t="n">
        <f aca="false">IF(Q874=0,0,S874/Q874)</f>
        <v>0.0607263637700338</v>
      </c>
      <c r="U874" s="51" t="str">
        <f aca="false">IF(AND(Q874&gt;0,T874&lt;-0.15),"ADVERSE","")</f>
        <v/>
      </c>
    </row>
    <row r="875" customFormat="false" ht="15" hidden="false" customHeight="false" outlineLevel="0" collapsed="false">
      <c r="A875" s="47" t="s">
        <v>134</v>
      </c>
      <c r="B875" s="47" t="s">
        <v>136</v>
      </c>
      <c r="C875" s="48" t="n">
        <v>45170</v>
      </c>
      <c r="D875" s="47" t="s">
        <v>37</v>
      </c>
      <c r="E875" s="47" t="s">
        <v>40</v>
      </c>
      <c r="F875" s="49" t="n">
        <v>353170</v>
      </c>
      <c r="G875" s="49" t="n">
        <v>337211</v>
      </c>
      <c r="H875" s="49" t="n">
        <v>211725</v>
      </c>
      <c r="I875" s="49" t="n">
        <v>202403</v>
      </c>
      <c r="J875" s="49" t="n">
        <v>50680</v>
      </c>
      <c r="K875" s="49" t="n">
        <v>49511</v>
      </c>
      <c r="L875" s="50" t="n">
        <v>23.7</v>
      </c>
      <c r="M875" s="51" t="n">
        <f aca="false">G875-F875</f>
        <v>-15959</v>
      </c>
      <c r="N875" s="52" t="n">
        <f aca="false">IF(F875=0,0,M875/F875)</f>
        <v>-0.0451878698643713</v>
      </c>
      <c r="O875" s="51" t="n">
        <f aca="false">G875-I875</f>
        <v>134808</v>
      </c>
      <c r="P875" s="51" t="n">
        <f aca="false">F875-H875</f>
        <v>141445</v>
      </c>
      <c r="Q875" s="51" t="n">
        <f aca="false">F875-H875-J875</f>
        <v>90765</v>
      </c>
      <c r="R875" s="51" t="n">
        <f aca="false">G875-I875-K875</f>
        <v>85297</v>
      </c>
      <c r="S875" s="51" t="n">
        <f aca="false">R875-Q875</f>
        <v>-5468</v>
      </c>
      <c r="T875" s="52" t="n">
        <f aca="false">IF(Q875=0,0,S875/Q875)</f>
        <v>-0.0602434859251914</v>
      </c>
      <c r="U875" s="51" t="str">
        <f aca="false">IF(AND(Q875&gt;0,T875&lt;-0.15),"ADVERSE","")</f>
        <v/>
      </c>
    </row>
    <row r="876" customFormat="false" ht="15" hidden="false" customHeight="false" outlineLevel="0" collapsed="false">
      <c r="A876" s="47" t="s">
        <v>134</v>
      </c>
      <c r="B876" s="47" t="s">
        <v>137</v>
      </c>
      <c r="C876" s="48" t="n">
        <v>45200</v>
      </c>
      <c r="D876" s="47" t="s">
        <v>37</v>
      </c>
      <c r="E876" s="47" t="s">
        <v>40</v>
      </c>
      <c r="F876" s="49" t="n">
        <v>356467</v>
      </c>
      <c r="G876" s="49" t="n">
        <v>378486</v>
      </c>
      <c r="H876" s="49" t="n">
        <v>213702</v>
      </c>
      <c r="I876" s="49" t="n">
        <v>228153</v>
      </c>
      <c r="J876" s="49" t="n">
        <v>51153</v>
      </c>
      <c r="K876" s="49" t="n">
        <v>58917</v>
      </c>
      <c r="L876" s="50" t="n">
        <v>24</v>
      </c>
      <c r="M876" s="51" t="n">
        <f aca="false">G876-F876</f>
        <v>22019</v>
      </c>
      <c r="N876" s="52" t="n">
        <f aca="false">IF(F876=0,0,M876/F876)</f>
        <v>0.0617700937253659</v>
      </c>
      <c r="O876" s="51" t="n">
        <f aca="false">G876-I876</f>
        <v>150333</v>
      </c>
      <c r="P876" s="51" t="n">
        <f aca="false">F876-H876</f>
        <v>142765</v>
      </c>
      <c r="Q876" s="51" t="n">
        <f aca="false">F876-H876-J876</f>
        <v>91612</v>
      </c>
      <c r="R876" s="51" t="n">
        <f aca="false">G876-I876-K876</f>
        <v>91416</v>
      </c>
      <c r="S876" s="51" t="n">
        <f aca="false">R876-Q876</f>
        <v>-196</v>
      </c>
      <c r="T876" s="52" t="n">
        <f aca="false">IF(Q876=0,0,S876/Q876)</f>
        <v>-0.00213945771296337</v>
      </c>
      <c r="U876" s="51" t="str">
        <f aca="false">IF(AND(Q876&gt;0,T876&lt;-0.15),"ADVERSE","")</f>
        <v/>
      </c>
    </row>
    <row r="877" customFormat="false" ht="15" hidden="false" customHeight="false" outlineLevel="0" collapsed="false">
      <c r="A877" s="47" t="s">
        <v>134</v>
      </c>
      <c r="B877" s="47" t="s">
        <v>137</v>
      </c>
      <c r="C877" s="48" t="n">
        <v>45231</v>
      </c>
      <c r="D877" s="47" t="s">
        <v>37</v>
      </c>
      <c r="E877" s="47" t="s">
        <v>40</v>
      </c>
      <c r="F877" s="49" t="n">
        <v>367483</v>
      </c>
      <c r="G877" s="49" t="n">
        <v>366720</v>
      </c>
      <c r="H877" s="49" t="n">
        <v>220306</v>
      </c>
      <c r="I877" s="49" t="n">
        <v>221057</v>
      </c>
      <c r="J877" s="49" t="n">
        <v>52734</v>
      </c>
      <c r="K877" s="49" t="n">
        <v>54044</v>
      </c>
      <c r="L877" s="50" t="n">
        <v>24.7</v>
      </c>
      <c r="M877" s="51" t="n">
        <f aca="false">G877-F877</f>
        <v>-763</v>
      </c>
      <c r="N877" s="52" t="n">
        <f aca="false">IF(F877=0,0,M877/F877)</f>
        <v>-0.00207628652209762</v>
      </c>
      <c r="O877" s="51" t="n">
        <f aca="false">G877-I877</f>
        <v>145663</v>
      </c>
      <c r="P877" s="51" t="n">
        <f aca="false">F877-H877</f>
        <v>147177</v>
      </c>
      <c r="Q877" s="51" t="n">
        <f aca="false">F877-H877-J877</f>
        <v>94443</v>
      </c>
      <c r="R877" s="51" t="n">
        <f aca="false">G877-I877-K877</f>
        <v>91619</v>
      </c>
      <c r="S877" s="51" t="n">
        <f aca="false">R877-Q877</f>
        <v>-2824</v>
      </c>
      <c r="T877" s="52" t="n">
        <f aca="false">IF(Q877=0,0,S877/Q877)</f>
        <v>-0.0299016337896933</v>
      </c>
      <c r="U877" s="51" t="str">
        <f aca="false">IF(AND(Q877&gt;0,T877&lt;-0.15),"ADVERSE","")</f>
        <v/>
      </c>
    </row>
    <row r="878" customFormat="false" ht="15" hidden="false" customHeight="false" outlineLevel="0" collapsed="false">
      <c r="A878" s="47" t="s">
        <v>134</v>
      </c>
      <c r="B878" s="47" t="s">
        <v>137</v>
      </c>
      <c r="C878" s="48" t="n">
        <v>45261</v>
      </c>
      <c r="D878" s="47" t="s">
        <v>37</v>
      </c>
      <c r="E878" s="47" t="s">
        <v>40</v>
      </c>
      <c r="F878" s="49" t="n">
        <v>355517</v>
      </c>
      <c r="G878" s="49" t="n">
        <v>373038</v>
      </c>
      <c r="H878" s="49" t="n">
        <v>213132</v>
      </c>
      <c r="I878" s="49" t="n">
        <v>221352</v>
      </c>
      <c r="J878" s="49" t="n">
        <v>51017</v>
      </c>
      <c r="K878" s="49" t="n">
        <v>56628</v>
      </c>
      <c r="L878" s="50" t="n">
        <v>23.5</v>
      </c>
      <c r="M878" s="51" t="n">
        <f aca="false">G878-F878</f>
        <v>17521</v>
      </c>
      <c r="N878" s="52" t="n">
        <f aca="false">IF(F878=0,0,M878/F878)</f>
        <v>0.0492831566422984</v>
      </c>
      <c r="O878" s="51" t="n">
        <f aca="false">G878-I878</f>
        <v>151686</v>
      </c>
      <c r="P878" s="51" t="n">
        <f aca="false">F878-H878</f>
        <v>142385</v>
      </c>
      <c r="Q878" s="51" t="n">
        <f aca="false">F878-H878-J878</f>
        <v>91368</v>
      </c>
      <c r="R878" s="51" t="n">
        <f aca="false">G878-I878-K878</f>
        <v>95058</v>
      </c>
      <c r="S878" s="51" t="n">
        <f aca="false">R878-Q878</f>
        <v>3690</v>
      </c>
      <c r="T878" s="52" t="n">
        <f aca="false">IF(Q878=0,0,S878/Q878)</f>
        <v>0.0403861308116627</v>
      </c>
      <c r="U878" s="51" t="str">
        <f aca="false">IF(AND(Q878&gt;0,T878&lt;-0.15),"ADVERSE","")</f>
        <v/>
      </c>
    </row>
    <row r="879" customFormat="false" ht="15" hidden="false" customHeight="false" outlineLevel="0" collapsed="false">
      <c r="A879" s="47" t="s">
        <v>134</v>
      </c>
      <c r="B879" s="47" t="s">
        <v>138</v>
      </c>
      <c r="C879" s="48" t="n">
        <v>45292</v>
      </c>
      <c r="D879" s="47" t="s">
        <v>37</v>
      </c>
      <c r="E879" s="47" t="s">
        <v>40</v>
      </c>
      <c r="F879" s="49" t="n">
        <v>346944</v>
      </c>
      <c r="G879" s="49" t="n">
        <v>351358</v>
      </c>
      <c r="H879" s="49" t="n">
        <v>207993</v>
      </c>
      <c r="I879" s="49" t="n">
        <v>213642</v>
      </c>
      <c r="J879" s="49" t="n">
        <v>49786</v>
      </c>
      <c r="K879" s="49" t="n">
        <v>50529</v>
      </c>
      <c r="L879" s="50" t="n">
        <v>24.2</v>
      </c>
      <c r="M879" s="51" t="n">
        <f aca="false">G879-F879</f>
        <v>4414</v>
      </c>
      <c r="N879" s="52" t="n">
        <f aca="false">IF(F879=0,0,M879/F879)</f>
        <v>0.0127225142962553</v>
      </c>
      <c r="O879" s="51" t="n">
        <f aca="false">G879-I879</f>
        <v>137716</v>
      </c>
      <c r="P879" s="51" t="n">
        <f aca="false">F879-H879</f>
        <v>138951</v>
      </c>
      <c r="Q879" s="51" t="n">
        <f aca="false">F879-H879-J879</f>
        <v>89165</v>
      </c>
      <c r="R879" s="51" t="n">
        <f aca="false">G879-I879-K879</f>
        <v>87187</v>
      </c>
      <c r="S879" s="51" t="n">
        <f aca="false">R879-Q879</f>
        <v>-1978</v>
      </c>
      <c r="T879" s="52" t="n">
        <f aca="false">IF(Q879=0,0,S879/Q879)</f>
        <v>-0.0221835922166769</v>
      </c>
      <c r="U879" s="51" t="str">
        <f aca="false">IF(AND(Q879&gt;0,T879&lt;-0.15),"ADVERSE","")</f>
        <v/>
      </c>
    </row>
    <row r="880" customFormat="false" ht="15" hidden="false" customHeight="false" outlineLevel="0" collapsed="false">
      <c r="A880" s="47" t="s">
        <v>134</v>
      </c>
      <c r="B880" s="47" t="s">
        <v>138</v>
      </c>
      <c r="C880" s="48" t="n">
        <v>45323</v>
      </c>
      <c r="D880" s="47" t="s">
        <v>37</v>
      </c>
      <c r="E880" s="47" t="s">
        <v>40</v>
      </c>
      <c r="F880" s="49" t="n">
        <v>353351</v>
      </c>
      <c r="G880" s="49" t="n">
        <v>339248</v>
      </c>
      <c r="H880" s="49" t="n">
        <v>211834</v>
      </c>
      <c r="I880" s="49" t="n">
        <v>203480</v>
      </c>
      <c r="J880" s="49" t="n">
        <v>50706</v>
      </c>
      <c r="K880" s="49" t="n">
        <v>49105</v>
      </c>
      <c r="L880" s="50" t="n">
        <v>24.2</v>
      </c>
      <c r="M880" s="51" t="n">
        <f aca="false">G880-F880</f>
        <v>-14103</v>
      </c>
      <c r="N880" s="52" t="n">
        <f aca="false">IF(F880=0,0,M880/F880)</f>
        <v>-0.0399121553356294</v>
      </c>
      <c r="O880" s="51" t="n">
        <f aca="false">G880-I880</f>
        <v>135768</v>
      </c>
      <c r="P880" s="51" t="n">
        <f aca="false">F880-H880</f>
        <v>141517</v>
      </c>
      <c r="Q880" s="51" t="n">
        <f aca="false">F880-H880-J880</f>
        <v>90811</v>
      </c>
      <c r="R880" s="51" t="n">
        <f aca="false">G880-I880-K880</f>
        <v>86663</v>
      </c>
      <c r="S880" s="51" t="n">
        <f aca="false">R880-Q880</f>
        <v>-4148</v>
      </c>
      <c r="T880" s="52" t="n">
        <f aca="false">IF(Q880=0,0,S880/Q880)</f>
        <v>-0.0456772857913689</v>
      </c>
      <c r="U880" s="51" t="str">
        <f aca="false">IF(AND(Q880&gt;0,T880&lt;-0.15),"ADVERSE","")</f>
        <v/>
      </c>
    </row>
    <row r="881" customFormat="false" ht="15" hidden="false" customHeight="false" outlineLevel="0" collapsed="false">
      <c r="A881" s="47" t="s">
        <v>134</v>
      </c>
      <c r="B881" s="47" t="s">
        <v>138</v>
      </c>
      <c r="C881" s="48" t="n">
        <v>45352</v>
      </c>
      <c r="D881" s="47" t="s">
        <v>37</v>
      </c>
      <c r="E881" s="47" t="s">
        <v>40</v>
      </c>
      <c r="F881" s="49" t="n">
        <v>387570</v>
      </c>
      <c r="G881" s="49" t="n">
        <v>402707</v>
      </c>
      <c r="H881" s="49" t="n">
        <v>232348</v>
      </c>
      <c r="I881" s="49" t="n">
        <v>245933</v>
      </c>
      <c r="J881" s="49" t="n">
        <v>55616</v>
      </c>
      <c r="K881" s="49" t="n">
        <v>57127</v>
      </c>
      <c r="L881" s="50" t="n">
        <v>24.3</v>
      </c>
      <c r="M881" s="51" t="n">
        <f aca="false">G881-F881</f>
        <v>15137</v>
      </c>
      <c r="N881" s="52" t="n">
        <f aca="false">IF(F881=0,0,M881/F881)</f>
        <v>0.0390561704982326</v>
      </c>
      <c r="O881" s="51" t="n">
        <f aca="false">G881-I881</f>
        <v>156774</v>
      </c>
      <c r="P881" s="51" t="n">
        <f aca="false">F881-H881</f>
        <v>155222</v>
      </c>
      <c r="Q881" s="51" t="n">
        <f aca="false">F881-H881-J881</f>
        <v>99606</v>
      </c>
      <c r="R881" s="51" t="n">
        <f aca="false">G881-I881-K881</f>
        <v>99647</v>
      </c>
      <c r="S881" s="51" t="n">
        <f aca="false">R881-Q881</f>
        <v>41</v>
      </c>
      <c r="T881" s="52" t="n">
        <f aca="false">IF(Q881=0,0,S881/Q881)</f>
        <v>0.000411621789852017</v>
      </c>
      <c r="U881" s="51" t="str">
        <f aca="false">IF(AND(Q881&gt;0,T881&lt;-0.15),"ADVERSE","")</f>
        <v/>
      </c>
    </row>
    <row r="882" customFormat="false" ht="15" hidden="false" customHeight="false" outlineLevel="0" collapsed="false">
      <c r="A882" s="47" t="s">
        <v>139</v>
      </c>
      <c r="B882" s="47" t="s">
        <v>135</v>
      </c>
      <c r="C882" s="48" t="n">
        <v>45383</v>
      </c>
      <c r="D882" s="47" t="s">
        <v>37</v>
      </c>
      <c r="E882" s="47" t="s">
        <v>40</v>
      </c>
      <c r="F882" s="49" t="n">
        <v>372805</v>
      </c>
      <c r="G882" s="49" t="n">
        <v>368190</v>
      </c>
      <c r="H882" s="49" t="n">
        <v>223497</v>
      </c>
      <c r="I882" s="49" t="n">
        <v>224662</v>
      </c>
      <c r="J882" s="49" t="n">
        <v>53498</v>
      </c>
      <c r="K882" s="49" t="n">
        <v>50439</v>
      </c>
      <c r="L882" s="50" t="n">
        <v>23.9</v>
      </c>
      <c r="M882" s="51" t="n">
        <f aca="false">G882-F882</f>
        <v>-4615</v>
      </c>
      <c r="N882" s="52" t="n">
        <f aca="false">IF(F882=0,0,M882/F882)</f>
        <v>-0.0123791258164456</v>
      </c>
      <c r="O882" s="51" t="n">
        <f aca="false">G882-I882</f>
        <v>143528</v>
      </c>
      <c r="P882" s="51" t="n">
        <f aca="false">F882-H882</f>
        <v>149308</v>
      </c>
      <c r="Q882" s="51" t="n">
        <f aca="false">F882-H882-J882</f>
        <v>95810</v>
      </c>
      <c r="R882" s="51" t="n">
        <f aca="false">G882-I882-K882</f>
        <v>93089</v>
      </c>
      <c r="S882" s="51" t="n">
        <f aca="false">R882-Q882</f>
        <v>-2721</v>
      </c>
      <c r="T882" s="52" t="n">
        <f aca="false">IF(Q882=0,0,S882/Q882)</f>
        <v>-0.0283999582507045</v>
      </c>
      <c r="U882" s="51" t="str">
        <f aca="false">IF(AND(Q882&gt;0,T882&lt;-0.15),"ADVERSE","")</f>
        <v/>
      </c>
    </row>
    <row r="883" customFormat="false" ht="15" hidden="false" customHeight="false" outlineLevel="0" collapsed="false">
      <c r="A883" s="47" t="s">
        <v>139</v>
      </c>
      <c r="B883" s="47" t="s">
        <v>135</v>
      </c>
      <c r="C883" s="48" t="n">
        <v>45413</v>
      </c>
      <c r="D883" s="47" t="s">
        <v>37</v>
      </c>
      <c r="E883" s="47" t="s">
        <v>40</v>
      </c>
      <c r="F883" s="49" t="n">
        <v>369502</v>
      </c>
      <c r="G883" s="49" t="n">
        <v>383896</v>
      </c>
      <c r="H883" s="49" t="n">
        <v>221517</v>
      </c>
      <c r="I883" s="49" t="n">
        <v>231991</v>
      </c>
      <c r="J883" s="49" t="n">
        <v>53024</v>
      </c>
      <c r="K883" s="49" t="n">
        <v>52291</v>
      </c>
      <c r="L883" s="50" t="n">
        <v>24.3</v>
      </c>
      <c r="M883" s="51" t="n">
        <f aca="false">G883-F883</f>
        <v>14394</v>
      </c>
      <c r="N883" s="52" t="n">
        <f aca="false">IF(F883=0,0,M883/F883)</f>
        <v>0.0389551342076633</v>
      </c>
      <c r="O883" s="51" t="n">
        <f aca="false">G883-I883</f>
        <v>151905</v>
      </c>
      <c r="P883" s="51" t="n">
        <f aca="false">F883-H883</f>
        <v>147985</v>
      </c>
      <c r="Q883" s="51" t="n">
        <f aca="false">F883-H883-J883</f>
        <v>94961</v>
      </c>
      <c r="R883" s="51" t="n">
        <f aca="false">G883-I883-K883</f>
        <v>99614</v>
      </c>
      <c r="S883" s="51" t="n">
        <f aca="false">R883-Q883</f>
        <v>4653</v>
      </c>
      <c r="T883" s="52" t="n">
        <f aca="false">IF(Q883=0,0,S883/Q883)</f>
        <v>0.0489990627731384</v>
      </c>
      <c r="U883" s="51" t="str">
        <f aca="false">IF(AND(Q883&gt;0,T883&lt;-0.15),"ADVERSE","")</f>
        <v/>
      </c>
    </row>
    <row r="884" customFormat="false" ht="15" hidden="false" customHeight="false" outlineLevel="0" collapsed="false">
      <c r="A884" s="47" t="s">
        <v>139</v>
      </c>
      <c r="B884" s="47" t="s">
        <v>135</v>
      </c>
      <c r="C884" s="48" t="n">
        <v>45444</v>
      </c>
      <c r="D884" s="47" t="s">
        <v>37</v>
      </c>
      <c r="E884" s="47" t="s">
        <v>40</v>
      </c>
      <c r="F884" s="49" t="n">
        <v>374541</v>
      </c>
      <c r="G884" s="49" t="n">
        <v>372734</v>
      </c>
      <c r="H884" s="49" t="n">
        <v>224537</v>
      </c>
      <c r="I884" s="49" t="n">
        <v>223095</v>
      </c>
      <c r="J884" s="49" t="n">
        <v>53747</v>
      </c>
      <c r="K884" s="49" t="n">
        <v>50401</v>
      </c>
      <c r="L884" s="50" t="n">
        <v>24.4</v>
      </c>
      <c r="M884" s="51" t="n">
        <f aca="false">G884-F884</f>
        <v>-1807</v>
      </c>
      <c r="N884" s="52" t="n">
        <f aca="false">IF(F884=0,0,M884/F884)</f>
        <v>-0.00482457194272456</v>
      </c>
      <c r="O884" s="51" t="n">
        <f aca="false">G884-I884</f>
        <v>149639</v>
      </c>
      <c r="P884" s="51" t="n">
        <f aca="false">F884-H884</f>
        <v>150004</v>
      </c>
      <c r="Q884" s="51" t="n">
        <f aca="false">F884-H884-J884</f>
        <v>96257</v>
      </c>
      <c r="R884" s="51" t="n">
        <f aca="false">G884-I884-K884</f>
        <v>99238</v>
      </c>
      <c r="S884" s="51" t="n">
        <f aca="false">R884-Q884</f>
        <v>2981</v>
      </c>
      <c r="T884" s="52" t="n">
        <f aca="false">IF(Q884=0,0,S884/Q884)</f>
        <v>0.0309691762677</v>
      </c>
      <c r="U884" s="51" t="str">
        <f aca="false">IF(AND(Q884&gt;0,T884&lt;-0.15),"ADVERSE","")</f>
        <v/>
      </c>
    </row>
    <row r="885" customFormat="false" ht="15" hidden="false" customHeight="false" outlineLevel="0" collapsed="false">
      <c r="A885" s="47" t="s">
        <v>139</v>
      </c>
      <c r="B885" s="47" t="s">
        <v>136</v>
      </c>
      <c r="C885" s="48" t="n">
        <v>45474</v>
      </c>
      <c r="D885" s="47" t="s">
        <v>37</v>
      </c>
      <c r="E885" s="47" t="s">
        <v>40</v>
      </c>
      <c r="F885" s="49" t="n">
        <v>373669</v>
      </c>
      <c r="G885" s="49" t="n">
        <v>379709</v>
      </c>
      <c r="H885" s="49" t="n">
        <v>224015</v>
      </c>
      <c r="I885" s="49" t="n">
        <v>232934</v>
      </c>
      <c r="J885" s="49" t="n">
        <v>53622</v>
      </c>
      <c r="K885" s="49" t="n">
        <v>58880</v>
      </c>
      <c r="L885" s="50" t="n">
        <v>24.4</v>
      </c>
      <c r="M885" s="51" t="n">
        <f aca="false">G885-F885</f>
        <v>6040</v>
      </c>
      <c r="N885" s="52" t="n">
        <f aca="false">IF(F885=0,0,M885/F885)</f>
        <v>0.0161640382263447</v>
      </c>
      <c r="O885" s="51" t="n">
        <f aca="false">G885-I885</f>
        <v>146775</v>
      </c>
      <c r="P885" s="51" t="n">
        <f aca="false">F885-H885</f>
        <v>149654</v>
      </c>
      <c r="Q885" s="51" t="n">
        <f aca="false">F885-H885-J885</f>
        <v>96032</v>
      </c>
      <c r="R885" s="51" t="n">
        <f aca="false">G885-I885-K885</f>
        <v>87895</v>
      </c>
      <c r="S885" s="51" t="n">
        <f aca="false">R885-Q885</f>
        <v>-8137</v>
      </c>
      <c r="T885" s="52" t="n">
        <f aca="false">IF(Q885=0,0,S885/Q885)</f>
        <v>-0.0847321726091303</v>
      </c>
      <c r="U885" s="51" t="str">
        <f aca="false">IF(AND(Q885&gt;0,T885&lt;-0.15),"ADVERSE","")</f>
        <v/>
      </c>
    </row>
    <row r="886" customFormat="false" ht="15" hidden="false" customHeight="false" outlineLevel="0" collapsed="false">
      <c r="A886" s="47" t="s">
        <v>139</v>
      </c>
      <c r="B886" s="47" t="s">
        <v>136</v>
      </c>
      <c r="C886" s="48" t="n">
        <v>45505</v>
      </c>
      <c r="D886" s="47" t="s">
        <v>37</v>
      </c>
      <c r="E886" s="47" t="s">
        <v>40</v>
      </c>
      <c r="F886" s="49" t="n">
        <v>367185</v>
      </c>
      <c r="G886" s="49" t="n">
        <v>366685</v>
      </c>
      <c r="H886" s="49" t="n">
        <v>220127</v>
      </c>
      <c r="I886" s="49" t="n">
        <v>217763</v>
      </c>
      <c r="J886" s="49" t="n">
        <v>52691</v>
      </c>
      <c r="K886" s="49" t="n">
        <v>54381</v>
      </c>
      <c r="L886" s="50" t="n">
        <v>24.4</v>
      </c>
      <c r="M886" s="51" t="n">
        <f aca="false">G886-F886</f>
        <v>-500</v>
      </c>
      <c r="N886" s="52" t="n">
        <f aca="false">IF(F886=0,0,M886/F886)</f>
        <v>-0.00136171139888612</v>
      </c>
      <c r="O886" s="51" t="n">
        <f aca="false">G886-I886</f>
        <v>148922</v>
      </c>
      <c r="P886" s="51" t="n">
        <f aca="false">F886-H886</f>
        <v>147058</v>
      </c>
      <c r="Q886" s="51" t="n">
        <f aca="false">F886-H886-J886</f>
        <v>94367</v>
      </c>
      <c r="R886" s="51" t="n">
        <f aca="false">G886-I886-K886</f>
        <v>94541</v>
      </c>
      <c r="S886" s="51" t="n">
        <f aca="false">R886-Q886</f>
        <v>174</v>
      </c>
      <c r="T886" s="52" t="n">
        <f aca="false">IF(Q886=0,0,S886/Q886)</f>
        <v>0.001843864910403</v>
      </c>
      <c r="U886" s="51" t="str">
        <f aca="false">IF(AND(Q886&gt;0,T886&lt;-0.15),"ADVERSE","")</f>
        <v/>
      </c>
    </row>
    <row r="887" customFormat="false" ht="15" hidden="false" customHeight="false" outlineLevel="0" collapsed="false">
      <c r="A887" s="47" t="s">
        <v>139</v>
      </c>
      <c r="B887" s="47" t="s">
        <v>136</v>
      </c>
      <c r="C887" s="48" t="n">
        <v>45536</v>
      </c>
      <c r="D887" s="47" t="s">
        <v>37</v>
      </c>
      <c r="E887" s="47" t="s">
        <v>40</v>
      </c>
      <c r="F887" s="49" t="n">
        <v>381404</v>
      </c>
      <c r="G887" s="49" t="n">
        <v>395707</v>
      </c>
      <c r="H887" s="49" t="n">
        <v>228652</v>
      </c>
      <c r="I887" s="49" t="n">
        <v>237383</v>
      </c>
      <c r="J887" s="49" t="n">
        <v>54731</v>
      </c>
      <c r="K887" s="49" t="n">
        <v>62028</v>
      </c>
      <c r="L887" s="50" t="n">
        <v>25.2</v>
      </c>
      <c r="M887" s="51" t="n">
        <f aca="false">G887-F887</f>
        <v>14303</v>
      </c>
      <c r="N887" s="52" t="n">
        <f aca="false">IF(F887=0,0,M887/F887)</f>
        <v>0.0375009176621116</v>
      </c>
      <c r="O887" s="51" t="n">
        <f aca="false">G887-I887</f>
        <v>158324</v>
      </c>
      <c r="P887" s="51" t="n">
        <f aca="false">F887-H887</f>
        <v>152752</v>
      </c>
      <c r="Q887" s="51" t="n">
        <f aca="false">F887-H887-J887</f>
        <v>98021</v>
      </c>
      <c r="R887" s="51" t="n">
        <f aca="false">G887-I887-K887</f>
        <v>96296</v>
      </c>
      <c r="S887" s="51" t="n">
        <f aca="false">R887-Q887</f>
        <v>-1725</v>
      </c>
      <c r="T887" s="52" t="n">
        <f aca="false">IF(Q887=0,0,S887/Q887)</f>
        <v>-0.0175982697585211</v>
      </c>
      <c r="U887" s="51" t="str">
        <f aca="false">IF(AND(Q887&gt;0,T887&lt;-0.15),"ADVERSE","")</f>
        <v/>
      </c>
    </row>
    <row r="888" customFormat="false" ht="15" hidden="false" customHeight="false" outlineLevel="0" collapsed="false">
      <c r="A888" s="47" t="s">
        <v>139</v>
      </c>
      <c r="B888" s="47" t="s">
        <v>137</v>
      </c>
      <c r="C888" s="48" t="n">
        <v>45566</v>
      </c>
      <c r="D888" s="47" t="s">
        <v>37</v>
      </c>
      <c r="E888" s="47" t="s">
        <v>40</v>
      </c>
      <c r="F888" s="49" t="n">
        <v>392135</v>
      </c>
      <c r="G888" s="49" t="n">
        <v>391491</v>
      </c>
      <c r="H888" s="49" t="n">
        <v>235085</v>
      </c>
      <c r="I888" s="49" t="n">
        <v>238548</v>
      </c>
      <c r="J888" s="49" t="n">
        <v>56271</v>
      </c>
      <c r="K888" s="49" t="n">
        <v>54943</v>
      </c>
      <c r="L888" s="50" t="n">
        <v>24.6</v>
      </c>
      <c r="M888" s="51" t="n">
        <f aca="false">G888-F888</f>
        <v>-644</v>
      </c>
      <c r="N888" s="52" t="n">
        <f aca="false">IF(F888=0,0,M888/F888)</f>
        <v>-0.00164229155775434</v>
      </c>
      <c r="O888" s="51" t="n">
        <f aca="false">G888-I888</f>
        <v>152943</v>
      </c>
      <c r="P888" s="51" t="n">
        <f aca="false">F888-H888</f>
        <v>157050</v>
      </c>
      <c r="Q888" s="51" t="n">
        <f aca="false">F888-H888-J888</f>
        <v>100779</v>
      </c>
      <c r="R888" s="51" t="n">
        <f aca="false">G888-I888-K888</f>
        <v>98000</v>
      </c>
      <c r="S888" s="51" t="n">
        <f aca="false">R888-Q888</f>
        <v>-2779</v>
      </c>
      <c r="T888" s="52" t="n">
        <f aca="false">IF(Q888=0,0,S888/Q888)</f>
        <v>-0.0275751892755435</v>
      </c>
      <c r="U888" s="51" t="str">
        <f aca="false">IF(AND(Q888&gt;0,T888&lt;-0.15),"ADVERSE","")</f>
        <v/>
      </c>
    </row>
    <row r="889" customFormat="false" ht="15" hidden="false" customHeight="false" outlineLevel="0" collapsed="false">
      <c r="A889" s="47" t="s">
        <v>139</v>
      </c>
      <c r="B889" s="47" t="s">
        <v>137</v>
      </c>
      <c r="C889" s="48" t="n">
        <v>45597</v>
      </c>
      <c r="D889" s="47" t="s">
        <v>37</v>
      </c>
      <c r="E889" s="47" t="s">
        <v>40</v>
      </c>
      <c r="F889" s="49" t="n">
        <v>394508</v>
      </c>
      <c r="G889" s="49" t="n">
        <v>406030</v>
      </c>
      <c r="H889" s="49" t="n">
        <v>236508</v>
      </c>
      <c r="I889" s="49" t="n">
        <v>241248</v>
      </c>
      <c r="J889" s="49" t="n">
        <v>56612</v>
      </c>
      <c r="K889" s="49" t="n">
        <v>63574</v>
      </c>
      <c r="L889" s="50" t="n">
        <v>24.9</v>
      </c>
      <c r="M889" s="51" t="n">
        <f aca="false">G889-F889</f>
        <v>11522</v>
      </c>
      <c r="N889" s="52" t="n">
        <f aca="false">IF(F889=0,0,M889/F889)</f>
        <v>0.0292059983574478</v>
      </c>
      <c r="O889" s="51" t="n">
        <f aca="false">G889-I889</f>
        <v>164782</v>
      </c>
      <c r="P889" s="51" t="n">
        <f aca="false">F889-H889</f>
        <v>158000</v>
      </c>
      <c r="Q889" s="51" t="n">
        <f aca="false">F889-H889-J889</f>
        <v>101388</v>
      </c>
      <c r="R889" s="51" t="n">
        <f aca="false">G889-I889-K889</f>
        <v>101208</v>
      </c>
      <c r="S889" s="51" t="n">
        <f aca="false">R889-Q889</f>
        <v>-180</v>
      </c>
      <c r="T889" s="52" t="n">
        <f aca="false">IF(Q889=0,0,S889/Q889)</f>
        <v>-0.00177535803053616</v>
      </c>
      <c r="U889" s="51" t="str">
        <f aca="false">IF(AND(Q889&gt;0,T889&lt;-0.15),"ADVERSE","")</f>
        <v/>
      </c>
    </row>
    <row r="890" customFormat="false" ht="15" hidden="false" customHeight="false" outlineLevel="0" collapsed="false">
      <c r="A890" s="47" t="s">
        <v>139</v>
      </c>
      <c r="B890" s="47" t="s">
        <v>137</v>
      </c>
      <c r="C890" s="48" t="n">
        <v>45627</v>
      </c>
      <c r="D890" s="47" t="s">
        <v>37</v>
      </c>
      <c r="E890" s="47" t="s">
        <v>40</v>
      </c>
      <c r="F890" s="49" t="n">
        <v>388310</v>
      </c>
      <c r="G890" s="49" t="n">
        <v>403123</v>
      </c>
      <c r="H890" s="49" t="n">
        <v>232792</v>
      </c>
      <c r="I890" s="49" t="n">
        <v>239332</v>
      </c>
      <c r="J890" s="49" t="n">
        <v>55723</v>
      </c>
      <c r="K890" s="49" t="n">
        <v>58234</v>
      </c>
      <c r="L890" s="50" t="n">
        <v>24.3</v>
      </c>
      <c r="M890" s="51" t="n">
        <f aca="false">G890-F890</f>
        <v>14813</v>
      </c>
      <c r="N890" s="52" t="n">
        <f aca="false">IF(F890=0,0,M890/F890)</f>
        <v>0.0381473564935232</v>
      </c>
      <c r="O890" s="51" t="n">
        <f aca="false">G890-I890</f>
        <v>163791</v>
      </c>
      <c r="P890" s="51" t="n">
        <f aca="false">F890-H890</f>
        <v>155518</v>
      </c>
      <c r="Q890" s="51" t="n">
        <f aca="false">F890-H890-J890</f>
        <v>99795</v>
      </c>
      <c r="R890" s="51" t="n">
        <f aca="false">G890-I890-K890</f>
        <v>105557</v>
      </c>
      <c r="S890" s="51" t="n">
        <f aca="false">R890-Q890</f>
        <v>5762</v>
      </c>
      <c r="T890" s="52" t="n">
        <f aca="false">IF(Q890=0,0,S890/Q890)</f>
        <v>0.0577383636454732</v>
      </c>
      <c r="U890" s="51" t="str">
        <f aca="false">IF(AND(Q890&gt;0,T890&lt;-0.15),"ADVERSE","")</f>
        <v/>
      </c>
    </row>
    <row r="891" customFormat="false" ht="15" hidden="false" customHeight="false" outlineLevel="0" collapsed="false">
      <c r="A891" s="47" t="s">
        <v>139</v>
      </c>
      <c r="B891" s="47" t="s">
        <v>138</v>
      </c>
      <c r="C891" s="48" t="n">
        <v>45658</v>
      </c>
      <c r="D891" s="47" t="s">
        <v>37</v>
      </c>
      <c r="E891" s="47" t="s">
        <v>40</v>
      </c>
      <c r="F891" s="49" t="n">
        <v>377582</v>
      </c>
      <c r="G891" s="49" t="n">
        <v>392447</v>
      </c>
      <c r="H891" s="49" t="n">
        <v>226361</v>
      </c>
      <c r="I891" s="49" t="n">
        <v>238579</v>
      </c>
      <c r="J891" s="49" t="n">
        <v>54183</v>
      </c>
      <c r="K891" s="49" t="n">
        <v>55006</v>
      </c>
      <c r="L891" s="50" t="n">
        <v>25.2</v>
      </c>
      <c r="M891" s="51" t="n">
        <f aca="false">G891-F891</f>
        <v>14865</v>
      </c>
      <c r="N891" s="52" t="n">
        <f aca="false">IF(F891=0,0,M891/F891)</f>
        <v>0.0393689317817057</v>
      </c>
      <c r="O891" s="51" t="n">
        <f aca="false">G891-I891</f>
        <v>153868</v>
      </c>
      <c r="P891" s="51" t="n">
        <f aca="false">F891-H891</f>
        <v>151221</v>
      </c>
      <c r="Q891" s="51" t="n">
        <f aca="false">F891-H891-J891</f>
        <v>97038</v>
      </c>
      <c r="R891" s="51" t="n">
        <f aca="false">G891-I891-K891</f>
        <v>98862</v>
      </c>
      <c r="S891" s="51" t="n">
        <f aca="false">R891-Q891</f>
        <v>1824</v>
      </c>
      <c r="T891" s="52" t="n">
        <f aca="false">IF(Q891=0,0,S891/Q891)</f>
        <v>0.0187967600321524</v>
      </c>
      <c r="U891" s="51" t="str">
        <f aca="false">IF(AND(Q891&gt;0,T891&lt;-0.15),"ADVERSE","")</f>
        <v/>
      </c>
    </row>
    <row r="892" customFormat="false" ht="15" hidden="false" customHeight="false" outlineLevel="0" collapsed="false">
      <c r="A892" s="47" t="s">
        <v>139</v>
      </c>
      <c r="B892" s="47" t="s">
        <v>138</v>
      </c>
      <c r="C892" s="48" t="n">
        <v>45689</v>
      </c>
      <c r="D892" s="47" t="s">
        <v>37</v>
      </c>
      <c r="E892" s="47" t="s">
        <v>40</v>
      </c>
      <c r="F892" s="49" t="n">
        <v>380825</v>
      </c>
      <c r="G892" s="49" t="n">
        <v>366529</v>
      </c>
      <c r="H892" s="49" t="n">
        <v>228305</v>
      </c>
      <c r="I892" s="49" t="n">
        <v>222272</v>
      </c>
      <c r="J892" s="49" t="n">
        <v>54648</v>
      </c>
      <c r="K892" s="49" t="n">
        <v>54365</v>
      </c>
      <c r="L892" s="50" t="n">
        <v>25.9</v>
      </c>
      <c r="M892" s="51" t="n">
        <f aca="false">G892-F892</f>
        <v>-14296</v>
      </c>
      <c r="N892" s="52" t="n">
        <f aca="false">IF(F892=0,0,M892/F892)</f>
        <v>-0.0375395522877962</v>
      </c>
      <c r="O892" s="51" t="n">
        <f aca="false">G892-I892</f>
        <v>144257</v>
      </c>
      <c r="P892" s="51" t="n">
        <f aca="false">F892-H892</f>
        <v>152520</v>
      </c>
      <c r="Q892" s="51" t="n">
        <f aca="false">F892-H892-J892</f>
        <v>97872</v>
      </c>
      <c r="R892" s="51" t="n">
        <f aca="false">G892-I892-K892</f>
        <v>89892</v>
      </c>
      <c r="S892" s="51" t="n">
        <f aca="false">R892-Q892</f>
        <v>-7980</v>
      </c>
      <c r="T892" s="52" t="n">
        <f aca="false">IF(Q892=0,0,S892/Q892)</f>
        <v>-0.081535066208926</v>
      </c>
      <c r="U892" s="51" t="str">
        <f aca="false">IF(AND(Q892&gt;0,T892&lt;-0.15),"ADVERSE","")</f>
        <v/>
      </c>
    </row>
    <row r="893" customFormat="false" ht="15" hidden="false" customHeight="false" outlineLevel="0" collapsed="false">
      <c r="A893" s="47" t="s">
        <v>139</v>
      </c>
      <c r="B893" s="47" t="s">
        <v>138</v>
      </c>
      <c r="C893" s="48" t="n">
        <v>45717</v>
      </c>
      <c r="D893" s="47" t="s">
        <v>37</v>
      </c>
      <c r="E893" s="47" t="s">
        <v>40</v>
      </c>
      <c r="F893" s="49" t="n">
        <v>418334</v>
      </c>
      <c r="G893" s="49" t="n">
        <v>434119</v>
      </c>
      <c r="H893" s="49" t="n">
        <v>250791</v>
      </c>
      <c r="I893" s="49" t="n">
        <v>251796</v>
      </c>
      <c r="J893" s="49" t="n">
        <v>60031</v>
      </c>
      <c r="K893" s="49" t="n">
        <v>66795</v>
      </c>
      <c r="L893" s="50" t="n">
        <v>25.6</v>
      </c>
      <c r="M893" s="51" t="n">
        <f aca="false">G893-F893</f>
        <v>15785</v>
      </c>
      <c r="N893" s="52" t="n">
        <f aca="false">IF(F893=0,0,M893/F893)</f>
        <v>0.0377330075968006</v>
      </c>
      <c r="O893" s="51" t="n">
        <f aca="false">G893-I893</f>
        <v>182323</v>
      </c>
      <c r="P893" s="51" t="n">
        <f aca="false">F893-H893</f>
        <v>167543</v>
      </c>
      <c r="Q893" s="51" t="n">
        <f aca="false">F893-H893-J893</f>
        <v>107512</v>
      </c>
      <c r="R893" s="51" t="n">
        <f aca="false">G893-I893-K893</f>
        <v>115528</v>
      </c>
      <c r="S893" s="51" t="n">
        <f aca="false">R893-Q893</f>
        <v>8016</v>
      </c>
      <c r="T893" s="52" t="n">
        <f aca="false">IF(Q893=0,0,S893/Q893)</f>
        <v>0.0745591189820671</v>
      </c>
      <c r="U893" s="51" t="str">
        <f aca="false">IF(AND(Q893&gt;0,T893&lt;-0.15),"ADVERSE","")</f>
        <v/>
      </c>
    </row>
    <row r="894" customFormat="false" ht="15" hidden="false" customHeight="false" outlineLevel="0" collapsed="false">
      <c r="A894" s="47" t="s">
        <v>3</v>
      </c>
      <c r="B894" s="47" t="s">
        <v>135</v>
      </c>
      <c r="C894" s="48" t="n">
        <v>45748</v>
      </c>
      <c r="D894" s="47" t="s">
        <v>37</v>
      </c>
      <c r="E894" s="47" t="s">
        <v>40</v>
      </c>
      <c r="F894" s="49" t="n">
        <v>408063</v>
      </c>
      <c r="G894" s="49" t="n">
        <v>440930</v>
      </c>
      <c r="H894" s="49" t="n">
        <v>244634</v>
      </c>
      <c r="I894" s="49" t="n">
        <v>266967</v>
      </c>
      <c r="J894" s="49" t="n">
        <v>58557</v>
      </c>
      <c r="K894" s="49" t="n">
        <v>64679</v>
      </c>
      <c r="L894" s="50" t="n">
        <v>25.5</v>
      </c>
      <c r="M894" s="51" t="n">
        <f aca="false">G894-F894</f>
        <v>32867</v>
      </c>
      <c r="N894" s="52" t="n">
        <f aca="false">IF(F894=0,0,M894/F894)</f>
        <v>0.0805439356177845</v>
      </c>
      <c r="O894" s="51" t="n">
        <f aca="false">G894-I894</f>
        <v>173963</v>
      </c>
      <c r="P894" s="51" t="n">
        <f aca="false">F894-H894</f>
        <v>163429</v>
      </c>
      <c r="Q894" s="51" t="n">
        <f aca="false">F894-H894-J894</f>
        <v>104872</v>
      </c>
      <c r="R894" s="51" t="n">
        <f aca="false">G894-I894-K894</f>
        <v>109284</v>
      </c>
      <c r="S894" s="51" t="n">
        <f aca="false">R894-Q894</f>
        <v>4412</v>
      </c>
      <c r="T894" s="52" t="n">
        <f aca="false">IF(Q894=0,0,S894/Q894)</f>
        <v>0.0420703333587612</v>
      </c>
      <c r="U894" s="51" t="str">
        <f aca="false">IF(AND(Q894&gt;0,T894&lt;-0.15),"ADVERSE","")</f>
        <v/>
      </c>
    </row>
    <row r="895" customFormat="false" ht="15" hidden="false" customHeight="false" outlineLevel="0" collapsed="false">
      <c r="A895" s="47" t="s">
        <v>3</v>
      </c>
      <c r="B895" s="47" t="s">
        <v>135</v>
      </c>
      <c r="C895" s="48" t="n">
        <v>45778</v>
      </c>
      <c r="D895" s="47" t="s">
        <v>37</v>
      </c>
      <c r="E895" s="47" t="s">
        <v>40</v>
      </c>
      <c r="F895" s="49" t="n">
        <v>396610</v>
      </c>
      <c r="G895" s="49" t="n">
        <v>379965</v>
      </c>
      <c r="H895" s="49" t="n">
        <v>237767</v>
      </c>
      <c r="I895" s="49" t="n">
        <v>227942</v>
      </c>
      <c r="J895" s="49" t="n">
        <v>56913</v>
      </c>
      <c r="K895" s="49" t="n">
        <v>52734</v>
      </c>
      <c r="L895" s="50" t="n">
        <v>25.6</v>
      </c>
      <c r="M895" s="51" t="n">
        <f aca="false">G895-F895</f>
        <v>-16645</v>
      </c>
      <c r="N895" s="52" t="n">
        <f aca="false">IF(F895=0,0,M895/F895)</f>
        <v>-0.0419681803282822</v>
      </c>
      <c r="O895" s="51" t="n">
        <f aca="false">G895-I895</f>
        <v>152023</v>
      </c>
      <c r="P895" s="51" t="n">
        <f aca="false">F895-H895</f>
        <v>158843</v>
      </c>
      <c r="Q895" s="51" t="n">
        <f aca="false">F895-H895-J895</f>
        <v>101930</v>
      </c>
      <c r="R895" s="51" t="n">
        <f aca="false">G895-I895-K895</f>
        <v>99289</v>
      </c>
      <c r="S895" s="51" t="n">
        <f aca="false">R895-Q895</f>
        <v>-2641</v>
      </c>
      <c r="T895" s="52" t="n">
        <f aca="false">IF(Q895=0,0,S895/Q895)</f>
        <v>-0.0259099381928775</v>
      </c>
      <c r="U895" s="51" t="str">
        <f aca="false">IF(AND(Q895&gt;0,T895&lt;-0.15),"ADVERSE","")</f>
        <v/>
      </c>
    </row>
    <row r="896" customFormat="false" ht="15" hidden="false" customHeight="false" outlineLevel="0" collapsed="false">
      <c r="A896" s="47" t="s">
        <v>3</v>
      </c>
      <c r="B896" s="47" t="s">
        <v>135</v>
      </c>
      <c r="C896" s="48" t="n">
        <v>45809</v>
      </c>
      <c r="D896" s="47" t="s">
        <v>37</v>
      </c>
      <c r="E896" s="47" t="s">
        <v>40</v>
      </c>
      <c r="F896" s="49" t="n">
        <v>405646</v>
      </c>
      <c r="G896" s="49" t="n">
        <v>420038</v>
      </c>
      <c r="H896" s="49" t="n">
        <v>243185</v>
      </c>
      <c r="I896" s="49" t="n">
        <v>251396</v>
      </c>
      <c r="J896" s="49" t="n">
        <v>58210</v>
      </c>
      <c r="K896" s="49" t="n">
        <v>60226</v>
      </c>
      <c r="L896" s="50" t="n">
        <v>25.8</v>
      </c>
      <c r="M896" s="51" t="n">
        <f aca="false">G896-F896</f>
        <v>14392</v>
      </c>
      <c r="N896" s="52" t="n">
        <f aca="false">IF(F896=0,0,M896/F896)</f>
        <v>0.0354792109376156</v>
      </c>
      <c r="O896" s="51" t="n">
        <f aca="false">G896-I896</f>
        <v>168642</v>
      </c>
      <c r="P896" s="51" t="n">
        <f aca="false">F896-H896</f>
        <v>162461</v>
      </c>
      <c r="Q896" s="51" t="n">
        <f aca="false">F896-H896-J896</f>
        <v>104251</v>
      </c>
      <c r="R896" s="51" t="n">
        <f aca="false">G896-I896-K896</f>
        <v>108416</v>
      </c>
      <c r="S896" s="51" t="n">
        <f aca="false">R896-Q896</f>
        <v>4165</v>
      </c>
      <c r="T896" s="52" t="n">
        <f aca="false">IF(Q896=0,0,S896/Q896)</f>
        <v>0.0399516551399987</v>
      </c>
      <c r="U896" s="51" t="str">
        <f aca="false">IF(AND(Q896&gt;0,T896&lt;-0.15),"ADVERSE","")</f>
        <v/>
      </c>
    </row>
    <row r="897" customFormat="false" ht="15" hidden="false" customHeight="false" outlineLevel="0" collapsed="false">
      <c r="A897" s="47" t="s">
        <v>3</v>
      </c>
      <c r="B897" s="47" t="s">
        <v>136</v>
      </c>
      <c r="C897" s="48" t="n">
        <v>45839</v>
      </c>
      <c r="D897" s="47" t="s">
        <v>37</v>
      </c>
      <c r="E897" s="47" t="s">
        <v>40</v>
      </c>
      <c r="F897" s="49" t="n">
        <v>414617</v>
      </c>
      <c r="G897" s="49" t="n">
        <v>397137</v>
      </c>
      <c r="H897" s="49" t="n">
        <v>248563</v>
      </c>
      <c r="I897" s="49" t="n">
        <v>231006</v>
      </c>
      <c r="J897" s="49" t="n">
        <v>59497</v>
      </c>
      <c r="K897" s="49" t="n">
        <v>57200</v>
      </c>
      <c r="L897" s="50" t="n">
        <v>26.1</v>
      </c>
      <c r="M897" s="51" t="n">
        <f aca="false">G897-F897</f>
        <v>-17480</v>
      </c>
      <c r="N897" s="52" t="n">
        <f aca="false">IF(F897=0,0,M897/F897)</f>
        <v>-0.0421593904736178</v>
      </c>
      <c r="O897" s="51" t="n">
        <f aca="false">G897-I897</f>
        <v>166131</v>
      </c>
      <c r="P897" s="51" t="n">
        <f aca="false">F897-H897</f>
        <v>166054</v>
      </c>
      <c r="Q897" s="51" t="n">
        <f aca="false">F897-H897-J897</f>
        <v>106557</v>
      </c>
      <c r="R897" s="51" t="n">
        <f aca="false">G897-I897-K897</f>
        <v>108931</v>
      </c>
      <c r="S897" s="51" t="n">
        <f aca="false">R897-Q897</f>
        <v>2374</v>
      </c>
      <c r="T897" s="52" t="n">
        <f aca="false">IF(Q897=0,0,S897/Q897)</f>
        <v>0.0222791557570127</v>
      </c>
      <c r="U897" s="51" t="str">
        <f aca="false">IF(AND(Q897&gt;0,T897&lt;-0.15),"ADVERSE","")</f>
        <v/>
      </c>
    </row>
    <row r="898" customFormat="false" ht="15" hidden="false" customHeight="false" outlineLevel="0" collapsed="false">
      <c r="A898" s="47" t="s">
        <v>3</v>
      </c>
      <c r="B898" s="47" t="s">
        <v>136</v>
      </c>
      <c r="C898" s="48" t="n">
        <v>45870</v>
      </c>
      <c r="D898" s="47" t="s">
        <v>37</v>
      </c>
      <c r="E898" s="47" t="s">
        <v>40</v>
      </c>
      <c r="F898" s="49" t="n">
        <v>407121</v>
      </c>
      <c r="G898" s="49" t="n">
        <v>405816</v>
      </c>
      <c r="H898" s="49" t="n">
        <v>244069</v>
      </c>
      <c r="I898" s="49" t="n">
        <v>240213</v>
      </c>
      <c r="J898" s="49" t="n">
        <v>58422</v>
      </c>
      <c r="K898" s="49" t="n">
        <v>59596</v>
      </c>
      <c r="L898" s="50" t="n">
        <v>26</v>
      </c>
      <c r="M898" s="51" t="n">
        <f aca="false">G898-F898</f>
        <v>-1305</v>
      </c>
      <c r="N898" s="52" t="n">
        <f aca="false">IF(F898=0,0,M898/F898)</f>
        <v>-0.00320543523915494</v>
      </c>
      <c r="O898" s="51" t="n">
        <f aca="false">G898-I898</f>
        <v>165603</v>
      </c>
      <c r="P898" s="51" t="n">
        <f aca="false">F898-H898</f>
        <v>163052</v>
      </c>
      <c r="Q898" s="51" t="n">
        <f aca="false">F898-H898-J898</f>
        <v>104630</v>
      </c>
      <c r="R898" s="51" t="n">
        <f aca="false">G898-I898-K898</f>
        <v>106007</v>
      </c>
      <c r="S898" s="51" t="n">
        <f aca="false">R898-Q898</f>
        <v>1377</v>
      </c>
      <c r="T898" s="52" t="n">
        <f aca="false">IF(Q898=0,0,S898/Q898)</f>
        <v>0.0131606613781898</v>
      </c>
      <c r="U898" s="51" t="str">
        <f aca="false">IF(AND(Q898&gt;0,T898&lt;-0.15),"ADVERSE","")</f>
        <v/>
      </c>
    </row>
    <row r="899" customFormat="false" ht="15" hidden="false" customHeight="false" outlineLevel="0" collapsed="false">
      <c r="A899" s="47" t="s">
        <v>3</v>
      </c>
      <c r="B899" s="47" t="s">
        <v>136</v>
      </c>
      <c r="C899" s="48" t="n">
        <v>45901</v>
      </c>
      <c r="D899" s="47" t="s">
        <v>37</v>
      </c>
      <c r="E899" s="47" t="s">
        <v>40</v>
      </c>
      <c r="F899" s="49" t="n">
        <v>414881</v>
      </c>
      <c r="G899" s="49" t="n">
        <v>402894</v>
      </c>
      <c r="H899" s="49" t="n">
        <v>248721</v>
      </c>
      <c r="I899" s="49" t="n">
        <v>242053</v>
      </c>
      <c r="J899" s="49" t="n">
        <v>59535</v>
      </c>
      <c r="K899" s="49" t="n">
        <v>56259</v>
      </c>
      <c r="L899" s="50" t="n">
        <v>26.7</v>
      </c>
      <c r="M899" s="51" t="n">
        <f aca="false">G899-F899</f>
        <v>-11987</v>
      </c>
      <c r="N899" s="52" t="n">
        <f aca="false">IF(F899=0,0,M899/F899)</f>
        <v>-0.0288926222217937</v>
      </c>
      <c r="O899" s="51" t="n">
        <f aca="false">G899-I899</f>
        <v>160841</v>
      </c>
      <c r="P899" s="51" t="n">
        <f aca="false">F899-H899</f>
        <v>166160</v>
      </c>
      <c r="Q899" s="51" t="n">
        <f aca="false">F899-H899-J899</f>
        <v>106625</v>
      </c>
      <c r="R899" s="51" t="n">
        <f aca="false">G899-I899-K899</f>
        <v>104582</v>
      </c>
      <c r="S899" s="51" t="n">
        <f aca="false">R899-Q899</f>
        <v>-2043</v>
      </c>
      <c r="T899" s="52" t="n">
        <f aca="false">IF(Q899=0,0,S899/Q899)</f>
        <v>-0.0191606096131301</v>
      </c>
      <c r="U899" s="51" t="str">
        <f aca="false">IF(AND(Q899&gt;0,T899&lt;-0.15),"ADVERSE","")</f>
        <v/>
      </c>
    </row>
    <row r="900" customFormat="false" ht="15" hidden="false" customHeight="false" outlineLevel="0" collapsed="false">
      <c r="A900" s="47" t="s">
        <v>3</v>
      </c>
      <c r="B900" s="47" t="s">
        <v>137</v>
      </c>
      <c r="C900" s="48" t="n">
        <v>45931</v>
      </c>
      <c r="D900" s="47" t="s">
        <v>37</v>
      </c>
      <c r="E900" s="47" t="s">
        <v>40</v>
      </c>
      <c r="F900" s="49" t="n">
        <v>423484</v>
      </c>
      <c r="G900" s="49" t="n">
        <v>444572</v>
      </c>
      <c r="H900" s="49" t="n">
        <v>253879</v>
      </c>
      <c r="I900" s="49" t="n">
        <v>268882</v>
      </c>
      <c r="J900" s="49" t="n">
        <v>60770</v>
      </c>
      <c r="K900" s="49" t="n">
        <v>62839</v>
      </c>
      <c r="L900" s="50" t="n">
        <v>26.5</v>
      </c>
      <c r="M900" s="51" t="n">
        <f aca="false">G900-F900</f>
        <v>21088</v>
      </c>
      <c r="N900" s="52" t="n">
        <f aca="false">IF(F900=0,0,M900/F900)</f>
        <v>0.0497964503971815</v>
      </c>
      <c r="O900" s="51" t="n">
        <f aca="false">G900-I900</f>
        <v>175690</v>
      </c>
      <c r="P900" s="51" t="n">
        <f aca="false">F900-H900</f>
        <v>169605</v>
      </c>
      <c r="Q900" s="51" t="n">
        <f aca="false">F900-H900-J900</f>
        <v>108835</v>
      </c>
      <c r="R900" s="51" t="n">
        <f aca="false">G900-I900-K900</f>
        <v>112851</v>
      </c>
      <c r="S900" s="51" t="n">
        <f aca="false">R900-Q900</f>
        <v>4016</v>
      </c>
      <c r="T900" s="52" t="n">
        <f aca="false">IF(Q900=0,0,S900/Q900)</f>
        <v>0.0368998943354619</v>
      </c>
      <c r="U900" s="51" t="str">
        <f aca="false">IF(AND(Q900&gt;0,T900&lt;-0.15),"ADVERSE","")</f>
        <v/>
      </c>
    </row>
    <row r="901" customFormat="false" ht="15" hidden="false" customHeight="false" outlineLevel="0" collapsed="false">
      <c r="A901" s="47" t="s">
        <v>3</v>
      </c>
      <c r="B901" s="47" t="s">
        <v>137</v>
      </c>
      <c r="C901" s="48" t="n">
        <v>45962</v>
      </c>
      <c r="D901" s="47" t="s">
        <v>37</v>
      </c>
      <c r="E901" s="47" t="s">
        <v>40</v>
      </c>
      <c r="F901" s="49" t="n">
        <v>422335</v>
      </c>
      <c r="G901" s="49" t="n">
        <v>407522</v>
      </c>
      <c r="H901" s="49" t="n">
        <v>253190</v>
      </c>
      <c r="I901" s="49" t="n">
        <v>246255</v>
      </c>
      <c r="J901" s="49" t="n">
        <v>60605</v>
      </c>
      <c r="K901" s="49" t="n">
        <v>57885</v>
      </c>
      <c r="L901" s="50" t="n">
        <v>26.4</v>
      </c>
      <c r="M901" s="51" t="n">
        <f aca="false">G901-F901</f>
        <v>-14813</v>
      </c>
      <c r="N901" s="52" t="n">
        <f aca="false">IF(F901=0,0,M901/F901)</f>
        <v>-0.0350740525885849</v>
      </c>
      <c r="O901" s="51" t="n">
        <f aca="false">G901-I901</f>
        <v>161267</v>
      </c>
      <c r="P901" s="51" t="n">
        <f aca="false">F901-H901</f>
        <v>169145</v>
      </c>
      <c r="Q901" s="51" t="n">
        <f aca="false">F901-H901-J901</f>
        <v>108540</v>
      </c>
      <c r="R901" s="51" t="n">
        <f aca="false">G901-I901-K901</f>
        <v>103382</v>
      </c>
      <c r="S901" s="51" t="n">
        <f aca="false">R901-Q901</f>
        <v>-5158</v>
      </c>
      <c r="T901" s="52" t="n">
        <f aca="false">IF(Q901=0,0,S901/Q901)</f>
        <v>-0.0475216510042381</v>
      </c>
      <c r="U901" s="51" t="str">
        <f aca="false">IF(AND(Q901&gt;0,T901&lt;-0.15),"ADVERSE","")</f>
        <v/>
      </c>
    </row>
    <row r="902" customFormat="false" ht="15" hidden="false" customHeight="false" outlineLevel="0" collapsed="false">
      <c r="A902" s="47" t="s">
        <v>3</v>
      </c>
      <c r="B902" s="47" t="s">
        <v>137</v>
      </c>
      <c r="C902" s="48" t="n">
        <v>45992</v>
      </c>
      <c r="D902" s="47" t="s">
        <v>37</v>
      </c>
      <c r="E902" s="47" t="s">
        <v>40</v>
      </c>
      <c r="F902" s="49" t="n">
        <v>417012</v>
      </c>
      <c r="G902" s="49" t="n">
        <v>406370</v>
      </c>
      <c r="H902" s="49" t="n">
        <v>249999</v>
      </c>
      <c r="I902" s="49" t="n">
        <v>235581</v>
      </c>
      <c r="J902" s="49" t="n">
        <v>59841</v>
      </c>
      <c r="K902" s="49" t="n">
        <v>61432</v>
      </c>
      <c r="L902" s="50" t="n">
        <v>26.5</v>
      </c>
      <c r="M902" s="51" t="n">
        <f aca="false">G902-F902</f>
        <v>-10642</v>
      </c>
      <c r="N902" s="52" t="n">
        <f aca="false">IF(F902=0,0,M902/F902)</f>
        <v>-0.025519649314648</v>
      </c>
      <c r="O902" s="51" t="n">
        <f aca="false">G902-I902</f>
        <v>170789</v>
      </c>
      <c r="P902" s="51" t="n">
        <f aca="false">F902-H902</f>
        <v>167013</v>
      </c>
      <c r="Q902" s="51" t="n">
        <f aca="false">F902-H902-J902</f>
        <v>107172</v>
      </c>
      <c r="R902" s="51" t="n">
        <f aca="false">G902-I902-K902</f>
        <v>109357</v>
      </c>
      <c r="S902" s="51" t="n">
        <f aca="false">R902-Q902</f>
        <v>2185</v>
      </c>
      <c r="T902" s="52" t="n">
        <f aca="false">IF(Q902=0,0,S902/Q902)</f>
        <v>0.0203877878550368</v>
      </c>
      <c r="U902" s="51" t="str">
        <f aca="false">IF(AND(Q902&gt;0,T902&lt;-0.15),"ADVERSE","")</f>
        <v/>
      </c>
    </row>
    <row r="903" customFormat="false" ht="15" hidden="false" customHeight="false" outlineLevel="0" collapsed="false">
      <c r="A903" s="47" t="s">
        <v>3</v>
      </c>
      <c r="B903" s="47" t="s">
        <v>138</v>
      </c>
      <c r="C903" s="48" t="n">
        <v>46023</v>
      </c>
      <c r="D903" s="47" t="s">
        <v>37</v>
      </c>
      <c r="E903" s="47" t="s">
        <v>40</v>
      </c>
      <c r="F903" s="49" t="n">
        <v>407086</v>
      </c>
      <c r="G903" s="49" t="n">
        <v>371954</v>
      </c>
      <c r="H903" s="49" t="n">
        <v>244048</v>
      </c>
      <c r="I903" s="49" t="n">
        <v>222496</v>
      </c>
      <c r="J903" s="49" t="n">
        <v>58417</v>
      </c>
      <c r="K903" s="49" t="n">
        <v>56895</v>
      </c>
      <c r="L903" s="50" t="n">
        <v>26.8</v>
      </c>
      <c r="M903" s="51" t="n">
        <f aca="false">G903-F903</f>
        <v>-35132</v>
      </c>
      <c r="N903" s="52" t="n">
        <f aca="false">IF(F903=0,0,M903/F903)</f>
        <v>-0.0863011746903603</v>
      </c>
      <c r="O903" s="51" t="n">
        <f aca="false">G903-I903</f>
        <v>149458</v>
      </c>
      <c r="P903" s="51" t="n">
        <f aca="false">F903-H903</f>
        <v>163038</v>
      </c>
      <c r="Q903" s="51" t="n">
        <f aca="false">F903-H903-J903</f>
        <v>104621</v>
      </c>
      <c r="R903" s="51" t="n">
        <f aca="false">G903-I903-K903</f>
        <v>92563</v>
      </c>
      <c r="S903" s="51" t="n">
        <f aca="false">R903-Q903</f>
        <v>-12058</v>
      </c>
      <c r="T903" s="52" t="n">
        <f aca="false">IF(Q903=0,0,S903/Q903)</f>
        <v>-0.115254107683926</v>
      </c>
      <c r="U903" s="51" t="str">
        <f aca="false">IF(AND(Q903&gt;0,T903&lt;-0.15),"ADVERSE","")</f>
        <v/>
      </c>
    </row>
    <row r="904" customFormat="false" ht="15" hidden="false" customHeight="false" outlineLevel="0" collapsed="false">
      <c r="A904" s="47" t="s">
        <v>3</v>
      </c>
      <c r="B904" s="47" t="s">
        <v>138</v>
      </c>
      <c r="C904" s="48" t="n">
        <v>46054</v>
      </c>
      <c r="D904" s="47" t="s">
        <v>37</v>
      </c>
      <c r="E904" s="47" t="s">
        <v>40</v>
      </c>
      <c r="F904" s="49" t="n">
        <v>420102</v>
      </c>
      <c r="G904" s="49" t="n">
        <v>419516</v>
      </c>
      <c r="H904" s="49" t="n">
        <v>251851</v>
      </c>
      <c r="I904" s="49" t="n">
        <v>251734</v>
      </c>
      <c r="J904" s="49" t="n">
        <v>60285</v>
      </c>
      <c r="K904" s="49" t="n">
        <v>61192</v>
      </c>
      <c r="L904" s="50" t="n">
        <v>26.8</v>
      </c>
      <c r="M904" s="51" t="n">
        <f aca="false">G904-F904</f>
        <v>-586</v>
      </c>
      <c r="N904" s="52" t="n">
        <f aca="false">IF(F904=0,0,M904/F904)</f>
        <v>-0.00139489933397127</v>
      </c>
      <c r="O904" s="51" t="n">
        <f aca="false">G904-I904</f>
        <v>167782</v>
      </c>
      <c r="P904" s="51" t="n">
        <f aca="false">F904-H904</f>
        <v>168251</v>
      </c>
      <c r="Q904" s="51" t="n">
        <f aca="false">F904-H904-J904</f>
        <v>107966</v>
      </c>
      <c r="R904" s="51" t="n">
        <f aca="false">G904-I904-K904</f>
        <v>106590</v>
      </c>
      <c r="S904" s="51" t="n">
        <f aca="false">R904-Q904</f>
        <v>-1376</v>
      </c>
      <c r="T904" s="52" t="n">
        <f aca="false">IF(Q904=0,0,S904/Q904)</f>
        <v>-0.0127447529777893</v>
      </c>
      <c r="U904" s="51" t="str">
        <f aca="false">IF(AND(Q904&gt;0,T904&lt;-0.15),"ADVERSE","")</f>
        <v/>
      </c>
    </row>
    <row r="905" customFormat="false" ht="15" hidden="false" customHeight="false" outlineLevel="0" collapsed="false">
      <c r="A905" s="47" t="s">
        <v>3</v>
      </c>
      <c r="B905" s="47" t="s">
        <v>138</v>
      </c>
      <c r="C905" s="48" t="n">
        <v>46082</v>
      </c>
      <c r="D905" s="47" t="s">
        <v>37</v>
      </c>
      <c r="E905" s="47" t="s">
        <v>40</v>
      </c>
      <c r="F905" s="49" t="n">
        <v>446137</v>
      </c>
      <c r="G905" s="49" t="n">
        <v>434236</v>
      </c>
      <c r="H905" s="49" t="n">
        <v>267459</v>
      </c>
      <c r="I905" s="49" t="n">
        <v>261877</v>
      </c>
      <c r="J905" s="49" t="n">
        <v>64021</v>
      </c>
      <c r="K905" s="49" t="n">
        <v>62498</v>
      </c>
      <c r="L905" s="50" t="n">
        <v>26.1</v>
      </c>
      <c r="M905" s="51" t="n">
        <f aca="false">G905-F905</f>
        <v>-11901</v>
      </c>
      <c r="N905" s="52" t="n">
        <f aca="false">IF(F905=0,0,M905/F905)</f>
        <v>-0.0266756624086323</v>
      </c>
      <c r="O905" s="51" t="n">
        <f aca="false">G905-I905</f>
        <v>172359</v>
      </c>
      <c r="P905" s="51" t="n">
        <f aca="false">F905-H905</f>
        <v>178678</v>
      </c>
      <c r="Q905" s="51" t="n">
        <f aca="false">F905-H905-J905</f>
        <v>114657</v>
      </c>
      <c r="R905" s="51" t="n">
        <f aca="false">G905-I905-K905</f>
        <v>109861</v>
      </c>
      <c r="S905" s="51" t="n">
        <f aca="false">R905-Q905</f>
        <v>-4796</v>
      </c>
      <c r="T905" s="52" t="n">
        <f aca="false">IF(Q905=0,0,S905/Q905)</f>
        <v>-0.0418291076864038</v>
      </c>
      <c r="U905" s="51" t="str">
        <f aca="false">IF(AND(Q905&gt;0,T905&lt;-0.15),"ADVERSE","")</f>
        <v/>
      </c>
    </row>
    <row r="906" customFormat="false" ht="15" hidden="false" customHeight="false" outlineLevel="0" collapsed="false">
      <c r="A906" s="47" t="s">
        <v>134</v>
      </c>
      <c r="B906" s="47" t="s">
        <v>135</v>
      </c>
      <c r="C906" s="48" t="n">
        <v>45017</v>
      </c>
      <c r="D906" s="47" t="s">
        <v>37</v>
      </c>
      <c r="E906" s="47" t="s">
        <v>41</v>
      </c>
      <c r="F906" s="49" t="n">
        <v>243514</v>
      </c>
      <c r="G906" s="49" t="n">
        <v>247919</v>
      </c>
      <c r="H906" s="49" t="n">
        <v>145987</v>
      </c>
      <c r="I906" s="49" t="n">
        <v>146983</v>
      </c>
      <c r="J906" s="49" t="n">
        <v>34944</v>
      </c>
      <c r="K906" s="49" t="n">
        <v>35471</v>
      </c>
      <c r="L906" s="50" t="n">
        <v>16.4</v>
      </c>
      <c r="M906" s="51" t="n">
        <f aca="false">G906-F906</f>
        <v>4405</v>
      </c>
      <c r="N906" s="52" t="n">
        <f aca="false">IF(F906=0,0,M906/F906)</f>
        <v>0.0180893090335669</v>
      </c>
      <c r="O906" s="51" t="n">
        <f aca="false">G906-I906</f>
        <v>100936</v>
      </c>
      <c r="P906" s="51" t="n">
        <f aca="false">F906-H906</f>
        <v>97527</v>
      </c>
      <c r="Q906" s="51" t="n">
        <f aca="false">F906-H906-J906</f>
        <v>62583</v>
      </c>
      <c r="R906" s="51" t="n">
        <f aca="false">G906-I906-K906</f>
        <v>65465</v>
      </c>
      <c r="S906" s="51" t="n">
        <f aca="false">R906-Q906</f>
        <v>2882</v>
      </c>
      <c r="T906" s="52" t="n">
        <f aca="false">IF(Q906=0,0,S906/Q906)</f>
        <v>0.0460508444785325</v>
      </c>
      <c r="U906" s="51" t="str">
        <f aca="false">IF(AND(Q906&gt;0,T906&lt;-0.15),"ADVERSE","")</f>
        <v/>
      </c>
    </row>
    <row r="907" customFormat="false" ht="15" hidden="false" customHeight="false" outlineLevel="0" collapsed="false">
      <c r="A907" s="47" t="s">
        <v>134</v>
      </c>
      <c r="B907" s="47" t="s">
        <v>135</v>
      </c>
      <c r="C907" s="48" t="n">
        <v>45047</v>
      </c>
      <c r="D907" s="47" t="s">
        <v>37</v>
      </c>
      <c r="E907" s="47" t="s">
        <v>41</v>
      </c>
      <c r="F907" s="49" t="n">
        <v>238198</v>
      </c>
      <c r="G907" s="49" t="n">
        <v>241122</v>
      </c>
      <c r="H907" s="49" t="n">
        <v>142800</v>
      </c>
      <c r="I907" s="49" t="n">
        <v>144263</v>
      </c>
      <c r="J907" s="49" t="n">
        <v>34181</v>
      </c>
      <c r="K907" s="49" t="n">
        <v>36239</v>
      </c>
      <c r="L907" s="50" t="n">
        <v>16.6</v>
      </c>
      <c r="M907" s="51" t="n">
        <f aca="false">G907-F907</f>
        <v>2924</v>
      </c>
      <c r="N907" s="52" t="n">
        <f aca="false">IF(F907=0,0,M907/F907)</f>
        <v>0.0122755018933828</v>
      </c>
      <c r="O907" s="51" t="n">
        <f aca="false">G907-I907</f>
        <v>96859</v>
      </c>
      <c r="P907" s="51" t="n">
        <f aca="false">F907-H907</f>
        <v>95398</v>
      </c>
      <c r="Q907" s="51" t="n">
        <f aca="false">F907-H907-J907</f>
        <v>61217</v>
      </c>
      <c r="R907" s="51" t="n">
        <f aca="false">G907-I907-K907</f>
        <v>60620</v>
      </c>
      <c r="S907" s="51" t="n">
        <f aca="false">R907-Q907</f>
        <v>-597</v>
      </c>
      <c r="T907" s="52" t="n">
        <f aca="false">IF(Q907=0,0,S907/Q907)</f>
        <v>-0.00975219301827924</v>
      </c>
      <c r="U907" s="51" t="str">
        <f aca="false">IF(AND(Q907&gt;0,T907&lt;-0.15),"ADVERSE","")</f>
        <v/>
      </c>
    </row>
    <row r="908" customFormat="false" ht="15" hidden="false" customHeight="false" outlineLevel="0" collapsed="false">
      <c r="A908" s="47" t="s">
        <v>134</v>
      </c>
      <c r="B908" s="47" t="s">
        <v>135</v>
      </c>
      <c r="C908" s="48" t="n">
        <v>45078</v>
      </c>
      <c r="D908" s="47" t="s">
        <v>37</v>
      </c>
      <c r="E908" s="47" t="s">
        <v>41</v>
      </c>
      <c r="F908" s="49" t="n">
        <v>245782</v>
      </c>
      <c r="G908" s="49" t="n">
        <v>262507</v>
      </c>
      <c r="H908" s="49" t="n">
        <v>147346</v>
      </c>
      <c r="I908" s="49" t="n">
        <v>157692</v>
      </c>
      <c r="J908" s="49" t="n">
        <v>35270</v>
      </c>
      <c r="K908" s="49" t="n">
        <v>35588</v>
      </c>
      <c r="L908" s="50" t="n">
        <v>16.7</v>
      </c>
      <c r="M908" s="51" t="n">
        <f aca="false">G908-F908</f>
        <v>16725</v>
      </c>
      <c r="N908" s="52" t="n">
        <f aca="false">IF(F908=0,0,M908/F908)</f>
        <v>0.068048107672653</v>
      </c>
      <c r="O908" s="51" t="n">
        <f aca="false">G908-I908</f>
        <v>104815</v>
      </c>
      <c r="P908" s="51" t="n">
        <f aca="false">F908-H908</f>
        <v>98436</v>
      </c>
      <c r="Q908" s="51" t="n">
        <f aca="false">F908-H908-J908</f>
        <v>63166</v>
      </c>
      <c r="R908" s="51" t="n">
        <f aca="false">G908-I908-K908</f>
        <v>69227</v>
      </c>
      <c r="S908" s="51" t="n">
        <f aca="false">R908-Q908</f>
        <v>6061</v>
      </c>
      <c r="T908" s="52" t="n">
        <f aca="false">IF(Q908=0,0,S908/Q908)</f>
        <v>0.0959535192983567</v>
      </c>
      <c r="U908" s="51" t="str">
        <f aca="false">IF(AND(Q908&gt;0,T908&lt;-0.15),"ADVERSE","")</f>
        <v/>
      </c>
    </row>
    <row r="909" customFormat="false" ht="15" hidden="false" customHeight="false" outlineLevel="0" collapsed="false">
      <c r="A909" s="47" t="s">
        <v>134</v>
      </c>
      <c r="B909" s="47" t="s">
        <v>136</v>
      </c>
      <c r="C909" s="48" t="n">
        <v>45108</v>
      </c>
      <c r="D909" s="47" t="s">
        <v>37</v>
      </c>
      <c r="E909" s="47" t="s">
        <v>41</v>
      </c>
      <c r="F909" s="49" t="n">
        <v>250522</v>
      </c>
      <c r="G909" s="49" t="n">
        <v>266677</v>
      </c>
      <c r="H909" s="49" t="n">
        <v>150188</v>
      </c>
      <c r="I909" s="49" t="n">
        <v>162200</v>
      </c>
      <c r="J909" s="49" t="n">
        <v>35950</v>
      </c>
      <c r="K909" s="49" t="n">
        <v>40553</v>
      </c>
      <c r="L909" s="50" t="n">
        <v>16.7</v>
      </c>
      <c r="M909" s="51" t="n">
        <f aca="false">G909-F909</f>
        <v>16155</v>
      </c>
      <c r="N909" s="52" t="n">
        <f aca="false">IF(F909=0,0,M909/F909)</f>
        <v>0.0644853545796377</v>
      </c>
      <c r="O909" s="51" t="n">
        <f aca="false">G909-I909</f>
        <v>104477</v>
      </c>
      <c r="P909" s="51" t="n">
        <f aca="false">F909-H909</f>
        <v>100334</v>
      </c>
      <c r="Q909" s="51" t="n">
        <f aca="false">F909-H909-J909</f>
        <v>64384</v>
      </c>
      <c r="R909" s="51" t="n">
        <f aca="false">G909-I909-K909</f>
        <v>63924</v>
      </c>
      <c r="S909" s="51" t="n">
        <f aca="false">R909-Q909</f>
        <v>-460</v>
      </c>
      <c r="T909" s="52" t="n">
        <f aca="false">IF(Q909=0,0,S909/Q909)</f>
        <v>-0.00714463220675944</v>
      </c>
      <c r="U909" s="51" t="str">
        <f aca="false">IF(AND(Q909&gt;0,T909&lt;-0.15),"ADVERSE","")</f>
        <v/>
      </c>
    </row>
    <row r="910" customFormat="false" ht="15" hidden="false" customHeight="false" outlineLevel="0" collapsed="false">
      <c r="A910" s="47" t="s">
        <v>134</v>
      </c>
      <c r="B910" s="47" t="s">
        <v>136</v>
      </c>
      <c r="C910" s="48" t="n">
        <v>45139</v>
      </c>
      <c r="D910" s="47" t="s">
        <v>37</v>
      </c>
      <c r="E910" s="47" t="s">
        <v>41</v>
      </c>
      <c r="F910" s="49" t="n">
        <v>246761</v>
      </c>
      <c r="G910" s="49" t="n">
        <v>253843</v>
      </c>
      <c r="H910" s="49" t="n">
        <v>147933</v>
      </c>
      <c r="I910" s="49" t="n">
        <v>150777</v>
      </c>
      <c r="J910" s="49" t="n">
        <v>35410</v>
      </c>
      <c r="K910" s="49" t="n">
        <v>37420</v>
      </c>
      <c r="L910" s="50" t="n">
        <v>17.2</v>
      </c>
      <c r="M910" s="51" t="n">
        <f aca="false">G910-F910</f>
        <v>7082</v>
      </c>
      <c r="N910" s="52" t="n">
        <f aca="false">IF(F910=0,0,M910/F910)</f>
        <v>0.0286998350630772</v>
      </c>
      <c r="O910" s="51" t="n">
        <f aca="false">G910-I910</f>
        <v>103066</v>
      </c>
      <c r="P910" s="51" t="n">
        <f aca="false">F910-H910</f>
        <v>98828</v>
      </c>
      <c r="Q910" s="51" t="n">
        <f aca="false">F910-H910-J910</f>
        <v>63418</v>
      </c>
      <c r="R910" s="51" t="n">
        <f aca="false">G910-I910-K910</f>
        <v>65646</v>
      </c>
      <c r="S910" s="51" t="n">
        <f aca="false">R910-Q910</f>
        <v>2228</v>
      </c>
      <c r="T910" s="52" t="n">
        <f aca="false">IF(Q910=0,0,S910/Q910)</f>
        <v>0.0351319814563689</v>
      </c>
      <c r="U910" s="51" t="str">
        <f aca="false">IF(AND(Q910&gt;0,T910&lt;-0.15),"ADVERSE","")</f>
        <v/>
      </c>
    </row>
    <row r="911" customFormat="false" ht="15" hidden="false" customHeight="false" outlineLevel="0" collapsed="false">
      <c r="A911" s="47" t="s">
        <v>134</v>
      </c>
      <c r="B911" s="47" t="s">
        <v>136</v>
      </c>
      <c r="C911" s="48" t="n">
        <v>45170</v>
      </c>
      <c r="D911" s="47" t="s">
        <v>37</v>
      </c>
      <c r="E911" s="47" t="s">
        <v>41</v>
      </c>
      <c r="F911" s="49" t="n">
        <v>253295</v>
      </c>
      <c r="G911" s="49" t="n">
        <v>250721</v>
      </c>
      <c r="H911" s="49" t="n">
        <v>151850</v>
      </c>
      <c r="I911" s="49" t="n">
        <v>150764</v>
      </c>
      <c r="J911" s="49" t="n">
        <v>36348</v>
      </c>
      <c r="K911" s="49" t="n">
        <v>35429</v>
      </c>
      <c r="L911" s="50" t="n">
        <v>17</v>
      </c>
      <c r="M911" s="51" t="n">
        <f aca="false">G911-F911</f>
        <v>-2574</v>
      </c>
      <c r="N911" s="52" t="n">
        <f aca="false">IF(F911=0,0,M911/F911)</f>
        <v>-0.0101620639965258</v>
      </c>
      <c r="O911" s="51" t="n">
        <f aca="false">G911-I911</f>
        <v>99957</v>
      </c>
      <c r="P911" s="51" t="n">
        <f aca="false">F911-H911</f>
        <v>101445</v>
      </c>
      <c r="Q911" s="51" t="n">
        <f aca="false">F911-H911-J911</f>
        <v>65097</v>
      </c>
      <c r="R911" s="51" t="n">
        <f aca="false">G911-I911-K911</f>
        <v>64528</v>
      </c>
      <c r="S911" s="51" t="n">
        <f aca="false">R911-Q911</f>
        <v>-569</v>
      </c>
      <c r="T911" s="52" t="n">
        <f aca="false">IF(Q911=0,0,S911/Q911)</f>
        <v>-0.0087408021875048</v>
      </c>
      <c r="U911" s="51" t="str">
        <f aca="false">IF(AND(Q911&gt;0,T911&lt;-0.15),"ADVERSE","")</f>
        <v/>
      </c>
    </row>
    <row r="912" customFormat="false" ht="15" hidden="false" customHeight="false" outlineLevel="0" collapsed="false">
      <c r="A912" s="47" t="s">
        <v>134</v>
      </c>
      <c r="B912" s="47" t="s">
        <v>137</v>
      </c>
      <c r="C912" s="48" t="n">
        <v>45200</v>
      </c>
      <c r="D912" s="47" t="s">
        <v>37</v>
      </c>
      <c r="E912" s="47" t="s">
        <v>41</v>
      </c>
      <c r="F912" s="49" t="n">
        <v>256658</v>
      </c>
      <c r="G912" s="49" t="n">
        <v>272822</v>
      </c>
      <c r="H912" s="49" t="n">
        <v>153866</v>
      </c>
      <c r="I912" s="49" t="n">
        <v>164291</v>
      </c>
      <c r="J912" s="49" t="n">
        <v>36830</v>
      </c>
      <c r="K912" s="49" t="n">
        <v>39077</v>
      </c>
      <c r="L912" s="50" t="n">
        <v>16.8</v>
      </c>
      <c r="M912" s="51" t="n">
        <f aca="false">G912-F912</f>
        <v>16164</v>
      </c>
      <c r="N912" s="52" t="n">
        <f aca="false">IF(F912=0,0,M912/F912)</f>
        <v>0.0629787499318159</v>
      </c>
      <c r="O912" s="51" t="n">
        <f aca="false">G912-I912</f>
        <v>108531</v>
      </c>
      <c r="P912" s="51" t="n">
        <f aca="false">F912-H912</f>
        <v>102792</v>
      </c>
      <c r="Q912" s="51" t="n">
        <f aca="false">F912-H912-J912</f>
        <v>65962</v>
      </c>
      <c r="R912" s="51" t="n">
        <f aca="false">G912-I912-K912</f>
        <v>69454</v>
      </c>
      <c r="S912" s="51" t="n">
        <f aca="false">R912-Q912</f>
        <v>3492</v>
      </c>
      <c r="T912" s="52" t="n">
        <f aca="false">IF(Q912=0,0,S912/Q912)</f>
        <v>0.052939571268306</v>
      </c>
      <c r="U912" s="51" t="str">
        <f aca="false">IF(AND(Q912&gt;0,T912&lt;-0.15),"ADVERSE","")</f>
        <v/>
      </c>
    </row>
    <row r="913" customFormat="false" ht="15" hidden="false" customHeight="false" outlineLevel="0" collapsed="false">
      <c r="A913" s="47" t="s">
        <v>134</v>
      </c>
      <c r="B913" s="47" t="s">
        <v>137</v>
      </c>
      <c r="C913" s="48" t="n">
        <v>45231</v>
      </c>
      <c r="D913" s="47" t="s">
        <v>37</v>
      </c>
      <c r="E913" s="47" t="s">
        <v>41</v>
      </c>
      <c r="F913" s="49" t="n">
        <v>259485</v>
      </c>
      <c r="G913" s="49" t="n">
        <v>267880</v>
      </c>
      <c r="H913" s="49" t="n">
        <v>155561</v>
      </c>
      <c r="I913" s="49" t="n">
        <v>159158</v>
      </c>
      <c r="J913" s="49" t="n">
        <v>37236</v>
      </c>
      <c r="K913" s="49" t="n">
        <v>38694</v>
      </c>
      <c r="L913" s="50" t="n">
        <v>17.5</v>
      </c>
      <c r="M913" s="51" t="n">
        <f aca="false">G913-F913</f>
        <v>8395</v>
      </c>
      <c r="N913" s="52" t="n">
        <f aca="false">IF(F913=0,0,M913/F913)</f>
        <v>0.0323525444630711</v>
      </c>
      <c r="O913" s="51" t="n">
        <f aca="false">G913-I913</f>
        <v>108722</v>
      </c>
      <c r="P913" s="51" t="n">
        <f aca="false">F913-H913</f>
        <v>103924</v>
      </c>
      <c r="Q913" s="51" t="n">
        <f aca="false">F913-H913-J913</f>
        <v>66688</v>
      </c>
      <c r="R913" s="51" t="n">
        <f aca="false">G913-I913-K913</f>
        <v>70028</v>
      </c>
      <c r="S913" s="51" t="n">
        <f aca="false">R913-Q913</f>
        <v>3340</v>
      </c>
      <c r="T913" s="52" t="n">
        <f aca="false">IF(Q913=0,0,S913/Q913)</f>
        <v>0.0500839731285989</v>
      </c>
      <c r="U913" s="51" t="str">
        <f aca="false">IF(AND(Q913&gt;0,T913&lt;-0.15),"ADVERSE","")</f>
        <v/>
      </c>
    </row>
    <row r="914" customFormat="false" ht="15" hidden="false" customHeight="false" outlineLevel="0" collapsed="false">
      <c r="A914" s="47" t="s">
        <v>134</v>
      </c>
      <c r="B914" s="47" t="s">
        <v>137</v>
      </c>
      <c r="C914" s="48" t="n">
        <v>45261</v>
      </c>
      <c r="D914" s="47" t="s">
        <v>37</v>
      </c>
      <c r="E914" s="47" t="s">
        <v>41</v>
      </c>
      <c r="F914" s="49" t="n">
        <v>249905</v>
      </c>
      <c r="G914" s="49" t="n">
        <v>265632</v>
      </c>
      <c r="H914" s="49" t="n">
        <v>149818</v>
      </c>
      <c r="I914" s="49" t="n">
        <v>161128</v>
      </c>
      <c r="J914" s="49" t="n">
        <v>35861</v>
      </c>
      <c r="K914" s="49" t="n">
        <v>36779</v>
      </c>
      <c r="L914" s="50" t="n">
        <v>16.7</v>
      </c>
      <c r="M914" s="51" t="n">
        <f aca="false">G914-F914</f>
        <v>15727</v>
      </c>
      <c r="N914" s="52" t="n">
        <f aca="false">IF(F914=0,0,M914/F914)</f>
        <v>0.0629319141273684</v>
      </c>
      <c r="O914" s="51" t="n">
        <f aca="false">G914-I914</f>
        <v>104504</v>
      </c>
      <c r="P914" s="51" t="n">
        <f aca="false">F914-H914</f>
        <v>100087</v>
      </c>
      <c r="Q914" s="51" t="n">
        <f aca="false">F914-H914-J914</f>
        <v>64226</v>
      </c>
      <c r="R914" s="51" t="n">
        <f aca="false">G914-I914-K914</f>
        <v>67725</v>
      </c>
      <c r="S914" s="51" t="n">
        <f aca="false">R914-Q914</f>
        <v>3499</v>
      </c>
      <c r="T914" s="52" t="n">
        <f aca="false">IF(Q914=0,0,S914/Q914)</f>
        <v>0.0544794942858033</v>
      </c>
      <c r="U914" s="51" t="str">
        <f aca="false">IF(AND(Q914&gt;0,T914&lt;-0.15),"ADVERSE","")</f>
        <v/>
      </c>
    </row>
    <row r="915" customFormat="false" ht="15" hidden="false" customHeight="false" outlineLevel="0" collapsed="false">
      <c r="A915" s="47" t="s">
        <v>134</v>
      </c>
      <c r="B915" s="47" t="s">
        <v>138</v>
      </c>
      <c r="C915" s="48" t="n">
        <v>45292</v>
      </c>
      <c r="D915" s="47" t="s">
        <v>37</v>
      </c>
      <c r="E915" s="47" t="s">
        <v>41</v>
      </c>
      <c r="F915" s="49" t="n">
        <v>250920</v>
      </c>
      <c r="G915" s="49" t="n">
        <v>253261</v>
      </c>
      <c r="H915" s="49" t="n">
        <v>150427</v>
      </c>
      <c r="I915" s="49" t="n">
        <v>153965</v>
      </c>
      <c r="J915" s="49" t="n">
        <v>36007</v>
      </c>
      <c r="K915" s="49" t="n">
        <v>38962</v>
      </c>
      <c r="L915" s="50" t="n">
        <v>17.3</v>
      </c>
      <c r="M915" s="51" t="n">
        <f aca="false">G915-F915</f>
        <v>2341</v>
      </c>
      <c r="N915" s="52" t="n">
        <f aca="false">IF(F915=0,0,M915/F915)</f>
        <v>0.00932966682608003</v>
      </c>
      <c r="O915" s="51" t="n">
        <f aca="false">G915-I915</f>
        <v>99296</v>
      </c>
      <c r="P915" s="51" t="n">
        <f aca="false">F915-H915</f>
        <v>100493</v>
      </c>
      <c r="Q915" s="51" t="n">
        <f aca="false">F915-H915-J915</f>
        <v>64486</v>
      </c>
      <c r="R915" s="51" t="n">
        <f aca="false">G915-I915-K915</f>
        <v>60334</v>
      </c>
      <c r="S915" s="51" t="n">
        <f aca="false">R915-Q915</f>
        <v>-4152</v>
      </c>
      <c r="T915" s="52" t="n">
        <f aca="false">IF(Q915=0,0,S915/Q915)</f>
        <v>-0.0643860682938933</v>
      </c>
      <c r="U915" s="51" t="str">
        <f aca="false">IF(AND(Q915&gt;0,T915&lt;-0.15),"ADVERSE","")</f>
        <v/>
      </c>
    </row>
    <row r="916" customFormat="false" ht="15" hidden="false" customHeight="false" outlineLevel="0" collapsed="false">
      <c r="A916" s="47" t="s">
        <v>134</v>
      </c>
      <c r="B916" s="47" t="s">
        <v>138</v>
      </c>
      <c r="C916" s="48" t="n">
        <v>45323</v>
      </c>
      <c r="D916" s="47" t="s">
        <v>37</v>
      </c>
      <c r="E916" s="47" t="s">
        <v>41</v>
      </c>
      <c r="F916" s="49" t="n">
        <v>253004</v>
      </c>
      <c r="G916" s="49" t="n">
        <v>254672</v>
      </c>
      <c r="H916" s="49" t="n">
        <v>151676</v>
      </c>
      <c r="I916" s="49" t="n">
        <v>156494</v>
      </c>
      <c r="J916" s="49" t="n">
        <v>36306</v>
      </c>
      <c r="K916" s="49" t="n">
        <v>40084</v>
      </c>
      <c r="L916" s="50" t="n">
        <v>16.8</v>
      </c>
      <c r="M916" s="51" t="n">
        <f aca="false">G916-F916</f>
        <v>1668</v>
      </c>
      <c r="N916" s="52" t="n">
        <f aca="false">IF(F916=0,0,M916/F916)</f>
        <v>0.00659278114180013</v>
      </c>
      <c r="O916" s="51" t="n">
        <f aca="false">G916-I916</f>
        <v>98178</v>
      </c>
      <c r="P916" s="51" t="n">
        <f aca="false">F916-H916</f>
        <v>101328</v>
      </c>
      <c r="Q916" s="51" t="n">
        <f aca="false">F916-H916-J916</f>
        <v>65022</v>
      </c>
      <c r="R916" s="51" t="n">
        <f aca="false">G916-I916-K916</f>
        <v>58094</v>
      </c>
      <c r="S916" s="51" t="n">
        <f aca="false">R916-Q916</f>
        <v>-6928</v>
      </c>
      <c r="T916" s="52" t="n">
        <f aca="false">IF(Q916=0,0,S916/Q916)</f>
        <v>-0.106548552797515</v>
      </c>
      <c r="U916" s="51" t="str">
        <f aca="false">IF(AND(Q916&gt;0,T916&lt;-0.15),"ADVERSE","")</f>
        <v/>
      </c>
    </row>
    <row r="917" customFormat="false" ht="15" hidden="false" customHeight="false" outlineLevel="0" collapsed="false">
      <c r="A917" s="47" t="s">
        <v>134</v>
      </c>
      <c r="B917" s="47" t="s">
        <v>138</v>
      </c>
      <c r="C917" s="48" t="n">
        <v>45352</v>
      </c>
      <c r="D917" s="47" t="s">
        <v>37</v>
      </c>
      <c r="E917" s="47" t="s">
        <v>41</v>
      </c>
      <c r="F917" s="49" t="n">
        <v>272223</v>
      </c>
      <c r="G917" s="49" t="n">
        <v>283132</v>
      </c>
      <c r="H917" s="49" t="n">
        <v>163197</v>
      </c>
      <c r="I917" s="49" t="n">
        <v>172154</v>
      </c>
      <c r="J917" s="49" t="n">
        <v>39064</v>
      </c>
      <c r="K917" s="49" t="n">
        <v>42327</v>
      </c>
      <c r="L917" s="50" t="n">
        <v>17.2</v>
      </c>
      <c r="M917" s="51" t="n">
        <f aca="false">G917-F917</f>
        <v>10909</v>
      </c>
      <c r="N917" s="52" t="n">
        <f aca="false">IF(F917=0,0,M917/F917)</f>
        <v>0.0400737630545545</v>
      </c>
      <c r="O917" s="51" t="n">
        <f aca="false">G917-I917</f>
        <v>110978</v>
      </c>
      <c r="P917" s="51" t="n">
        <f aca="false">F917-H917</f>
        <v>109026</v>
      </c>
      <c r="Q917" s="51" t="n">
        <f aca="false">F917-H917-J917</f>
        <v>69962</v>
      </c>
      <c r="R917" s="51" t="n">
        <f aca="false">G917-I917-K917</f>
        <v>68651</v>
      </c>
      <c r="S917" s="51" t="n">
        <f aca="false">R917-Q917</f>
        <v>-1311</v>
      </c>
      <c r="T917" s="52" t="n">
        <f aca="false">IF(Q917=0,0,S917/Q917)</f>
        <v>-0.01873874388954</v>
      </c>
      <c r="U917" s="51" t="str">
        <f aca="false">IF(AND(Q917&gt;0,T917&lt;-0.15),"ADVERSE","")</f>
        <v/>
      </c>
    </row>
    <row r="918" customFormat="false" ht="15" hidden="false" customHeight="false" outlineLevel="0" collapsed="false">
      <c r="A918" s="47" t="s">
        <v>139</v>
      </c>
      <c r="B918" s="47" t="s">
        <v>135</v>
      </c>
      <c r="C918" s="48" t="n">
        <v>45383</v>
      </c>
      <c r="D918" s="47" t="s">
        <v>37</v>
      </c>
      <c r="E918" s="47" t="s">
        <v>41</v>
      </c>
      <c r="F918" s="49" t="n">
        <v>261289</v>
      </c>
      <c r="G918" s="49" t="n">
        <v>259076</v>
      </c>
      <c r="H918" s="49" t="n">
        <v>156643</v>
      </c>
      <c r="I918" s="49" t="n">
        <v>158531</v>
      </c>
      <c r="J918" s="49" t="n">
        <v>37495</v>
      </c>
      <c r="K918" s="49" t="n">
        <v>37900</v>
      </c>
      <c r="L918" s="50" t="n">
        <v>17.3</v>
      </c>
      <c r="M918" s="51" t="n">
        <f aca="false">G918-F918</f>
        <v>-2213</v>
      </c>
      <c r="N918" s="52" t="n">
        <f aca="false">IF(F918=0,0,M918/F918)</f>
        <v>-0.00846954904339639</v>
      </c>
      <c r="O918" s="51" t="n">
        <f aca="false">G918-I918</f>
        <v>100545</v>
      </c>
      <c r="P918" s="51" t="n">
        <f aca="false">F918-H918</f>
        <v>104646</v>
      </c>
      <c r="Q918" s="51" t="n">
        <f aca="false">F918-H918-J918</f>
        <v>67151</v>
      </c>
      <c r="R918" s="51" t="n">
        <f aca="false">G918-I918-K918</f>
        <v>62645</v>
      </c>
      <c r="S918" s="51" t="n">
        <f aca="false">R918-Q918</f>
        <v>-4506</v>
      </c>
      <c r="T918" s="52" t="n">
        <f aca="false">IF(Q918=0,0,S918/Q918)</f>
        <v>-0.0671025003350658</v>
      </c>
      <c r="U918" s="51" t="str">
        <f aca="false">IF(AND(Q918&gt;0,T918&lt;-0.15),"ADVERSE","")</f>
        <v/>
      </c>
    </row>
    <row r="919" customFormat="false" ht="15" hidden="false" customHeight="false" outlineLevel="0" collapsed="false">
      <c r="A919" s="47" t="s">
        <v>139</v>
      </c>
      <c r="B919" s="47" t="s">
        <v>135</v>
      </c>
      <c r="C919" s="48" t="n">
        <v>45413</v>
      </c>
      <c r="D919" s="47" t="s">
        <v>37</v>
      </c>
      <c r="E919" s="47" t="s">
        <v>41</v>
      </c>
      <c r="F919" s="49" t="n">
        <v>259282</v>
      </c>
      <c r="G919" s="49" t="n">
        <v>267184</v>
      </c>
      <c r="H919" s="49" t="n">
        <v>155440</v>
      </c>
      <c r="I919" s="49" t="n">
        <v>165404</v>
      </c>
      <c r="J919" s="49" t="n">
        <v>37207</v>
      </c>
      <c r="K919" s="49" t="n">
        <v>34436</v>
      </c>
      <c r="L919" s="50" t="n">
        <v>17.3</v>
      </c>
      <c r="M919" s="51" t="n">
        <f aca="false">G919-F919</f>
        <v>7902</v>
      </c>
      <c r="N919" s="52" t="n">
        <f aca="false">IF(F919=0,0,M919/F919)</f>
        <v>0.0304764696353777</v>
      </c>
      <c r="O919" s="51" t="n">
        <f aca="false">G919-I919</f>
        <v>101780</v>
      </c>
      <c r="P919" s="51" t="n">
        <f aca="false">F919-H919</f>
        <v>103842</v>
      </c>
      <c r="Q919" s="51" t="n">
        <f aca="false">F919-H919-J919</f>
        <v>66635</v>
      </c>
      <c r="R919" s="51" t="n">
        <f aca="false">G919-I919-K919</f>
        <v>67344</v>
      </c>
      <c r="S919" s="51" t="n">
        <f aca="false">R919-Q919</f>
        <v>709</v>
      </c>
      <c r="T919" s="52" t="n">
        <f aca="false">IF(Q919=0,0,S919/Q919)</f>
        <v>0.0106400540256622</v>
      </c>
      <c r="U919" s="51" t="str">
        <f aca="false">IF(AND(Q919&gt;0,T919&lt;-0.15),"ADVERSE","")</f>
        <v/>
      </c>
    </row>
    <row r="920" customFormat="false" ht="15" hidden="false" customHeight="false" outlineLevel="0" collapsed="false">
      <c r="A920" s="47" t="s">
        <v>139</v>
      </c>
      <c r="B920" s="47" t="s">
        <v>135</v>
      </c>
      <c r="C920" s="48" t="n">
        <v>45444</v>
      </c>
      <c r="D920" s="47" t="s">
        <v>37</v>
      </c>
      <c r="E920" s="47" t="s">
        <v>41</v>
      </c>
      <c r="F920" s="49" t="n">
        <v>267029</v>
      </c>
      <c r="G920" s="49" t="n">
        <v>266252</v>
      </c>
      <c r="H920" s="49" t="n">
        <v>160084</v>
      </c>
      <c r="I920" s="49" t="n">
        <v>164891</v>
      </c>
      <c r="J920" s="49" t="n">
        <v>38319</v>
      </c>
      <c r="K920" s="49" t="n">
        <v>39057</v>
      </c>
      <c r="L920" s="50" t="n">
        <v>17.5</v>
      </c>
      <c r="M920" s="51" t="n">
        <f aca="false">G920-F920</f>
        <v>-777</v>
      </c>
      <c r="N920" s="52" t="n">
        <f aca="false">IF(F920=0,0,M920/F920)</f>
        <v>-0.002909796314258</v>
      </c>
      <c r="O920" s="51" t="n">
        <f aca="false">G920-I920</f>
        <v>101361</v>
      </c>
      <c r="P920" s="51" t="n">
        <f aca="false">F920-H920</f>
        <v>106945</v>
      </c>
      <c r="Q920" s="51" t="n">
        <f aca="false">F920-H920-J920</f>
        <v>68626</v>
      </c>
      <c r="R920" s="51" t="n">
        <f aca="false">G920-I920-K920</f>
        <v>62304</v>
      </c>
      <c r="S920" s="51" t="n">
        <f aca="false">R920-Q920</f>
        <v>-6322</v>
      </c>
      <c r="T920" s="52" t="n">
        <f aca="false">IF(Q920=0,0,S920/Q920)</f>
        <v>-0.0921225191618337</v>
      </c>
      <c r="U920" s="51" t="str">
        <f aca="false">IF(AND(Q920&gt;0,T920&lt;-0.15),"ADVERSE","")</f>
        <v/>
      </c>
    </row>
    <row r="921" customFormat="false" ht="15" hidden="false" customHeight="false" outlineLevel="0" collapsed="false">
      <c r="A921" s="47" t="s">
        <v>139</v>
      </c>
      <c r="B921" s="47" t="s">
        <v>136</v>
      </c>
      <c r="C921" s="48" t="n">
        <v>45474</v>
      </c>
      <c r="D921" s="47" t="s">
        <v>37</v>
      </c>
      <c r="E921" s="47" t="s">
        <v>41</v>
      </c>
      <c r="F921" s="49" t="n">
        <v>272505</v>
      </c>
      <c r="G921" s="49" t="n">
        <v>270131</v>
      </c>
      <c r="H921" s="49" t="n">
        <v>163367</v>
      </c>
      <c r="I921" s="49" t="n">
        <v>169405</v>
      </c>
      <c r="J921" s="49" t="n">
        <v>39104</v>
      </c>
      <c r="K921" s="49" t="n">
        <v>39963</v>
      </c>
      <c r="L921" s="50" t="n">
        <v>17.6</v>
      </c>
      <c r="M921" s="51" t="n">
        <f aca="false">G921-F921</f>
        <v>-2374</v>
      </c>
      <c r="N921" s="52" t="n">
        <f aca="false">IF(F921=0,0,M921/F921)</f>
        <v>-0.00871176675657327</v>
      </c>
      <c r="O921" s="51" t="n">
        <f aca="false">G921-I921</f>
        <v>100726</v>
      </c>
      <c r="P921" s="51" t="n">
        <f aca="false">F921-H921</f>
        <v>109138</v>
      </c>
      <c r="Q921" s="51" t="n">
        <f aca="false">F921-H921-J921</f>
        <v>70034</v>
      </c>
      <c r="R921" s="51" t="n">
        <f aca="false">G921-I921-K921</f>
        <v>60763</v>
      </c>
      <c r="S921" s="51" t="n">
        <f aca="false">R921-Q921</f>
        <v>-9271</v>
      </c>
      <c r="T921" s="52" t="n">
        <f aca="false">IF(Q921=0,0,S921/Q921)</f>
        <v>-0.132378558985636</v>
      </c>
      <c r="U921" s="51" t="str">
        <f aca="false">IF(AND(Q921&gt;0,T921&lt;-0.15),"ADVERSE","")</f>
        <v/>
      </c>
    </row>
    <row r="922" customFormat="false" ht="15" hidden="false" customHeight="false" outlineLevel="0" collapsed="false">
      <c r="A922" s="47" t="s">
        <v>139</v>
      </c>
      <c r="B922" s="47" t="s">
        <v>136</v>
      </c>
      <c r="C922" s="48" t="n">
        <v>45505</v>
      </c>
      <c r="D922" s="47" t="s">
        <v>37</v>
      </c>
      <c r="E922" s="47" t="s">
        <v>41</v>
      </c>
      <c r="F922" s="49" t="n">
        <v>260190</v>
      </c>
      <c r="G922" s="49" t="n">
        <v>269283</v>
      </c>
      <c r="H922" s="49" t="n">
        <v>155984</v>
      </c>
      <c r="I922" s="49" t="n">
        <v>163265</v>
      </c>
      <c r="J922" s="49" t="n">
        <v>37337</v>
      </c>
      <c r="K922" s="49" t="n">
        <v>37812</v>
      </c>
      <c r="L922" s="50" t="n">
        <v>17.6</v>
      </c>
      <c r="M922" s="51" t="n">
        <f aca="false">G922-F922</f>
        <v>9093</v>
      </c>
      <c r="N922" s="52" t="n">
        <f aca="false">IF(F922=0,0,M922/F922)</f>
        <v>0.0349475383373689</v>
      </c>
      <c r="O922" s="51" t="n">
        <f aca="false">G922-I922</f>
        <v>106018</v>
      </c>
      <c r="P922" s="51" t="n">
        <f aca="false">F922-H922</f>
        <v>104206</v>
      </c>
      <c r="Q922" s="51" t="n">
        <f aca="false">F922-H922-J922</f>
        <v>66869</v>
      </c>
      <c r="R922" s="51" t="n">
        <f aca="false">G922-I922-K922</f>
        <v>68206</v>
      </c>
      <c r="S922" s="51" t="n">
        <f aca="false">R922-Q922</f>
        <v>1337</v>
      </c>
      <c r="T922" s="52" t="n">
        <f aca="false">IF(Q922=0,0,S922/Q922)</f>
        <v>0.0199943172471549</v>
      </c>
      <c r="U922" s="51" t="str">
        <f aca="false">IF(AND(Q922&gt;0,T922&lt;-0.15),"ADVERSE","")</f>
        <v/>
      </c>
    </row>
    <row r="923" customFormat="false" ht="15" hidden="false" customHeight="false" outlineLevel="0" collapsed="false">
      <c r="A923" s="47" t="s">
        <v>139</v>
      </c>
      <c r="B923" s="47" t="s">
        <v>136</v>
      </c>
      <c r="C923" s="48" t="n">
        <v>45536</v>
      </c>
      <c r="D923" s="47" t="s">
        <v>37</v>
      </c>
      <c r="E923" s="47" t="s">
        <v>41</v>
      </c>
      <c r="F923" s="49" t="n">
        <v>269399</v>
      </c>
      <c r="G923" s="49" t="n">
        <v>278819</v>
      </c>
      <c r="H923" s="49" t="n">
        <v>161505</v>
      </c>
      <c r="I923" s="49" t="n">
        <v>170052</v>
      </c>
      <c r="J923" s="49" t="n">
        <v>38659</v>
      </c>
      <c r="K923" s="49" t="n">
        <v>41549</v>
      </c>
      <c r="L923" s="50" t="n">
        <v>17.6</v>
      </c>
      <c r="M923" s="51" t="n">
        <f aca="false">G923-F923</f>
        <v>9420</v>
      </c>
      <c r="N923" s="52" t="n">
        <f aca="false">IF(F923=0,0,M923/F923)</f>
        <v>0.0349667222224284</v>
      </c>
      <c r="O923" s="51" t="n">
        <f aca="false">G923-I923</f>
        <v>108767</v>
      </c>
      <c r="P923" s="51" t="n">
        <f aca="false">F923-H923</f>
        <v>107894</v>
      </c>
      <c r="Q923" s="51" t="n">
        <f aca="false">F923-H923-J923</f>
        <v>69235</v>
      </c>
      <c r="R923" s="51" t="n">
        <f aca="false">G923-I923-K923</f>
        <v>67218</v>
      </c>
      <c r="S923" s="51" t="n">
        <f aca="false">R923-Q923</f>
        <v>-2017</v>
      </c>
      <c r="T923" s="52" t="n">
        <f aca="false">IF(Q923=0,0,S923/Q923)</f>
        <v>-0.0291326641149708</v>
      </c>
      <c r="U923" s="51" t="str">
        <f aca="false">IF(AND(Q923&gt;0,T923&lt;-0.15),"ADVERSE","")</f>
        <v/>
      </c>
    </row>
    <row r="924" customFormat="false" ht="15" hidden="false" customHeight="false" outlineLevel="0" collapsed="false">
      <c r="A924" s="47" t="s">
        <v>139</v>
      </c>
      <c r="B924" s="47" t="s">
        <v>137</v>
      </c>
      <c r="C924" s="48" t="n">
        <v>45566</v>
      </c>
      <c r="D924" s="47" t="s">
        <v>37</v>
      </c>
      <c r="E924" s="47" t="s">
        <v>41</v>
      </c>
      <c r="F924" s="49" t="n">
        <v>276944</v>
      </c>
      <c r="G924" s="49" t="n">
        <v>284697</v>
      </c>
      <c r="H924" s="49" t="n">
        <v>166028</v>
      </c>
      <c r="I924" s="49" t="n">
        <v>175149</v>
      </c>
      <c r="J924" s="49" t="n">
        <v>39741</v>
      </c>
      <c r="K924" s="49" t="n">
        <v>39786</v>
      </c>
      <c r="L924" s="50" t="n">
        <v>17.3</v>
      </c>
      <c r="M924" s="51" t="n">
        <f aca="false">G924-F924</f>
        <v>7753</v>
      </c>
      <c r="N924" s="52" t="n">
        <f aca="false">IF(F924=0,0,M924/F924)</f>
        <v>0.0279948292795655</v>
      </c>
      <c r="O924" s="51" t="n">
        <f aca="false">G924-I924</f>
        <v>109548</v>
      </c>
      <c r="P924" s="51" t="n">
        <f aca="false">F924-H924</f>
        <v>110916</v>
      </c>
      <c r="Q924" s="51" t="n">
        <f aca="false">F924-H924-J924</f>
        <v>71175</v>
      </c>
      <c r="R924" s="51" t="n">
        <f aca="false">G924-I924-K924</f>
        <v>69762</v>
      </c>
      <c r="S924" s="51" t="n">
        <f aca="false">R924-Q924</f>
        <v>-1413</v>
      </c>
      <c r="T924" s="52" t="n">
        <f aca="false">IF(Q924=0,0,S924/Q924)</f>
        <v>-0.0198524762908325</v>
      </c>
      <c r="U924" s="51" t="str">
        <f aca="false">IF(AND(Q924&gt;0,T924&lt;-0.15),"ADVERSE","")</f>
        <v/>
      </c>
    </row>
    <row r="925" customFormat="false" ht="15" hidden="false" customHeight="false" outlineLevel="0" collapsed="false">
      <c r="A925" s="47" t="s">
        <v>139</v>
      </c>
      <c r="B925" s="47" t="s">
        <v>137</v>
      </c>
      <c r="C925" s="48" t="n">
        <v>45597</v>
      </c>
      <c r="D925" s="47" t="s">
        <v>37</v>
      </c>
      <c r="E925" s="47" t="s">
        <v>41</v>
      </c>
      <c r="F925" s="49" t="n">
        <v>281392</v>
      </c>
      <c r="G925" s="49" t="n">
        <v>285020</v>
      </c>
      <c r="H925" s="49" t="n">
        <v>168695</v>
      </c>
      <c r="I925" s="49" t="n">
        <v>173516</v>
      </c>
      <c r="J925" s="49" t="n">
        <v>40380</v>
      </c>
      <c r="K925" s="49" t="n">
        <v>37093</v>
      </c>
      <c r="L925" s="50" t="n">
        <v>18.1</v>
      </c>
      <c r="M925" s="51" t="n">
        <f aca="false">G925-F925</f>
        <v>3628</v>
      </c>
      <c r="N925" s="52" t="n">
        <f aca="false">IF(F925=0,0,M925/F925)</f>
        <v>0.0128930459998863</v>
      </c>
      <c r="O925" s="51" t="n">
        <f aca="false">G925-I925</f>
        <v>111504</v>
      </c>
      <c r="P925" s="51" t="n">
        <f aca="false">F925-H925</f>
        <v>112697</v>
      </c>
      <c r="Q925" s="51" t="n">
        <f aca="false">F925-H925-J925</f>
        <v>72317</v>
      </c>
      <c r="R925" s="51" t="n">
        <f aca="false">G925-I925-K925</f>
        <v>74411</v>
      </c>
      <c r="S925" s="51" t="n">
        <f aca="false">R925-Q925</f>
        <v>2094</v>
      </c>
      <c r="T925" s="52" t="n">
        <f aca="false">IF(Q925=0,0,S925/Q925)</f>
        <v>0.0289558471728639</v>
      </c>
      <c r="U925" s="51" t="str">
        <f aca="false">IF(AND(Q925&gt;0,T925&lt;-0.15),"ADVERSE","")</f>
        <v/>
      </c>
    </row>
    <row r="926" customFormat="false" ht="15" hidden="false" customHeight="false" outlineLevel="0" collapsed="false">
      <c r="A926" s="47" t="s">
        <v>139</v>
      </c>
      <c r="B926" s="47" t="s">
        <v>137</v>
      </c>
      <c r="C926" s="48" t="n">
        <v>45627</v>
      </c>
      <c r="D926" s="47" t="s">
        <v>37</v>
      </c>
      <c r="E926" s="47" t="s">
        <v>41</v>
      </c>
      <c r="F926" s="49" t="n">
        <v>280134</v>
      </c>
      <c r="G926" s="49" t="n">
        <v>277192</v>
      </c>
      <c r="H926" s="49" t="n">
        <v>167940</v>
      </c>
      <c r="I926" s="49" t="n">
        <v>172953</v>
      </c>
      <c r="J926" s="49" t="n">
        <v>40199</v>
      </c>
      <c r="K926" s="49" t="n">
        <v>39402</v>
      </c>
      <c r="L926" s="50" t="n">
        <v>17.8</v>
      </c>
      <c r="M926" s="51" t="n">
        <f aca="false">G926-F926</f>
        <v>-2942</v>
      </c>
      <c r="N926" s="52" t="n">
        <f aca="false">IF(F926=0,0,M926/F926)</f>
        <v>-0.0105021168440818</v>
      </c>
      <c r="O926" s="51" t="n">
        <f aca="false">G926-I926</f>
        <v>104239</v>
      </c>
      <c r="P926" s="51" t="n">
        <f aca="false">F926-H926</f>
        <v>112194</v>
      </c>
      <c r="Q926" s="51" t="n">
        <f aca="false">F926-H926-J926</f>
        <v>71995</v>
      </c>
      <c r="R926" s="51" t="n">
        <f aca="false">G926-I926-K926</f>
        <v>64837</v>
      </c>
      <c r="S926" s="51" t="n">
        <f aca="false">R926-Q926</f>
        <v>-7158</v>
      </c>
      <c r="T926" s="52" t="n">
        <f aca="false">IF(Q926=0,0,S926/Q926)</f>
        <v>-0.0994235710813251</v>
      </c>
      <c r="U926" s="51" t="str">
        <f aca="false">IF(AND(Q926&gt;0,T926&lt;-0.15),"ADVERSE","")</f>
        <v/>
      </c>
    </row>
    <row r="927" customFormat="false" ht="15" hidden="false" customHeight="false" outlineLevel="0" collapsed="false">
      <c r="A927" s="47" t="s">
        <v>139</v>
      </c>
      <c r="B927" s="47" t="s">
        <v>138</v>
      </c>
      <c r="C927" s="48" t="n">
        <v>45658</v>
      </c>
      <c r="D927" s="47" t="s">
        <v>37</v>
      </c>
      <c r="E927" s="47" t="s">
        <v>41</v>
      </c>
      <c r="F927" s="49" t="n">
        <v>265704</v>
      </c>
      <c r="G927" s="49" t="n">
        <v>273530</v>
      </c>
      <c r="H927" s="49" t="n">
        <v>159289</v>
      </c>
      <c r="I927" s="49" t="n">
        <v>170925</v>
      </c>
      <c r="J927" s="49" t="n">
        <v>38128</v>
      </c>
      <c r="K927" s="49" t="n">
        <v>40819</v>
      </c>
      <c r="L927" s="50" t="n">
        <v>17.7</v>
      </c>
      <c r="M927" s="51" t="n">
        <f aca="false">G927-F927</f>
        <v>7826</v>
      </c>
      <c r="N927" s="52" t="n">
        <f aca="false">IF(F927=0,0,M927/F927)</f>
        <v>0.0294538283202361</v>
      </c>
      <c r="O927" s="51" t="n">
        <f aca="false">G927-I927</f>
        <v>102605</v>
      </c>
      <c r="P927" s="51" t="n">
        <f aca="false">F927-H927</f>
        <v>106415</v>
      </c>
      <c r="Q927" s="51" t="n">
        <f aca="false">F927-H927-J927</f>
        <v>68287</v>
      </c>
      <c r="R927" s="51" t="n">
        <f aca="false">G927-I927-K927</f>
        <v>61786</v>
      </c>
      <c r="S927" s="51" t="n">
        <f aca="false">R927-Q927</f>
        <v>-6501</v>
      </c>
      <c r="T927" s="52" t="n">
        <f aca="false">IF(Q927=0,0,S927/Q927)</f>
        <v>-0.0952011363802774</v>
      </c>
      <c r="U927" s="51" t="str">
        <f aca="false">IF(AND(Q927&gt;0,T927&lt;-0.15),"ADVERSE","")</f>
        <v/>
      </c>
    </row>
    <row r="928" customFormat="false" ht="15" hidden="false" customHeight="false" outlineLevel="0" collapsed="false">
      <c r="A928" s="47" t="s">
        <v>139</v>
      </c>
      <c r="B928" s="47" t="s">
        <v>138</v>
      </c>
      <c r="C928" s="48" t="n">
        <v>45689</v>
      </c>
      <c r="D928" s="47" t="s">
        <v>37</v>
      </c>
      <c r="E928" s="47" t="s">
        <v>41</v>
      </c>
      <c r="F928" s="49" t="n">
        <v>268373</v>
      </c>
      <c r="G928" s="49" t="n">
        <v>286097</v>
      </c>
      <c r="H928" s="49" t="n">
        <v>160889</v>
      </c>
      <c r="I928" s="49" t="n">
        <v>176581</v>
      </c>
      <c r="J928" s="49" t="n">
        <v>38511</v>
      </c>
      <c r="K928" s="49" t="n">
        <v>39417</v>
      </c>
      <c r="L928" s="50" t="n">
        <v>18.3</v>
      </c>
      <c r="M928" s="51" t="n">
        <f aca="false">G928-F928</f>
        <v>17724</v>
      </c>
      <c r="N928" s="52" t="n">
        <f aca="false">IF(F928=0,0,M928/F928)</f>
        <v>0.0660424111218342</v>
      </c>
      <c r="O928" s="51" t="n">
        <f aca="false">G928-I928</f>
        <v>109516</v>
      </c>
      <c r="P928" s="51" t="n">
        <f aca="false">F928-H928</f>
        <v>107484</v>
      </c>
      <c r="Q928" s="51" t="n">
        <f aca="false">F928-H928-J928</f>
        <v>68973</v>
      </c>
      <c r="R928" s="51" t="n">
        <f aca="false">G928-I928-K928</f>
        <v>70099</v>
      </c>
      <c r="S928" s="51" t="n">
        <f aca="false">R928-Q928</f>
        <v>1126</v>
      </c>
      <c r="T928" s="52" t="n">
        <f aca="false">IF(Q928=0,0,S928/Q928)</f>
        <v>0.0163252287126847</v>
      </c>
      <c r="U928" s="51" t="str">
        <f aca="false">IF(AND(Q928&gt;0,T928&lt;-0.15),"ADVERSE","")</f>
        <v/>
      </c>
    </row>
    <row r="929" customFormat="false" ht="15" hidden="false" customHeight="false" outlineLevel="0" collapsed="false">
      <c r="A929" s="47" t="s">
        <v>139</v>
      </c>
      <c r="B929" s="47" t="s">
        <v>138</v>
      </c>
      <c r="C929" s="48" t="n">
        <v>45717</v>
      </c>
      <c r="D929" s="47" t="s">
        <v>37</v>
      </c>
      <c r="E929" s="47" t="s">
        <v>41</v>
      </c>
      <c r="F929" s="49" t="n">
        <v>294320</v>
      </c>
      <c r="G929" s="49" t="n">
        <v>288452</v>
      </c>
      <c r="H929" s="49" t="n">
        <v>176445</v>
      </c>
      <c r="I929" s="49" t="n">
        <v>177376</v>
      </c>
      <c r="J929" s="49" t="n">
        <v>42235</v>
      </c>
      <c r="K929" s="49" t="n">
        <v>42518</v>
      </c>
      <c r="L929" s="50" t="n">
        <v>18.2</v>
      </c>
      <c r="M929" s="51" t="n">
        <f aca="false">G929-F929</f>
        <v>-5868</v>
      </c>
      <c r="N929" s="52" t="n">
        <f aca="false">IF(F929=0,0,M929/F929)</f>
        <v>-0.019937483011688</v>
      </c>
      <c r="O929" s="51" t="n">
        <f aca="false">G929-I929</f>
        <v>111076</v>
      </c>
      <c r="P929" s="51" t="n">
        <f aca="false">F929-H929</f>
        <v>117875</v>
      </c>
      <c r="Q929" s="51" t="n">
        <f aca="false">F929-H929-J929</f>
        <v>75640</v>
      </c>
      <c r="R929" s="51" t="n">
        <f aca="false">G929-I929-K929</f>
        <v>68558</v>
      </c>
      <c r="S929" s="51" t="n">
        <f aca="false">R929-Q929</f>
        <v>-7082</v>
      </c>
      <c r="T929" s="52" t="n">
        <f aca="false">IF(Q929=0,0,S929/Q929)</f>
        <v>-0.0936277102062401</v>
      </c>
      <c r="U929" s="51" t="str">
        <f aca="false">IF(AND(Q929&gt;0,T929&lt;-0.15),"ADVERSE","")</f>
        <v/>
      </c>
    </row>
    <row r="930" customFormat="false" ht="15" hidden="false" customHeight="false" outlineLevel="0" collapsed="false">
      <c r="A930" s="47" t="s">
        <v>3</v>
      </c>
      <c r="B930" s="47" t="s">
        <v>135</v>
      </c>
      <c r="C930" s="48" t="n">
        <v>45748</v>
      </c>
      <c r="D930" s="47" t="s">
        <v>37</v>
      </c>
      <c r="E930" s="47" t="s">
        <v>41</v>
      </c>
      <c r="F930" s="49" t="n">
        <v>280949</v>
      </c>
      <c r="G930" s="49" t="n">
        <v>282489</v>
      </c>
      <c r="H930" s="49" t="n">
        <v>168429</v>
      </c>
      <c r="I930" s="49" t="n">
        <v>177559</v>
      </c>
      <c r="J930" s="49" t="n">
        <v>40316</v>
      </c>
      <c r="K930" s="49" t="n">
        <v>41029</v>
      </c>
      <c r="L930" s="50" t="n">
        <v>18.2</v>
      </c>
      <c r="M930" s="51" t="n">
        <f aca="false">G930-F930</f>
        <v>1540</v>
      </c>
      <c r="N930" s="52" t="n">
        <f aca="false">IF(F930=0,0,M930/F930)</f>
        <v>0.00548142189507704</v>
      </c>
      <c r="O930" s="51" t="n">
        <f aca="false">G930-I930</f>
        <v>104930</v>
      </c>
      <c r="P930" s="51" t="n">
        <f aca="false">F930-H930</f>
        <v>112520</v>
      </c>
      <c r="Q930" s="51" t="n">
        <f aca="false">F930-H930-J930</f>
        <v>72204</v>
      </c>
      <c r="R930" s="51" t="n">
        <f aca="false">G930-I930-K930</f>
        <v>63901</v>
      </c>
      <c r="S930" s="51" t="n">
        <f aca="false">R930-Q930</f>
        <v>-8303</v>
      </c>
      <c r="T930" s="52" t="n">
        <f aca="false">IF(Q930=0,0,S930/Q930)</f>
        <v>-0.114993629161819</v>
      </c>
      <c r="U930" s="51" t="str">
        <f aca="false">IF(AND(Q930&gt;0,T930&lt;-0.15),"ADVERSE","")</f>
        <v/>
      </c>
    </row>
    <row r="931" customFormat="false" ht="15" hidden="false" customHeight="false" outlineLevel="0" collapsed="false">
      <c r="A931" s="47" t="s">
        <v>3</v>
      </c>
      <c r="B931" s="47" t="s">
        <v>135</v>
      </c>
      <c r="C931" s="48" t="n">
        <v>45778</v>
      </c>
      <c r="D931" s="47" t="s">
        <v>37</v>
      </c>
      <c r="E931" s="47" t="s">
        <v>41</v>
      </c>
      <c r="F931" s="49" t="n">
        <v>284796</v>
      </c>
      <c r="G931" s="49" t="n">
        <v>273979</v>
      </c>
      <c r="H931" s="49" t="n">
        <v>170735</v>
      </c>
      <c r="I931" s="49" t="n">
        <v>171723</v>
      </c>
      <c r="J931" s="49" t="n">
        <v>40868</v>
      </c>
      <c r="K931" s="49" t="n">
        <v>38708</v>
      </c>
      <c r="L931" s="50" t="n">
        <v>17.9</v>
      </c>
      <c r="M931" s="51" t="n">
        <f aca="false">G931-F931</f>
        <v>-10817</v>
      </c>
      <c r="N931" s="52" t="n">
        <f aca="false">IF(F931=0,0,M931/F931)</f>
        <v>-0.0379815727748985</v>
      </c>
      <c r="O931" s="51" t="n">
        <f aca="false">G931-I931</f>
        <v>102256</v>
      </c>
      <c r="P931" s="51" t="n">
        <f aca="false">F931-H931</f>
        <v>114061</v>
      </c>
      <c r="Q931" s="51" t="n">
        <f aca="false">F931-H931-J931</f>
        <v>73193</v>
      </c>
      <c r="R931" s="51" t="n">
        <f aca="false">G931-I931-K931</f>
        <v>63548</v>
      </c>
      <c r="S931" s="51" t="n">
        <f aca="false">R931-Q931</f>
        <v>-9645</v>
      </c>
      <c r="T931" s="52" t="n">
        <f aca="false">IF(Q931=0,0,S931/Q931)</f>
        <v>-0.131774896506497</v>
      </c>
      <c r="U931" s="51" t="str">
        <f aca="false">IF(AND(Q931&gt;0,T931&lt;-0.15),"ADVERSE","")</f>
        <v/>
      </c>
    </row>
    <row r="932" customFormat="false" ht="15" hidden="false" customHeight="false" outlineLevel="0" collapsed="false">
      <c r="A932" s="47" t="s">
        <v>3</v>
      </c>
      <c r="B932" s="47" t="s">
        <v>135</v>
      </c>
      <c r="C932" s="48" t="n">
        <v>45809</v>
      </c>
      <c r="D932" s="47" t="s">
        <v>37</v>
      </c>
      <c r="E932" s="47" t="s">
        <v>41</v>
      </c>
      <c r="F932" s="49" t="n">
        <v>287243</v>
      </c>
      <c r="G932" s="49" t="n">
        <v>276861</v>
      </c>
      <c r="H932" s="49" t="n">
        <v>172202</v>
      </c>
      <c r="I932" s="49" t="n">
        <v>173010</v>
      </c>
      <c r="J932" s="49" t="n">
        <v>41219</v>
      </c>
      <c r="K932" s="49" t="n">
        <v>42586</v>
      </c>
      <c r="L932" s="50" t="n">
        <v>18.3</v>
      </c>
      <c r="M932" s="51" t="n">
        <f aca="false">G932-F932</f>
        <v>-10382</v>
      </c>
      <c r="N932" s="52" t="n">
        <f aca="false">IF(F932=0,0,M932/F932)</f>
        <v>-0.0361436135954575</v>
      </c>
      <c r="O932" s="51" t="n">
        <f aca="false">G932-I932</f>
        <v>103851</v>
      </c>
      <c r="P932" s="51" t="n">
        <f aca="false">F932-H932</f>
        <v>115041</v>
      </c>
      <c r="Q932" s="51" t="n">
        <f aca="false">F932-H932-J932</f>
        <v>73822</v>
      </c>
      <c r="R932" s="51" t="n">
        <f aca="false">G932-I932-K932</f>
        <v>61265</v>
      </c>
      <c r="S932" s="51" t="n">
        <f aca="false">R932-Q932</f>
        <v>-12557</v>
      </c>
      <c r="T932" s="52" t="n">
        <f aca="false">IF(Q932=0,0,S932/Q932)</f>
        <v>-0.170098344666901</v>
      </c>
      <c r="U932" s="51" t="str">
        <f aca="false">IF(AND(Q932&gt;0,T932&lt;-0.15),"ADVERSE","")</f>
        <v>ADVERSE</v>
      </c>
    </row>
    <row r="933" customFormat="false" ht="15" hidden="false" customHeight="false" outlineLevel="0" collapsed="false">
      <c r="A933" s="47" t="s">
        <v>3</v>
      </c>
      <c r="B933" s="47" t="s">
        <v>136</v>
      </c>
      <c r="C933" s="48" t="n">
        <v>45839</v>
      </c>
      <c r="D933" s="47" t="s">
        <v>37</v>
      </c>
      <c r="E933" s="47" t="s">
        <v>41</v>
      </c>
      <c r="F933" s="49" t="n">
        <v>289702</v>
      </c>
      <c r="G933" s="49" t="n">
        <v>308933</v>
      </c>
      <c r="H933" s="49" t="n">
        <v>173676</v>
      </c>
      <c r="I933" s="49" t="n">
        <v>196641</v>
      </c>
      <c r="J933" s="49" t="n">
        <v>41572</v>
      </c>
      <c r="K933" s="49" t="n">
        <v>46072</v>
      </c>
      <c r="L933" s="50" t="n">
        <v>17.9</v>
      </c>
      <c r="M933" s="51" t="n">
        <f aca="false">G933-F933</f>
        <v>19231</v>
      </c>
      <c r="N933" s="52" t="n">
        <f aca="false">IF(F933=0,0,M933/F933)</f>
        <v>0.0663820063375469</v>
      </c>
      <c r="O933" s="51" t="n">
        <f aca="false">G933-I933</f>
        <v>112292</v>
      </c>
      <c r="P933" s="51" t="n">
        <f aca="false">F933-H933</f>
        <v>116026</v>
      </c>
      <c r="Q933" s="51" t="n">
        <f aca="false">F933-H933-J933</f>
        <v>74454</v>
      </c>
      <c r="R933" s="51" t="n">
        <f aca="false">G933-I933-K933</f>
        <v>66220</v>
      </c>
      <c r="S933" s="51" t="n">
        <f aca="false">R933-Q933</f>
        <v>-8234</v>
      </c>
      <c r="T933" s="52" t="n">
        <f aca="false">IF(Q933=0,0,S933/Q933)</f>
        <v>-0.110591774787117</v>
      </c>
      <c r="U933" s="51" t="str">
        <f aca="false">IF(AND(Q933&gt;0,T933&lt;-0.15),"ADVERSE","")</f>
        <v/>
      </c>
    </row>
    <row r="934" customFormat="false" ht="15" hidden="false" customHeight="false" outlineLevel="0" collapsed="false">
      <c r="A934" s="47" t="s">
        <v>3</v>
      </c>
      <c r="B934" s="47" t="s">
        <v>136</v>
      </c>
      <c r="C934" s="48" t="n">
        <v>45870</v>
      </c>
      <c r="D934" s="47" t="s">
        <v>37</v>
      </c>
      <c r="E934" s="47" t="s">
        <v>41</v>
      </c>
      <c r="F934" s="49" t="n">
        <v>285711</v>
      </c>
      <c r="G934" s="49" t="n">
        <v>282419</v>
      </c>
      <c r="H934" s="49" t="n">
        <v>171284</v>
      </c>
      <c r="I934" s="49" t="n">
        <v>178841</v>
      </c>
      <c r="J934" s="49" t="n">
        <v>41000</v>
      </c>
      <c r="K934" s="49" t="n">
        <v>39912</v>
      </c>
      <c r="L934" s="50" t="n">
        <v>18.5</v>
      </c>
      <c r="M934" s="51" t="n">
        <f aca="false">G934-F934</f>
        <v>-3292</v>
      </c>
      <c r="N934" s="52" t="n">
        <f aca="false">IF(F934=0,0,M934/F934)</f>
        <v>-0.0115221325045238</v>
      </c>
      <c r="O934" s="51" t="n">
        <f aca="false">G934-I934</f>
        <v>103578</v>
      </c>
      <c r="P934" s="51" t="n">
        <f aca="false">F934-H934</f>
        <v>114427</v>
      </c>
      <c r="Q934" s="51" t="n">
        <f aca="false">F934-H934-J934</f>
        <v>73427</v>
      </c>
      <c r="R934" s="51" t="n">
        <f aca="false">G934-I934-K934</f>
        <v>63666</v>
      </c>
      <c r="S934" s="51" t="n">
        <f aca="false">R934-Q934</f>
        <v>-9761</v>
      </c>
      <c r="T934" s="52" t="n">
        <f aca="false">IF(Q934=0,0,S934/Q934)</f>
        <v>-0.13293475152192</v>
      </c>
      <c r="U934" s="51" t="str">
        <f aca="false">IF(AND(Q934&gt;0,T934&lt;-0.15),"ADVERSE","")</f>
        <v/>
      </c>
    </row>
    <row r="935" customFormat="false" ht="15" hidden="false" customHeight="false" outlineLevel="0" collapsed="false">
      <c r="A935" s="47" t="s">
        <v>3</v>
      </c>
      <c r="B935" s="47" t="s">
        <v>136</v>
      </c>
      <c r="C935" s="48" t="n">
        <v>45901</v>
      </c>
      <c r="D935" s="47" t="s">
        <v>37</v>
      </c>
      <c r="E935" s="47" t="s">
        <v>41</v>
      </c>
      <c r="F935" s="49" t="n">
        <v>289915</v>
      </c>
      <c r="G935" s="49" t="n">
        <v>298118</v>
      </c>
      <c r="H935" s="49" t="n">
        <v>173804</v>
      </c>
      <c r="I935" s="49" t="n">
        <v>186904</v>
      </c>
      <c r="J935" s="49" t="n">
        <v>41603</v>
      </c>
      <c r="K935" s="49" t="n">
        <v>44322</v>
      </c>
      <c r="L935" s="50" t="n">
        <v>18.2</v>
      </c>
      <c r="M935" s="51" t="n">
        <f aca="false">G935-F935</f>
        <v>8203</v>
      </c>
      <c r="N935" s="52" t="n">
        <f aca="false">IF(F935=0,0,M935/F935)</f>
        <v>0.0282945001121018</v>
      </c>
      <c r="O935" s="51" t="n">
        <f aca="false">G935-I935</f>
        <v>111214</v>
      </c>
      <c r="P935" s="51" t="n">
        <f aca="false">F935-H935</f>
        <v>116111</v>
      </c>
      <c r="Q935" s="51" t="n">
        <f aca="false">F935-H935-J935</f>
        <v>74508</v>
      </c>
      <c r="R935" s="51" t="n">
        <f aca="false">G935-I935-K935</f>
        <v>66892</v>
      </c>
      <c r="S935" s="51" t="n">
        <f aca="false">R935-Q935</f>
        <v>-7616</v>
      </c>
      <c r="T935" s="52" t="n">
        <f aca="false">IF(Q935=0,0,S935/Q935)</f>
        <v>-0.102217211574596</v>
      </c>
      <c r="U935" s="51" t="str">
        <f aca="false">IF(AND(Q935&gt;0,T935&lt;-0.15),"ADVERSE","")</f>
        <v/>
      </c>
    </row>
    <row r="936" customFormat="false" ht="15" hidden="false" customHeight="false" outlineLevel="0" collapsed="false">
      <c r="A936" s="47" t="s">
        <v>3</v>
      </c>
      <c r="B936" s="47" t="s">
        <v>137</v>
      </c>
      <c r="C936" s="48" t="n">
        <v>45931</v>
      </c>
      <c r="D936" s="47" t="s">
        <v>37</v>
      </c>
      <c r="E936" s="47" t="s">
        <v>41</v>
      </c>
      <c r="F936" s="49" t="n">
        <v>303635</v>
      </c>
      <c r="G936" s="49" t="n">
        <v>306928</v>
      </c>
      <c r="H936" s="49" t="n">
        <v>182029</v>
      </c>
      <c r="I936" s="49" t="n">
        <v>195627</v>
      </c>
      <c r="J936" s="49" t="n">
        <v>43572</v>
      </c>
      <c r="K936" s="49" t="n">
        <v>38955</v>
      </c>
      <c r="L936" s="50" t="n">
        <v>18.8</v>
      </c>
      <c r="M936" s="51" t="n">
        <f aca="false">G936-F936</f>
        <v>3293</v>
      </c>
      <c r="N936" s="52" t="n">
        <f aca="false">IF(F936=0,0,M936/F936)</f>
        <v>0.0108452582870881</v>
      </c>
      <c r="O936" s="51" t="n">
        <f aca="false">G936-I936</f>
        <v>111301</v>
      </c>
      <c r="P936" s="51" t="n">
        <f aca="false">F936-H936</f>
        <v>121606</v>
      </c>
      <c r="Q936" s="51" t="n">
        <f aca="false">F936-H936-J936</f>
        <v>78034</v>
      </c>
      <c r="R936" s="51" t="n">
        <f aca="false">G936-I936-K936</f>
        <v>72346</v>
      </c>
      <c r="S936" s="51" t="n">
        <f aca="false">R936-Q936</f>
        <v>-5688</v>
      </c>
      <c r="T936" s="52" t="n">
        <f aca="false">IF(Q936=0,0,S936/Q936)</f>
        <v>-0.0728913037906554</v>
      </c>
      <c r="U936" s="51" t="str">
        <f aca="false">IF(AND(Q936&gt;0,T936&lt;-0.15),"ADVERSE","")</f>
        <v/>
      </c>
    </row>
    <row r="937" customFormat="false" ht="15" hidden="false" customHeight="false" outlineLevel="0" collapsed="false">
      <c r="A937" s="47" t="s">
        <v>3</v>
      </c>
      <c r="B937" s="47" t="s">
        <v>137</v>
      </c>
      <c r="C937" s="48" t="n">
        <v>45962</v>
      </c>
      <c r="D937" s="47" t="s">
        <v>37</v>
      </c>
      <c r="E937" s="47" t="s">
        <v>41</v>
      </c>
      <c r="F937" s="49" t="n">
        <v>304631</v>
      </c>
      <c r="G937" s="49" t="n">
        <v>301531</v>
      </c>
      <c r="H937" s="49" t="n">
        <v>182626</v>
      </c>
      <c r="I937" s="49" t="n">
        <v>188298</v>
      </c>
      <c r="J937" s="49" t="n">
        <v>43714</v>
      </c>
      <c r="K937" s="49" t="n">
        <v>46765</v>
      </c>
      <c r="L937" s="50" t="n">
        <v>18.4</v>
      </c>
      <c r="M937" s="51" t="n">
        <f aca="false">G937-F937</f>
        <v>-3100</v>
      </c>
      <c r="N937" s="52" t="n">
        <f aca="false">IF(F937=0,0,M937/F937)</f>
        <v>-0.0101762460156714</v>
      </c>
      <c r="O937" s="51" t="n">
        <f aca="false">G937-I937</f>
        <v>113233</v>
      </c>
      <c r="P937" s="51" t="n">
        <f aca="false">F937-H937</f>
        <v>122005</v>
      </c>
      <c r="Q937" s="51" t="n">
        <f aca="false">F937-H937-J937</f>
        <v>78291</v>
      </c>
      <c r="R937" s="51" t="n">
        <f aca="false">G937-I937-K937</f>
        <v>66468</v>
      </c>
      <c r="S937" s="51" t="n">
        <f aca="false">R937-Q937</f>
        <v>-11823</v>
      </c>
      <c r="T937" s="52" t="n">
        <f aca="false">IF(Q937=0,0,S937/Q937)</f>
        <v>-0.15101352645898</v>
      </c>
      <c r="U937" s="51" t="str">
        <f aca="false">IF(AND(Q937&gt;0,T937&lt;-0.15),"ADVERSE","")</f>
        <v>ADVERSE</v>
      </c>
    </row>
    <row r="938" customFormat="false" ht="15" hidden="false" customHeight="false" outlineLevel="0" collapsed="false">
      <c r="A938" s="47" t="s">
        <v>3</v>
      </c>
      <c r="B938" s="47" t="s">
        <v>137</v>
      </c>
      <c r="C938" s="48" t="n">
        <v>45992</v>
      </c>
      <c r="D938" s="47" t="s">
        <v>37</v>
      </c>
      <c r="E938" s="47" t="s">
        <v>41</v>
      </c>
      <c r="F938" s="49" t="n">
        <v>298340</v>
      </c>
      <c r="G938" s="49" t="n">
        <v>301622</v>
      </c>
      <c r="H938" s="49" t="n">
        <v>178855</v>
      </c>
      <c r="I938" s="49" t="n">
        <v>185468</v>
      </c>
      <c r="J938" s="49" t="n">
        <v>42812</v>
      </c>
      <c r="K938" s="49" t="n">
        <v>44939</v>
      </c>
      <c r="L938" s="50" t="n">
        <v>18.7</v>
      </c>
      <c r="M938" s="51" t="n">
        <f aca="false">G938-F938</f>
        <v>3282</v>
      </c>
      <c r="N938" s="52" t="n">
        <f aca="false">IF(F938=0,0,M938/F938)</f>
        <v>0.0110008714889053</v>
      </c>
      <c r="O938" s="51" t="n">
        <f aca="false">G938-I938</f>
        <v>116154</v>
      </c>
      <c r="P938" s="51" t="n">
        <f aca="false">F938-H938</f>
        <v>119485</v>
      </c>
      <c r="Q938" s="51" t="n">
        <f aca="false">F938-H938-J938</f>
        <v>76673</v>
      </c>
      <c r="R938" s="51" t="n">
        <f aca="false">G938-I938-K938</f>
        <v>71215</v>
      </c>
      <c r="S938" s="51" t="n">
        <f aca="false">R938-Q938</f>
        <v>-5458</v>
      </c>
      <c r="T938" s="52" t="n">
        <f aca="false">IF(Q938=0,0,S938/Q938)</f>
        <v>-0.0711854238128155</v>
      </c>
      <c r="U938" s="51" t="str">
        <f aca="false">IF(AND(Q938&gt;0,T938&lt;-0.15),"ADVERSE","")</f>
        <v/>
      </c>
    </row>
    <row r="939" customFormat="false" ht="15" hidden="false" customHeight="false" outlineLevel="0" collapsed="false">
      <c r="A939" s="47" t="s">
        <v>3</v>
      </c>
      <c r="B939" s="47" t="s">
        <v>138</v>
      </c>
      <c r="C939" s="48" t="n">
        <v>46023</v>
      </c>
      <c r="D939" s="47" t="s">
        <v>37</v>
      </c>
      <c r="E939" s="47" t="s">
        <v>41</v>
      </c>
      <c r="F939" s="49" t="n">
        <v>291027</v>
      </c>
      <c r="G939" s="49" t="n">
        <v>277174</v>
      </c>
      <c r="H939" s="49" t="n">
        <v>174471</v>
      </c>
      <c r="I939" s="49" t="n">
        <v>180752</v>
      </c>
      <c r="J939" s="49" t="n">
        <v>41762</v>
      </c>
      <c r="K939" s="49" t="n">
        <v>39088</v>
      </c>
      <c r="L939" s="50" t="n">
        <v>19</v>
      </c>
      <c r="M939" s="51" t="n">
        <f aca="false">G939-F939</f>
        <v>-13853</v>
      </c>
      <c r="N939" s="52" t="n">
        <f aca="false">IF(F939=0,0,M939/F939)</f>
        <v>-0.0476003944651184</v>
      </c>
      <c r="O939" s="51" t="n">
        <f aca="false">G939-I939</f>
        <v>96422</v>
      </c>
      <c r="P939" s="51" t="n">
        <f aca="false">F939-H939</f>
        <v>116556</v>
      </c>
      <c r="Q939" s="51" t="n">
        <f aca="false">F939-H939-J939</f>
        <v>74794</v>
      </c>
      <c r="R939" s="51" t="n">
        <f aca="false">G939-I939-K939</f>
        <v>57334</v>
      </c>
      <c r="S939" s="51" t="n">
        <f aca="false">R939-Q939</f>
        <v>-17460</v>
      </c>
      <c r="T939" s="52" t="n">
        <f aca="false">IF(Q939=0,0,S939/Q939)</f>
        <v>-0.233441185121801</v>
      </c>
      <c r="U939" s="51" t="str">
        <f aca="false">IF(AND(Q939&gt;0,T939&lt;-0.15),"ADVERSE","")</f>
        <v>ADVERSE</v>
      </c>
    </row>
    <row r="940" customFormat="false" ht="15" hidden="false" customHeight="false" outlineLevel="0" collapsed="false">
      <c r="A940" s="47" t="s">
        <v>3</v>
      </c>
      <c r="B940" s="47" t="s">
        <v>138</v>
      </c>
      <c r="C940" s="48" t="n">
        <v>46054</v>
      </c>
      <c r="D940" s="47" t="s">
        <v>37</v>
      </c>
      <c r="E940" s="47" t="s">
        <v>41</v>
      </c>
      <c r="F940" s="49" t="n">
        <v>296946</v>
      </c>
      <c r="G940" s="49" t="n">
        <v>287382</v>
      </c>
      <c r="H940" s="49" t="n">
        <v>178019</v>
      </c>
      <c r="I940" s="49" t="n">
        <v>183268</v>
      </c>
      <c r="J940" s="49" t="n">
        <v>42612</v>
      </c>
      <c r="K940" s="49" t="n">
        <v>43311</v>
      </c>
      <c r="L940" s="50" t="n">
        <v>19</v>
      </c>
      <c r="M940" s="51" t="n">
        <f aca="false">G940-F940</f>
        <v>-9564</v>
      </c>
      <c r="N940" s="52" t="n">
        <f aca="false">IF(F940=0,0,M940/F940)</f>
        <v>-0.0322078761795074</v>
      </c>
      <c r="O940" s="51" t="n">
        <f aca="false">G940-I940</f>
        <v>104114</v>
      </c>
      <c r="P940" s="51" t="n">
        <f aca="false">F940-H940</f>
        <v>118927</v>
      </c>
      <c r="Q940" s="51" t="n">
        <f aca="false">F940-H940-J940</f>
        <v>76315</v>
      </c>
      <c r="R940" s="51" t="n">
        <f aca="false">G940-I940-K940</f>
        <v>60803</v>
      </c>
      <c r="S940" s="51" t="n">
        <f aca="false">R940-Q940</f>
        <v>-15512</v>
      </c>
      <c r="T940" s="52" t="n">
        <f aca="false">IF(Q940=0,0,S940/Q940)</f>
        <v>-0.203262792373714</v>
      </c>
      <c r="U940" s="51" t="str">
        <f aca="false">IF(AND(Q940&gt;0,T940&lt;-0.15),"ADVERSE","")</f>
        <v>ADVERSE</v>
      </c>
    </row>
    <row r="941" customFormat="false" ht="15" hidden="false" customHeight="false" outlineLevel="0" collapsed="false">
      <c r="A941" s="47" t="s">
        <v>3</v>
      </c>
      <c r="B941" s="47" t="s">
        <v>138</v>
      </c>
      <c r="C941" s="48" t="n">
        <v>46082</v>
      </c>
      <c r="D941" s="47" t="s">
        <v>37</v>
      </c>
      <c r="E941" s="47" t="s">
        <v>41</v>
      </c>
      <c r="F941" s="49" t="n">
        <v>323535</v>
      </c>
      <c r="G941" s="49" t="n">
        <v>303100</v>
      </c>
      <c r="H941" s="49" t="n">
        <v>193959</v>
      </c>
      <c r="I941" s="49" t="n">
        <v>191516</v>
      </c>
      <c r="J941" s="49" t="n">
        <v>46427</v>
      </c>
      <c r="K941" s="49" t="n">
        <v>42871</v>
      </c>
      <c r="L941" s="50" t="n">
        <v>18.6</v>
      </c>
      <c r="M941" s="51" t="n">
        <f aca="false">G941-F941</f>
        <v>-20435</v>
      </c>
      <c r="N941" s="52" t="n">
        <f aca="false">IF(F941=0,0,M941/F941)</f>
        <v>-0.0631616362990094</v>
      </c>
      <c r="O941" s="51" t="n">
        <f aca="false">G941-I941</f>
        <v>111584</v>
      </c>
      <c r="P941" s="51" t="n">
        <f aca="false">F941-H941</f>
        <v>129576</v>
      </c>
      <c r="Q941" s="51" t="n">
        <f aca="false">F941-H941-J941</f>
        <v>83149</v>
      </c>
      <c r="R941" s="51" t="n">
        <f aca="false">G941-I941-K941</f>
        <v>68713</v>
      </c>
      <c r="S941" s="51" t="n">
        <f aca="false">R941-Q941</f>
        <v>-14436</v>
      </c>
      <c r="T941" s="52" t="n">
        <f aca="false">IF(Q941=0,0,S941/Q941)</f>
        <v>-0.173616038677555</v>
      </c>
      <c r="U941" s="51" t="str">
        <f aca="false">IF(AND(Q941&gt;0,T941&lt;-0.15),"ADVERSE","")</f>
        <v>ADVERSE</v>
      </c>
    </row>
    <row r="942" customFormat="false" ht="15" hidden="false" customHeight="false" outlineLevel="0" collapsed="false">
      <c r="A942" s="47" t="s">
        <v>134</v>
      </c>
      <c r="B942" s="47" t="s">
        <v>135</v>
      </c>
      <c r="C942" s="48" t="n">
        <v>45017</v>
      </c>
      <c r="D942" s="47" t="s">
        <v>37</v>
      </c>
      <c r="E942" s="47" t="s">
        <v>42</v>
      </c>
      <c r="F942" s="49" t="n">
        <v>279965</v>
      </c>
      <c r="G942" s="49" t="n">
        <v>306654</v>
      </c>
      <c r="H942" s="49" t="n">
        <v>167839</v>
      </c>
      <c r="I942" s="49" t="n">
        <v>185691</v>
      </c>
      <c r="J942" s="49" t="n">
        <v>40175</v>
      </c>
      <c r="K942" s="49" t="n">
        <v>43104</v>
      </c>
      <c r="L942" s="50" t="n">
        <v>25.8</v>
      </c>
      <c r="M942" s="51" t="n">
        <f aca="false">G942-F942</f>
        <v>26689</v>
      </c>
      <c r="N942" s="52" t="n">
        <f aca="false">IF(F942=0,0,M942/F942)</f>
        <v>0.0953297733645277</v>
      </c>
      <c r="O942" s="51" t="n">
        <f aca="false">G942-I942</f>
        <v>120963</v>
      </c>
      <c r="P942" s="51" t="n">
        <f aca="false">F942-H942</f>
        <v>112126</v>
      </c>
      <c r="Q942" s="51" t="n">
        <f aca="false">F942-H942-J942</f>
        <v>71951</v>
      </c>
      <c r="R942" s="51" t="n">
        <f aca="false">G942-I942-K942</f>
        <v>77859</v>
      </c>
      <c r="S942" s="51" t="n">
        <f aca="false">R942-Q942</f>
        <v>5908</v>
      </c>
      <c r="T942" s="52" t="n">
        <f aca="false">IF(Q942=0,0,S942/Q942)</f>
        <v>0.0821114369501466</v>
      </c>
      <c r="U942" s="51" t="str">
        <f aca="false">IF(AND(Q942&gt;0,T942&lt;-0.15),"ADVERSE","")</f>
        <v/>
      </c>
    </row>
    <row r="943" customFormat="false" ht="15" hidden="false" customHeight="false" outlineLevel="0" collapsed="false">
      <c r="A943" s="47" t="s">
        <v>134</v>
      </c>
      <c r="B943" s="47" t="s">
        <v>135</v>
      </c>
      <c r="C943" s="48" t="n">
        <v>45047</v>
      </c>
      <c r="D943" s="47" t="s">
        <v>37</v>
      </c>
      <c r="E943" s="47" t="s">
        <v>42</v>
      </c>
      <c r="F943" s="49" t="n">
        <v>284696</v>
      </c>
      <c r="G943" s="49" t="n">
        <v>272535</v>
      </c>
      <c r="H943" s="49" t="n">
        <v>170676</v>
      </c>
      <c r="I943" s="49" t="n">
        <v>162855</v>
      </c>
      <c r="J943" s="49" t="n">
        <v>40854</v>
      </c>
      <c r="K943" s="49" t="n">
        <v>37969</v>
      </c>
      <c r="L943" s="50" t="n">
        <v>26.4</v>
      </c>
      <c r="M943" s="51" t="n">
        <f aca="false">G943-F943</f>
        <v>-12161</v>
      </c>
      <c r="N943" s="52" t="n">
        <f aca="false">IF(F943=0,0,M943/F943)</f>
        <v>-0.0427157388934161</v>
      </c>
      <c r="O943" s="51" t="n">
        <f aca="false">G943-I943</f>
        <v>109680</v>
      </c>
      <c r="P943" s="51" t="n">
        <f aca="false">F943-H943</f>
        <v>114020</v>
      </c>
      <c r="Q943" s="51" t="n">
        <f aca="false">F943-H943-J943</f>
        <v>73166</v>
      </c>
      <c r="R943" s="51" t="n">
        <f aca="false">G943-I943-K943</f>
        <v>71711</v>
      </c>
      <c r="S943" s="51" t="n">
        <f aca="false">R943-Q943</f>
        <v>-1455</v>
      </c>
      <c r="T943" s="52" t="n">
        <f aca="false">IF(Q943=0,0,S943/Q943)</f>
        <v>-0.0198862859798267</v>
      </c>
      <c r="U943" s="51" t="str">
        <f aca="false">IF(AND(Q943&gt;0,T943&lt;-0.15),"ADVERSE","")</f>
        <v/>
      </c>
    </row>
    <row r="944" customFormat="false" ht="15" hidden="false" customHeight="false" outlineLevel="0" collapsed="false">
      <c r="A944" s="47" t="s">
        <v>134</v>
      </c>
      <c r="B944" s="47" t="s">
        <v>135</v>
      </c>
      <c r="C944" s="48" t="n">
        <v>45078</v>
      </c>
      <c r="D944" s="47" t="s">
        <v>37</v>
      </c>
      <c r="E944" s="47" t="s">
        <v>42</v>
      </c>
      <c r="F944" s="49" t="n">
        <v>290396</v>
      </c>
      <c r="G944" s="49" t="n">
        <v>299612</v>
      </c>
      <c r="H944" s="49" t="n">
        <v>174092</v>
      </c>
      <c r="I944" s="49" t="n">
        <v>180170</v>
      </c>
      <c r="J944" s="49" t="n">
        <v>41672</v>
      </c>
      <c r="K944" s="49" t="n">
        <v>44833</v>
      </c>
      <c r="L944" s="50" t="n">
        <v>25.5</v>
      </c>
      <c r="M944" s="51" t="n">
        <f aca="false">G944-F944</f>
        <v>9216</v>
      </c>
      <c r="N944" s="52" t="n">
        <f aca="false">IF(F944=0,0,M944/F944)</f>
        <v>0.0317359743247152</v>
      </c>
      <c r="O944" s="51" t="n">
        <f aca="false">G944-I944</f>
        <v>119442</v>
      </c>
      <c r="P944" s="51" t="n">
        <f aca="false">F944-H944</f>
        <v>116304</v>
      </c>
      <c r="Q944" s="51" t="n">
        <f aca="false">F944-H944-J944</f>
        <v>74632</v>
      </c>
      <c r="R944" s="51" t="n">
        <f aca="false">G944-I944-K944</f>
        <v>74609</v>
      </c>
      <c r="S944" s="51" t="n">
        <f aca="false">R944-Q944</f>
        <v>-23</v>
      </c>
      <c r="T944" s="52" t="n">
        <f aca="false">IF(Q944=0,0,S944/Q944)</f>
        <v>-0.000308178797298746</v>
      </c>
      <c r="U944" s="51" t="str">
        <f aca="false">IF(AND(Q944&gt;0,T944&lt;-0.15),"ADVERSE","")</f>
        <v/>
      </c>
    </row>
    <row r="945" customFormat="false" ht="15" hidden="false" customHeight="false" outlineLevel="0" collapsed="false">
      <c r="A945" s="47" t="s">
        <v>134</v>
      </c>
      <c r="B945" s="47" t="s">
        <v>136</v>
      </c>
      <c r="C945" s="48" t="n">
        <v>45108</v>
      </c>
      <c r="D945" s="47" t="s">
        <v>37</v>
      </c>
      <c r="E945" s="47" t="s">
        <v>42</v>
      </c>
      <c r="F945" s="49" t="n">
        <v>292168</v>
      </c>
      <c r="G945" s="49" t="n">
        <v>321503</v>
      </c>
      <c r="H945" s="49" t="n">
        <v>175155</v>
      </c>
      <c r="I945" s="49" t="n">
        <v>191524</v>
      </c>
      <c r="J945" s="49" t="n">
        <v>41926</v>
      </c>
      <c r="K945" s="49" t="n">
        <v>47027</v>
      </c>
      <c r="L945" s="50" t="n">
        <v>26.6</v>
      </c>
      <c r="M945" s="51" t="n">
        <f aca="false">G945-F945</f>
        <v>29335</v>
      </c>
      <c r="N945" s="52" t="n">
        <f aca="false">IF(F945=0,0,M945/F945)</f>
        <v>0.100404561758988</v>
      </c>
      <c r="O945" s="51" t="n">
        <f aca="false">G945-I945</f>
        <v>129979</v>
      </c>
      <c r="P945" s="51" t="n">
        <f aca="false">F945-H945</f>
        <v>117013</v>
      </c>
      <c r="Q945" s="51" t="n">
        <f aca="false">F945-H945-J945</f>
        <v>75087</v>
      </c>
      <c r="R945" s="51" t="n">
        <f aca="false">G945-I945-K945</f>
        <v>82952</v>
      </c>
      <c r="S945" s="51" t="n">
        <f aca="false">R945-Q945</f>
        <v>7865</v>
      </c>
      <c r="T945" s="52" t="n">
        <f aca="false">IF(Q945=0,0,S945/Q945)</f>
        <v>0.104745162278424</v>
      </c>
      <c r="U945" s="51" t="str">
        <f aca="false">IF(AND(Q945&gt;0,T945&lt;-0.15),"ADVERSE","")</f>
        <v/>
      </c>
    </row>
    <row r="946" customFormat="false" ht="15" hidden="false" customHeight="false" outlineLevel="0" collapsed="false">
      <c r="A946" s="47" t="s">
        <v>134</v>
      </c>
      <c r="B946" s="47" t="s">
        <v>136</v>
      </c>
      <c r="C946" s="48" t="n">
        <v>45139</v>
      </c>
      <c r="D946" s="47" t="s">
        <v>37</v>
      </c>
      <c r="E946" s="47" t="s">
        <v>42</v>
      </c>
      <c r="F946" s="49" t="n">
        <v>285946</v>
      </c>
      <c r="G946" s="49" t="n">
        <v>289051</v>
      </c>
      <c r="H946" s="49" t="n">
        <v>171425</v>
      </c>
      <c r="I946" s="49" t="n">
        <v>172445</v>
      </c>
      <c r="J946" s="49" t="n">
        <v>41033</v>
      </c>
      <c r="K946" s="49" t="n">
        <v>40630</v>
      </c>
      <c r="L946" s="50" t="n">
        <v>26</v>
      </c>
      <c r="M946" s="51" t="n">
        <f aca="false">G946-F946</f>
        <v>3105</v>
      </c>
      <c r="N946" s="52" t="n">
        <f aca="false">IF(F946=0,0,M946/F946)</f>
        <v>0.0108586935994908</v>
      </c>
      <c r="O946" s="51" t="n">
        <f aca="false">G946-I946</f>
        <v>116606</v>
      </c>
      <c r="P946" s="51" t="n">
        <f aca="false">F946-H946</f>
        <v>114521</v>
      </c>
      <c r="Q946" s="51" t="n">
        <f aca="false">F946-H946-J946</f>
        <v>73488</v>
      </c>
      <c r="R946" s="51" t="n">
        <f aca="false">G946-I946-K946</f>
        <v>75976</v>
      </c>
      <c r="S946" s="51" t="n">
        <f aca="false">R946-Q946</f>
        <v>2488</v>
      </c>
      <c r="T946" s="52" t="n">
        <f aca="false">IF(Q946=0,0,S946/Q946)</f>
        <v>0.0338558676246462</v>
      </c>
      <c r="U946" s="51" t="str">
        <f aca="false">IF(AND(Q946&gt;0,T946&lt;-0.15),"ADVERSE","")</f>
        <v/>
      </c>
    </row>
    <row r="947" customFormat="false" ht="15" hidden="false" customHeight="false" outlineLevel="0" collapsed="false">
      <c r="A947" s="47" t="s">
        <v>134</v>
      </c>
      <c r="B947" s="47" t="s">
        <v>136</v>
      </c>
      <c r="C947" s="48" t="n">
        <v>45170</v>
      </c>
      <c r="D947" s="47" t="s">
        <v>37</v>
      </c>
      <c r="E947" s="47" t="s">
        <v>42</v>
      </c>
      <c r="F947" s="49" t="n">
        <v>288659</v>
      </c>
      <c r="G947" s="49" t="n">
        <v>317052</v>
      </c>
      <c r="H947" s="49" t="n">
        <v>173051</v>
      </c>
      <c r="I947" s="49" t="n">
        <v>190878</v>
      </c>
      <c r="J947" s="49" t="n">
        <v>41423</v>
      </c>
      <c r="K947" s="49" t="n">
        <v>47006</v>
      </c>
      <c r="L947" s="50" t="n">
        <v>25.9</v>
      </c>
      <c r="M947" s="51" t="n">
        <f aca="false">G947-F947</f>
        <v>28393</v>
      </c>
      <c r="N947" s="52" t="n">
        <f aca="false">IF(F947=0,0,M947/F947)</f>
        <v>0.0983617347804849</v>
      </c>
      <c r="O947" s="51" t="n">
        <f aca="false">G947-I947</f>
        <v>126174</v>
      </c>
      <c r="P947" s="51" t="n">
        <f aca="false">F947-H947</f>
        <v>115608</v>
      </c>
      <c r="Q947" s="51" t="n">
        <f aca="false">F947-H947-J947</f>
        <v>74185</v>
      </c>
      <c r="R947" s="51" t="n">
        <f aca="false">G947-I947-K947</f>
        <v>79168</v>
      </c>
      <c r="S947" s="51" t="n">
        <f aca="false">R947-Q947</f>
        <v>4983</v>
      </c>
      <c r="T947" s="52" t="n">
        <f aca="false">IF(Q947=0,0,S947/Q947)</f>
        <v>0.0671699130551998</v>
      </c>
      <c r="U947" s="51" t="str">
        <f aca="false">IF(AND(Q947&gt;0,T947&lt;-0.15),"ADVERSE","")</f>
        <v/>
      </c>
    </row>
    <row r="948" customFormat="false" ht="15" hidden="false" customHeight="false" outlineLevel="0" collapsed="false">
      <c r="A948" s="47" t="s">
        <v>134</v>
      </c>
      <c r="B948" s="47" t="s">
        <v>137</v>
      </c>
      <c r="C948" s="48" t="n">
        <v>45200</v>
      </c>
      <c r="D948" s="47" t="s">
        <v>37</v>
      </c>
      <c r="E948" s="47" t="s">
        <v>42</v>
      </c>
      <c r="F948" s="49" t="n">
        <v>300814</v>
      </c>
      <c r="G948" s="49" t="n">
        <v>308576</v>
      </c>
      <c r="H948" s="49" t="n">
        <v>180338</v>
      </c>
      <c r="I948" s="49" t="n">
        <v>184144</v>
      </c>
      <c r="J948" s="49" t="n">
        <v>43167</v>
      </c>
      <c r="K948" s="49" t="n">
        <v>43690</v>
      </c>
      <c r="L948" s="50" t="n">
        <v>26.5</v>
      </c>
      <c r="M948" s="51" t="n">
        <f aca="false">G948-F948</f>
        <v>7762</v>
      </c>
      <c r="N948" s="52" t="n">
        <f aca="false">IF(F948=0,0,M948/F948)</f>
        <v>0.025803320324187</v>
      </c>
      <c r="O948" s="51" t="n">
        <f aca="false">G948-I948</f>
        <v>124432</v>
      </c>
      <c r="P948" s="51" t="n">
        <f aca="false">F948-H948</f>
        <v>120476</v>
      </c>
      <c r="Q948" s="51" t="n">
        <f aca="false">F948-H948-J948</f>
        <v>77309</v>
      </c>
      <c r="R948" s="51" t="n">
        <f aca="false">G948-I948-K948</f>
        <v>80742</v>
      </c>
      <c r="S948" s="51" t="n">
        <f aca="false">R948-Q948</f>
        <v>3433</v>
      </c>
      <c r="T948" s="52" t="n">
        <f aca="false">IF(Q948=0,0,S948/Q948)</f>
        <v>0.0444062140242404</v>
      </c>
      <c r="U948" s="51" t="str">
        <f aca="false">IF(AND(Q948&gt;0,T948&lt;-0.15),"ADVERSE","")</f>
        <v/>
      </c>
    </row>
    <row r="949" customFormat="false" ht="15" hidden="false" customHeight="false" outlineLevel="0" collapsed="false">
      <c r="A949" s="47" t="s">
        <v>134</v>
      </c>
      <c r="B949" s="47" t="s">
        <v>137</v>
      </c>
      <c r="C949" s="48" t="n">
        <v>45231</v>
      </c>
      <c r="D949" s="47" t="s">
        <v>37</v>
      </c>
      <c r="E949" s="47" t="s">
        <v>42</v>
      </c>
      <c r="F949" s="49" t="n">
        <v>303130</v>
      </c>
      <c r="G949" s="49" t="n">
        <v>303838</v>
      </c>
      <c r="H949" s="49" t="n">
        <v>181726</v>
      </c>
      <c r="I949" s="49" t="n">
        <v>185390</v>
      </c>
      <c r="J949" s="49" t="n">
        <v>43499</v>
      </c>
      <c r="K949" s="49" t="n">
        <v>42272</v>
      </c>
      <c r="L949" s="50" t="n">
        <v>25.9</v>
      </c>
      <c r="M949" s="51" t="n">
        <f aca="false">G949-F949</f>
        <v>708</v>
      </c>
      <c r="N949" s="52" t="n">
        <f aca="false">IF(F949=0,0,M949/F949)</f>
        <v>0.0023356315772111</v>
      </c>
      <c r="O949" s="51" t="n">
        <f aca="false">G949-I949</f>
        <v>118448</v>
      </c>
      <c r="P949" s="51" t="n">
        <f aca="false">F949-H949</f>
        <v>121404</v>
      </c>
      <c r="Q949" s="51" t="n">
        <f aca="false">F949-H949-J949</f>
        <v>77905</v>
      </c>
      <c r="R949" s="51" t="n">
        <f aca="false">G949-I949-K949</f>
        <v>76176</v>
      </c>
      <c r="S949" s="51" t="n">
        <f aca="false">R949-Q949</f>
        <v>-1729</v>
      </c>
      <c r="T949" s="52" t="n">
        <f aca="false">IF(Q949=0,0,S949/Q949)</f>
        <v>-0.0221936974520249</v>
      </c>
      <c r="U949" s="51" t="str">
        <f aca="false">IF(AND(Q949&gt;0,T949&lt;-0.15),"ADVERSE","")</f>
        <v/>
      </c>
    </row>
    <row r="950" customFormat="false" ht="15" hidden="false" customHeight="false" outlineLevel="0" collapsed="false">
      <c r="A950" s="47" t="s">
        <v>134</v>
      </c>
      <c r="B950" s="47" t="s">
        <v>137</v>
      </c>
      <c r="C950" s="48" t="n">
        <v>45261</v>
      </c>
      <c r="D950" s="47" t="s">
        <v>37</v>
      </c>
      <c r="E950" s="47" t="s">
        <v>42</v>
      </c>
      <c r="F950" s="49" t="n">
        <v>296540</v>
      </c>
      <c r="G950" s="49" t="n">
        <v>306238</v>
      </c>
      <c r="H950" s="49" t="n">
        <v>177776</v>
      </c>
      <c r="I950" s="49" t="n">
        <v>186165</v>
      </c>
      <c r="J950" s="49" t="n">
        <v>42554</v>
      </c>
      <c r="K950" s="49" t="n">
        <v>45872</v>
      </c>
      <c r="L950" s="50" t="n">
        <v>26.4</v>
      </c>
      <c r="M950" s="51" t="n">
        <f aca="false">G950-F950</f>
        <v>9698</v>
      </c>
      <c r="N950" s="52" t="n">
        <f aca="false">IF(F950=0,0,M950/F950)</f>
        <v>0.0327038510824847</v>
      </c>
      <c r="O950" s="51" t="n">
        <f aca="false">G950-I950</f>
        <v>120073</v>
      </c>
      <c r="P950" s="51" t="n">
        <f aca="false">F950-H950</f>
        <v>118764</v>
      </c>
      <c r="Q950" s="51" t="n">
        <f aca="false">F950-H950-J950</f>
        <v>76210</v>
      </c>
      <c r="R950" s="51" t="n">
        <f aca="false">G950-I950-K950</f>
        <v>74201</v>
      </c>
      <c r="S950" s="51" t="n">
        <f aca="false">R950-Q950</f>
        <v>-2009</v>
      </c>
      <c r="T950" s="52" t="n">
        <f aca="false">IF(Q950=0,0,S950/Q950)</f>
        <v>-0.0263613698989634</v>
      </c>
      <c r="U950" s="51" t="str">
        <f aca="false">IF(AND(Q950&gt;0,T950&lt;-0.15),"ADVERSE","")</f>
        <v/>
      </c>
    </row>
    <row r="951" customFormat="false" ht="15" hidden="false" customHeight="false" outlineLevel="0" collapsed="false">
      <c r="A951" s="47" t="s">
        <v>134</v>
      </c>
      <c r="B951" s="47" t="s">
        <v>138</v>
      </c>
      <c r="C951" s="48" t="n">
        <v>45292</v>
      </c>
      <c r="D951" s="47" t="s">
        <v>37</v>
      </c>
      <c r="E951" s="47" t="s">
        <v>42</v>
      </c>
      <c r="F951" s="49" t="n">
        <v>290254</v>
      </c>
      <c r="G951" s="49" t="n">
        <v>310539</v>
      </c>
      <c r="H951" s="49" t="n">
        <v>174007</v>
      </c>
      <c r="I951" s="49" t="n">
        <v>186629</v>
      </c>
      <c r="J951" s="49" t="n">
        <v>41651</v>
      </c>
      <c r="K951" s="49" t="n">
        <v>47268</v>
      </c>
      <c r="L951" s="50" t="n">
        <v>27.4</v>
      </c>
      <c r="M951" s="51" t="n">
        <f aca="false">G951-F951</f>
        <v>20285</v>
      </c>
      <c r="N951" s="52" t="n">
        <f aca="false">IF(F951=0,0,M951/F951)</f>
        <v>0.0698870644332206</v>
      </c>
      <c r="O951" s="51" t="n">
        <f aca="false">G951-I951</f>
        <v>123910</v>
      </c>
      <c r="P951" s="51" t="n">
        <f aca="false">F951-H951</f>
        <v>116247</v>
      </c>
      <c r="Q951" s="51" t="n">
        <f aca="false">F951-H951-J951</f>
        <v>74596</v>
      </c>
      <c r="R951" s="51" t="n">
        <f aca="false">G951-I951-K951</f>
        <v>76642</v>
      </c>
      <c r="S951" s="51" t="n">
        <f aca="false">R951-Q951</f>
        <v>2046</v>
      </c>
      <c r="T951" s="52" t="n">
        <f aca="false">IF(Q951=0,0,S951/Q951)</f>
        <v>0.027427744114966</v>
      </c>
      <c r="U951" s="51" t="str">
        <f aca="false">IF(AND(Q951&gt;0,T951&lt;-0.15),"ADVERSE","")</f>
        <v/>
      </c>
    </row>
    <row r="952" customFormat="false" ht="15" hidden="false" customHeight="false" outlineLevel="0" collapsed="false">
      <c r="A952" s="47" t="s">
        <v>134</v>
      </c>
      <c r="B952" s="47" t="s">
        <v>138</v>
      </c>
      <c r="C952" s="48" t="n">
        <v>45323</v>
      </c>
      <c r="D952" s="47" t="s">
        <v>37</v>
      </c>
      <c r="E952" s="47" t="s">
        <v>42</v>
      </c>
      <c r="F952" s="49" t="n">
        <v>295091</v>
      </c>
      <c r="G952" s="49" t="n">
        <v>298427</v>
      </c>
      <c r="H952" s="49" t="n">
        <v>176907</v>
      </c>
      <c r="I952" s="49" t="n">
        <v>182862</v>
      </c>
      <c r="J952" s="49" t="n">
        <v>42346</v>
      </c>
      <c r="K952" s="49" t="n">
        <v>43459</v>
      </c>
      <c r="L952" s="50" t="n">
        <v>26</v>
      </c>
      <c r="M952" s="51" t="n">
        <f aca="false">G952-F952</f>
        <v>3336</v>
      </c>
      <c r="N952" s="52" t="n">
        <f aca="false">IF(F952=0,0,M952/F952)</f>
        <v>0.0113049872751117</v>
      </c>
      <c r="O952" s="51" t="n">
        <f aca="false">G952-I952</f>
        <v>115565</v>
      </c>
      <c r="P952" s="51" t="n">
        <f aca="false">F952-H952</f>
        <v>118184</v>
      </c>
      <c r="Q952" s="51" t="n">
        <f aca="false">F952-H952-J952</f>
        <v>75838</v>
      </c>
      <c r="R952" s="51" t="n">
        <f aca="false">G952-I952-K952</f>
        <v>72106</v>
      </c>
      <c r="S952" s="51" t="n">
        <f aca="false">R952-Q952</f>
        <v>-3732</v>
      </c>
      <c r="T952" s="52" t="n">
        <f aca="false">IF(Q952=0,0,S952/Q952)</f>
        <v>-0.0492101584957409</v>
      </c>
      <c r="U952" s="51" t="str">
        <f aca="false">IF(AND(Q952&gt;0,T952&lt;-0.15),"ADVERSE","")</f>
        <v/>
      </c>
    </row>
    <row r="953" customFormat="false" ht="15" hidden="false" customHeight="false" outlineLevel="0" collapsed="false">
      <c r="A953" s="47" t="s">
        <v>134</v>
      </c>
      <c r="B953" s="47" t="s">
        <v>138</v>
      </c>
      <c r="C953" s="48" t="n">
        <v>45352</v>
      </c>
      <c r="D953" s="47" t="s">
        <v>37</v>
      </c>
      <c r="E953" s="47" t="s">
        <v>42</v>
      </c>
      <c r="F953" s="49" t="n">
        <v>322301</v>
      </c>
      <c r="G953" s="49" t="n">
        <v>334214</v>
      </c>
      <c r="H953" s="49" t="n">
        <v>193219</v>
      </c>
      <c r="I953" s="49" t="n">
        <v>201060</v>
      </c>
      <c r="J953" s="49" t="n">
        <v>46250</v>
      </c>
      <c r="K953" s="49" t="n">
        <v>50429</v>
      </c>
      <c r="L953" s="50" t="n">
        <v>26.4</v>
      </c>
      <c r="M953" s="51" t="n">
        <f aca="false">G953-F953</f>
        <v>11913</v>
      </c>
      <c r="N953" s="52" t="n">
        <f aca="false">IF(F953=0,0,M953/F953)</f>
        <v>0.0369623426548475</v>
      </c>
      <c r="O953" s="51" t="n">
        <f aca="false">G953-I953</f>
        <v>133154</v>
      </c>
      <c r="P953" s="51" t="n">
        <f aca="false">F953-H953</f>
        <v>129082</v>
      </c>
      <c r="Q953" s="51" t="n">
        <f aca="false">F953-H953-J953</f>
        <v>82832</v>
      </c>
      <c r="R953" s="51" t="n">
        <f aca="false">G953-I953-K953</f>
        <v>82725</v>
      </c>
      <c r="S953" s="51" t="n">
        <f aca="false">R953-Q953</f>
        <v>-107</v>
      </c>
      <c r="T953" s="52" t="n">
        <f aca="false">IF(Q953=0,0,S953/Q953)</f>
        <v>-0.00129177129611744</v>
      </c>
      <c r="U953" s="51" t="str">
        <f aca="false">IF(AND(Q953&gt;0,T953&lt;-0.15),"ADVERSE","")</f>
        <v/>
      </c>
    </row>
    <row r="954" customFormat="false" ht="15" hidden="false" customHeight="false" outlineLevel="0" collapsed="false">
      <c r="A954" s="47" t="s">
        <v>139</v>
      </c>
      <c r="B954" s="47" t="s">
        <v>135</v>
      </c>
      <c r="C954" s="48" t="n">
        <v>45383</v>
      </c>
      <c r="D954" s="47" t="s">
        <v>37</v>
      </c>
      <c r="E954" s="47" t="s">
        <v>42</v>
      </c>
      <c r="F954" s="49" t="n">
        <v>303841</v>
      </c>
      <c r="G954" s="49" t="n">
        <v>306129</v>
      </c>
      <c r="H954" s="49" t="n">
        <v>182152</v>
      </c>
      <c r="I954" s="49" t="n">
        <v>186793</v>
      </c>
      <c r="J954" s="49" t="n">
        <v>43601</v>
      </c>
      <c r="K954" s="49" t="n">
        <v>45059</v>
      </c>
      <c r="L954" s="50" t="n">
        <v>25.7</v>
      </c>
      <c r="M954" s="51" t="n">
        <f aca="false">G954-F954</f>
        <v>2288</v>
      </c>
      <c r="N954" s="52" t="n">
        <f aca="false">IF(F954=0,0,M954/F954)</f>
        <v>0.00753025431064274</v>
      </c>
      <c r="O954" s="51" t="n">
        <f aca="false">G954-I954</f>
        <v>119336</v>
      </c>
      <c r="P954" s="51" t="n">
        <f aca="false">F954-H954</f>
        <v>121689</v>
      </c>
      <c r="Q954" s="51" t="n">
        <f aca="false">F954-H954-J954</f>
        <v>78088</v>
      </c>
      <c r="R954" s="51" t="n">
        <f aca="false">G954-I954-K954</f>
        <v>74277</v>
      </c>
      <c r="S954" s="51" t="n">
        <f aca="false">R954-Q954</f>
        <v>-3811</v>
      </c>
      <c r="T954" s="52" t="n">
        <f aca="false">IF(Q954=0,0,S954/Q954)</f>
        <v>-0.0488039135334494</v>
      </c>
      <c r="U954" s="51" t="str">
        <f aca="false">IF(AND(Q954&gt;0,T954&lt;-0.15),"ADVERSE","")</f>
        <v/>
      </c>
    </row>
    <row r="955" customFormat="false" ht="15" hidden="false" customHeight="false" outlineLevel="0" collapsed="false">
      <c r="A955" s="47" t="s">
        <v>139</v>
      </c>
      <c r="B955" s="47" t="s">
        <v>135</v>
      </c>
      <c r="C955" s="48" t="n">
        <v>45413</v>
      </c>
      <c r="D955" s="47" t="s">
        <v>37</v>
      </c>
      <c r="E955" s="47" t="s">
        <v>42</v>
      </c>
      <c r="F955" s="49" t="n">
        <v>306219</v>
      </c>
      <c r="G955" s="49" t="n">
        <v>320921</v>
      </c>
      <c r="H955" s="49" t="n">
        <v>183578</v>
      </c>
      <c r="I955" s="49" t="n">
        <v>185446</v>
      </c>
      <c r="J955" s="49" t="n">
        <v>43942</v>
      </c>
      <c r="K955" s="49" t="n">
        <v>49776</v>
      </c>
      <c r="L955" s="50" t="n">
        <v>27.6</v>
      </c>
      <c r="M955" s="51" t="n">
        <f aca="false">G955-F955</f>
        <v>14702</v>
      </c>
      <c r="N955" s="52" t="n">
        <f aca="false">IF(F955=0,0,M955/F955)</f>
        <v>0.0480113905407568</v>
      </c>
      <c r="O955" s="51" t="n">
        <f aca="false">G955-I955</f>
        <v>135475</v>
      </c>
      <c r="P955" s="51" t="n">
        <f aca="false">F955-H955</f>
        <v>122641</v>
      </c>
      <c r="Q955" s="51" t="n">
        <f aca="false">F955-H955-J955</f>
        <v>78699</v>
      </c>
      <c r="R955" s="51" t="n">
        <f aca="false">G955-I955-K955</f>
        <v>85699</v>
      </c>
      <c r="S955" s="51" t="n">
        <f aca="false">R955-Q955</f>
        <v>7000</v>
      </c>
      <c r="T955" s="52" t="n">
        <f aca="false">IF(Q955=0,0,S955/Q955)</f>
        <v>0.0889464923315417</v>
      </c>
      <c r="U955" s="51" t="str">
        <f aca="false">IF(AND(Q955&gt;0,T955&lt;-0.15),"ADVERSE","")</f>
        <v/>
      </c>
    </row>
    <row r="956" customFormat="false" ht="15" hidden="false" customHeight="false" outlineLevel="0" collapsed="false">
      <c r="A956" s="47" t="s">
        <v>139</v>
      </c>
      <c r="B956" s="47" t="s">
        <v>135</v>
      </c>
      <c r="C956" s="48" t="n">
        <v>45444</v>
      </c>
      <c r="D956" s="47" t="s">
        <v>37</v>
      </c>
      <c r="E956" s="47" t="s">
        <v>42</v>
      </c>
      <c r="F956" s="49" t="n">
        <v>315114</v>
      </c>
      <c r="G956" s="49" t="n">
        <v>319589</v>
      </c>
      <c r="H956" s="49" t="n">
        <v>188911</v>
      </c>
      <c r="I956" s="49" t="n">
        <v>190857</v>
      </c>
      <c r="J956" s="49" t="n">
        <v>45219</v>
      </c>
      <c r="K956" s="49" t="n">
        <v>45496</v>
      </c>
      <c r="L956" s="50" t="n">
        <v>27.4</v>
      </c>
      <c r="M956" s="51" t="n">
        <f aca="false">G956-F956</f>
        <v>4475</v>
      </c>
      <c r="N956" s="52" t="n">
        <f aca="false">IF(F956=0,0,M956/F956)</f>
        <v>0.0142012097209264</v>
      </c>
      <c r="O956" s="51" t="n">
        <f aca="false">G956-I956</f>
        <v>128732</v>
      </c>
      <c r="P956" s="51" t="n">
        <f aca="false">F956-H956</f>
        <v>126203</v>
      </c>
      <c r="Q956" s="51" t="n">
        <f aca="false">F956-H956-J956</f>
        <v>80984</v>
      </c>
      <c r="R956" s="51" t="n">
        <f aca="false">G956-I956-K956</f>
        <v>83236</v>
      </c>
      <c r="S956" s="51" t="n">
        <f aca="false">R956-Q956</f>
        <v>2252</v>
      </c>
      <c r="T956" s="52" t="n">
        <f aca="false">IF(Q956=0,0,S956/Q956)</f>
        <v>0.0278079620665811</v>
      </c>
      <c r="U956" s="51" t="str">
        <f aca="false">IF(AND(Q956&gt;0,T956&lt;-0.15),"ADVERSE","")</f>
        <v/>
      </c>
    </row>
    <row r="957" customFormat="false" ht="15" hidden="false" customHeight="false" outlineLevel="0" collapsed="false">
      <c r="A957" s="47" t="s">
        <v>139</v>
      </c>
      <c r="B957" s="47" t="s">
        <v>136</v>
      </c>
      <c r="C957" s="48" t="n">
        <v>45474</v>
      </c>
      <c r="D957" s="47" t="s">
        <v>37</v>
      </c>
      <c r="E957" s="47" t="s">
        <v>42</v>
      </c>
      <c r="F957" s="49" t="n">
        <v>316716</v>
      </c>
      <c r="G957" s="49" t="n">
        <v>318095</v>
      </c>
      <c r="H957" s="49" t="n">
        <v>189871</v>
      </c>
      <c r="I957" s="49" t="n">
        <v>192143</v>
      </c>
      <c r="J957" s="49" t="n">
        <v>45449</v>
      </c>
      <c r="K957" s="49" t="n">
        <v>43485</v>
      </c>
      <c r="L957" s="50" t="n">
        <v>26.9</v>
      </c>
      <c r="M957" s="51" t="n">
        <f aca="false">G957-F957</f>
        <v>1379</v>
      </c>
      <c r="N957" s="52" t="n">
        <f aca="false">IF(F957=0,0,M957/F957)</f>
        <v>0.00435405852561917</v>
      </c>
      <c r="O957" s="51" t="n">
        <f aca="false">G957-I957</f>
        <v>125952</v>
      </c>
      <c r="P957" s="51" t="n">
        <f aca="false">F957-H957</f>
        <v>126845</v>
      </c>
      <c r="Q957" s="51" t="n">
        <f aca="false">F957-H957-J957</f>
        <v>81396</v>
      </c>
      <c r="R957" s="51" t="n">
        <f aca="false">G957-I957-K957</f>
        <v>82467</v>
      </c>
      <c r="S957" s="51" t="n">
        <f aca="false">R957-Q957</f>
        <v>1071</v>
      </c>
      <c r="T957" s="52" t="n">
        <f aca="false">IF(Q957=0,0,S957/Q957)</f>
        <v>0.0131578947368421</v>
      </c>
      <c r="U957" s="51" t="str">
        <f aca="false">IF(AND(Q957&gt;0,T957&lt;-0.15),"ADVERSE","")</f>
        <v/>
      </c>
    </row>
    <row r="958" customFormat="false" ht="15" hidden="false" customHeight="false" outlineLevel="0" collapsed="false">
      <c r="A958" s="47" t="s">
        <v>139</v>
      </c>
      <c r="B958" s="47" t="s">
        <v>136</v>
      </c>
      <c r="C958" s="48" t="n">
        <v>45505</v>
      </c>
      <c r="D958" s="47" t="s">
        <v>37</v>
      </c>
      <c r="E958" s="47" t="s">
        <v>42</v>
      </c>
      <c r="F958" s="49" t="n">
        <v>302093</v>
      </c>
      <c r="G958" s="49" t="n">
        <v>320435</v>
      </c>
      <c r="H958" s="49" t="n">
        <v>181104</v>
      </c>
      <c r="I958" s="49" t="n">
        <v>191922</v>
      </c>
      <c r="J958" s="49" t="n">
        <v>43350</v>
      </c>
      <c r="K958" s="49" t="n">
        <v>45657</v>
      </c>
      <c r="L958" s="50" t="n">
        <v>26.8</v>
      </c>
      <c r="M958" s="51" t="n">
        <f aca="false">G958-F958</f>
        <v>18342</v>
      </c>
      <c r="N958" s="52" t="n">
        <f aca="false">IF(F958=0,0,M958/F958)</f>
        <v>0.0607164019027253</v>
      </c>
      <c r="O958" s="51" t="n">
        <f aca="false">G958-I958</f>
        <v>128513</v>
      </c>
      <c r="P958" s="51" t="n">
        <f aca="false">F958-H958</f>
        <v>120989</v>
      </c>
      <c r="Q958" s="51" t="n">
        <f aca="false">F958-H958-J958</f>
        <v>77639</v>
      </c>
      <c r="R958" s="51" t="n">
        <f aca="false">G958-I958-K958</f>
        <v>82856</v>
      </c>
      <c r="S958" s="51" t="n">
        <f aca="false">R958-Q958</f>
        <v>5217</v>
      </c>
      <c r="T958" s="52" t="n">
        <f aca="false">IF(Q958=0,0,S958/Q958)</f>
        <v>0.0671956104535092</v>
      </c>
      <c r="U958" s="51" t="str">
        <f aca="false">IF(AND(Q958&gt;0,T958&lt;-0.15),"ADVERSE","")</f>
        <v/>
      </c>
    </row>
    <row r="959" customFormat="false" ht="15" hidden="false" customHeight="false" outlineLevel="0" collapsed="false">
      <c r="A959" s="47" t="s">
        <v>139</v>
      </c>
      <c r="B959" s="47" t="s">
        <v>136</v>
      </c>
      <c r="C959" s="48" t="n">
        <v>45536</v>
      </c>
      <c r="D959" s="47" t="s">
        <v>37</v>
      </c>
      <c r="E959" s="47" t="s">
        <v>42</v>
      </c>
      <c r="F959" s="49" t="n">
        <v>312834</v>
      </c>
      <c r="G959" s="49" t="n">
        <v>305332</v>
      </c>
      <c r="H959" s="49" t="n">
        <v>187544</v>
      </c>
      <c r="I959" s="49" t="n">
        <v>181450</v>
      </c>
      <c r="J959" s="49" t="n">
        <v>44892</v>
      </c>
      <c r="K959" s="49" t="n">
        <v>42724</v>
      </c>
      <c r="L959" s="50" t="n">
        <v>27.1</v>
      </c>
      <c r="M959" s="51" t="n">
        <f aca="false">G959-F959</f>
        <v>-7502</v>
      </c>
      <c r="N959" s="52" t="n">
        <f aca="false">IF(F959=0,0,M959/F959)</f>
        <v>-0.0239807693537148</v>
      </c>
      <c r="O959" s="51" t="n">
        <f aca="false">G959-I959</f>
        <v>123882</v>
      </c>
      <c r="P959" s="51" t="n">
        <f aca="false">F959-H959</f>
        <v>125290</v>
      </c>
      <c r="Q959" s="51" t="n">
        <f aca="false">F959-H959-J959</f>
        <v>80398</v>
      </c>
      <c r="R959" s="51" t="n">
        <f aca="false">G959-I959-K959</f>
        <v>81158</v>
      </c>
      <c r="S959" s="51" t="n">
        <f aca="false">R959-Q959</f>
        <v>760</v>
      </c>
      <c r="T959" s="52" t="n">
        <f aca="false">IF(Q959=0,0,S959/Q959)</f>
        <v>0.00945297146695191</v>
      </c>
      <c r="U959" s="51" t="str">
        <f aca="false">IF(AND(Q959&gt;0,T959&lt;-0.15),"ADVERSE","")</f>
        <v/>
      </c>
    </row>
    <row r="960" customFormat="false" ht="15" hidden="false" customHeight="false" outlineLevel="0" collapsed="false">
      <c r="A960" s="47" t="s">
        <v>139</v>
      </c>
      <c r="B960" s="47" t="s">
        <v>137</v>
      </c>
      <c r="C960" s="48" t="n">
        <v>45566</v>
      </c>
      <c r="D960" s="47" t="s">
        <v>37</v>
      </c>
      <c r="E960" s="47" t="s">
        <v>42</v>
      </c>
      <c r="F960" s="49" t="n">
        <v>323970</v>
      </c>
      <c r="G960" s="49" t="n">
        <v>325511</v>
      </c>
      <c r="H960" s="49" t="n">
        <v>194220</v>
      </c>
      <c r="I960" s="49" t="n">
        <v>196105</v>
      </c>
      <c r="J960" s="49" t="n">
        <v>46490</v>
      </c>
      <c r="K960" s="49" t="n">
        <v>47669</v>
      </c>
      <c r="L960" s="50" t="n">
        <v>26.8</v>
      </c>
      <c r="M960" s="51" t="n">
        <f aca="false">G960-F960</f>
        <v>1541</v>
      </c>
      <c r="N960" s="52" t="n">
        <f aca="false">IF(F960=0,0,M960/F960)</f>
        <v>0.00475661326666049</v>
      </c>
      <c r="O960" s="51" t="n">
        <f aca="false">G960-I960</f>
        <v>129406</v>
      </c>
      <c r="P960" s="51" t="n">
        <f aca="false">F960-H960</f>
        <v>129750</v>
      </c>
      <c r="Q960" s="51" t="n">
        <f aca="false">F960-H960-J960</f>
        <v>83260</v>
      </c>
      <c r="R960" s="51" t="n">
        <f aca="false">G960-I960-K960</f>
        <v>81737</v>
      </c>
      <c r="S960" s="51" t="n">
        <f aca="false">R960-Q960</f>
        <v>-1523</v>
      </c>
      <c r="T960" s="52" t="n">
        <f aca="false">IF(Q960=0,0,S960/Q960)</f>
        <v>-0.0182920970454</v>
      </c>
      <c r="U960" s="51" t="str">
        <f aca="false">IF(AND(Q960&gt;0,T960&lt;-0.15),"ADVERSE","")</f>
        <v/>
      </c>
    </row>
    <row r="961" customFormat="false" ht="15" hidden="false" customHeight="false" outlineLevel="0" collapsed="false">
      <c r="A961" s="47" t="s">
        <v>139</v>
      </c>
      <c r="B961" s="47" t="s">
        <v>137</v>
      </c>
      <c r="C961" s="48" t="n">
        <v>45597</v>
      </c>
      <c r="D961" s="47" t="s">
        <v>37</v>
      </c>
      <c r="E961" s="47" t="s">
        <v>42</v>
      </c>
      <c r="F961" s="49" t="n">
        <v>325636</v>
      </c>
      <c r="G961" s="49" t="n">
        <v>340478</v>
      </c>
      <c r="H961" s="49" t="n">
        <v>195219</v>
      </c>
      <c r="I961" s="49" t="n">
        <v>205801</v>
      </c>
      <c r="J961" s="49" t="n">
        <v>46729</v>
      </c>
      <c r="K961" s="49" t="n">
        <v>47875</v>
      </c>
      <c r="L961" s="50" t="n">
        <v>27</v>
      </c>
      <c r="M961" s="51" t="n">
        <f aca="false">G961-F961</f>
        <v>14842</v>
      </c>
      <c r="N961" s="52" t="n">
        <f aca="false">IF(F961=0,0,M961/F961)</f>
        <v>0.0455784986917908</v>
      </c>
      <c r="O961" s="51" t="n">
        <f aca="false">G961-I961</f>
        <v>134677</v>
      </c>
      <c r="P961" s="51" t="n">
        <f aca="false">F961-H961</f>
        <v>130417</v>
      </c>
      <c r="Q961" s="51" t="n">
        <f aca="false">F961-H961-J961</f>
        <v>83688</v>
      </c>
      <c r="R961" s="51" t="n">
        <f aca="false">G961-I961-K961</f>
        <v>86802</v>
      </c>
      <c r="S961" s="51" t="n">
        <f aca="false">R961-Q961</f>
        <v>3114</v>
      </c>
      <c r="T961" s="52" t="n">
        <f aca="false">IF(Q961=0,0,S961/Q961)</f>
        <v>0.0372096357900774</v>
      </c>
      <c r="U961" s="51" t="str">
        <f aca="false">IF(AND(Q961&gt;0,T961&lt;-0.15),"ADVERSE","")</f>
        <v/>
      </c>
    </row>
    <row r="962" customFormat="false" ht="15" hidden="false" customHeight="false" outlineLevel="0" collapsed="false">
      <c r="A962" s="47" t="s">
        <v>139</v>
      </c>
      <c r="B962" s="47" t="s">
        <v>137</v>
      </c>
      <c r="C962" s="48" t="n">
        <v>45627</v>
      </c>
      <c r="D962" s="47" t="s">
        <v>37</v>
      </c>
      <c r="E962" s="47" t="s">
        <v>42</v>
      </c>
      <c r="F962" s="49" t="n">
        <v>318756</v>
      </c>
      <c r="G962" s="49" t="n">
        <v>324194</v>
      </c>
      <c r="H962" s="49" t="n">
        <v>191094</v>
      </c>
      <c r="I962" s="49" t="n">
        <v>197058</v>
      </c>
      <c r="J962" s="49" t="n">
        <v>45741</v>
      </c>
      <c r="K962" s="49" t="n">
        <v>51108</v>
      </c>
      <c r="L962" s="50" t="n">
        <v>27.9</v>
      </c>
      <c r="M962" s="51" t="n">
        <f aca="false">G962-F962</f>
        <v>5438</v>
      </c>
      <c r="N962" s="52" t="n">
        <f aca="false">IF(F962=0,0,M962/F962)</f>
        <v>0.017060071026114</v>
      </c>
      <c r="O962" s="51" t="n">
        <f aca="false">G962-I962</f>
        <v>127136</v>
      </c>
      <c r="P962" s="51" t="n">
        <f aca="false">F962-H962</f>
        <v>127662</v>
      </c>
      <c r="Q962" s="51" t="n">
        <f aca="false">F962-H962-J962</f>
        <v>81921</v>
      </c>
      <c r="R962" s="51" t="n">
        <f aca="false">G962-I962-K962</f>
        <v>76028</v>
      </c>
      <c r="S962" s="51" t="n">
        <f aca="false">R962-Q962</f>
        <v>-5893</v>
      </c>
      <c r="T962" s="52" t="n">
        <f aca="false">IF(Q962=0,0,S962/Q962)</f>
        <v>-0.07193515704154</v>
      </c>
      <c r="U962" s="51" t="str">
        <f aca="false">IF(AND(Q962&gt;0,T962&lt;-0.15),"ADVERSE","")</f>
        <v/>
      </c>
    </row>
    <row r="963" customFormat="false" ht="15" hidden="false" customHeight="false" outlineLevel="0" collapsed="false">
      <c r="A963" s="47" t="s">
        <v>139</v>
      </c>
      <c r="B963" s="47" t="s">
        <v>138</v>
      </c>
      <c r="C963" s="48" t="n">
        <v>45658</v>
      </c>
      <c r="D963" s="47" t="s">
        <v>37</v>
      </c>
      <c r="E963" s="47" t="s">
        <v>42</v>
      </c>
      <c r="F963" s="49" t="n">
        <v>313033</v>
      </c>
      <c r="G963" s="49" t="n">
        <v>315832</v>
      </c>
      <c r="H963" s="49" t="n">
        <v>187663</v>
      </c>
      <c r="I963" s="49" t="n">
        <v>187385</v>
      </c>
      <c r="J963" s="49" t="n">
        <v>44920</v>
      </c>
      <c r="K963" s="49" t="n">
        <v>45385</v>
      </c>
      <c r="L963" s="50" t="n">
        <v>27.3</v>
      </c>
      <c r="M963" s="51" t="n">
        <f aca="false">G963-F963</f>
        <v>2799</v>
      </c>
      <c r="N963" s="52" t="n">
        <f aca="false">IF(F963=0,0,M963/F963)</f>
        <v>0.00894154929352496</v>
      </c>
      <c r="O963" s="51" t="n">
        <f aca="false">G963-I963</f>
        <v>128447</v>
      </c>
      <c r="P963" s="51" t="n">
        <f aca="false">F963-H963</f>
        <v>125370</v>
      </c>
      <c r="Q963" s="51" t="n">
        <f aca="false">F963-H963-J963</f>
        <v>80450</v>
      </c>
      <c r="R963" s="51" t="n">
        <f aca="false">G963-I963-K963</f>
        <v>83062</v>
      </c>
      <c r="S963" s="51" t="n">
        <f aca="false">R963-Q963</f>
        <v>2612</v>
      </c>
      <c r="T963" s="52" t="n">
        <f aca="false">IF(Q963=0,0,S963/Q963)</f>
        <v>0.0324673710379117</v>
      </c>
      <c r="U963" s="51" t="str">
        <f aca="false">IF(AND(Q963&gt;0,T963&lt;-0.15),"ADVERSE","")</f>
        <v/>
      </c>
    </row>
    <row r="964" customFormat="false" ht="15" hidden="false" customHeight="false" outlineLevel="0" collapsed="false">
      <c r="A964" s="47" t="s">
        <v>139</v>
      </c>
      <c r="B964" s="47" t="s">
        <v>138</v>
      </c>
      <c r="C964" s="48" t="n">
        <v>45689</v>
      </c>
      <c r="D964" s="47" t="s">
        <v>37</v>
      </c>
      <c r="E964" s="47" t="s">
        <v>42</v>
      </c>
      <c r="F964" s="49" t="n">
        <v>323774</v>
      </c>
      <c r="G964" s="49" t="n">
        <v>313703</v>
      </c>
      <c r="H964" s="49" t="n">
        <v>194102</v>
      </c>
      <c r="I964" s="49" t="n">
        <v>187303</v>
      </c>
      <c r="J964" s="49" t="n">
        <v>46462</v>
      </c>
      <c r="K964" s="49" t="n">
        <v>46891</v>
      </c>
      <c r="L964" s="50" t="n">
        <v>28.2</v>
      </c>
      <c r="M964" s="51" t="n">
        <f aca="false">G964-F964</f>
        <v>-10071</v>
      </c>
      <c r="N964" s="52" t="n">
        <f aca="false">IF(F964=0,0,M964/F964)</f>
        <v>-0.0311050300518263</v>
      </c>
      <c r="O964" s="51" t="n">
        <f aca="false">G964-I964</f>
        <v>126400</v>
      </c>
      <c r="P964" s="51" t="n">
        <f aca="false">F964-H964</f>
        <v>129672</v>
      </c>
      <c r="Q964" s="51" t="n">
        <f aca="false">F964-H964-J964</f>
        <v>83210</v>
      </c>
      <c r="R964" s="51" t="n">
        <f aca="false">G964-I964-K964</f>
        <v>79509</v>
      </c>
      <c r="S964" s="51" t="n">
        <f aca="false">R964-Q964</f>
        <v>-3701</v>
      </c>
      <c r="T964" s="52" t="n">
        <f aca="false">IF(Q964=0,0,S964/Q964)</f>
        <v>-0.0444778271842327</v>
      </c>
      <c r="U964" s="51" t="str">
        <f aca="false">IF(AND(Q964&gt;0,T964&lt;-0.15),"ADVERSE","")</f>
        <v/>
      </c>
    </row>
    <row r="965" customFormat="false" ht="15" hidden="false" customHeight="false" outlineLevel="0" collapsed="false">
      <c r="A965" s="47" t="s">
        <v>139</v>
      </c>
      <c r="B965" s="47" t="s">
        <v>138</v>
      </c>
      <c r="C965" s="48" t="n">
        <v>45717</v>
      </c>
      <c r="D965" s="47" t="s">
        <v>37</v>
      </c>
      <c r="E965" s="47" t="s">
        <v>42</v>
      </c>
      <c r="F965" s="49" t="n">
        <v>349253</v>
      </c>
      <c r="G965" s="49" t="n">
        <v>350241</v>
      </c>
      <c r="H965" s="49" t="n">
        <v>209377</v>
      </c>
      <c r="I965" s="49" t="n">
        <v>210623</v>
      </c>
      <c r="J965" s="49" t="n">
        <v>50118</v>
      </c>
      <c r="K965" s="49" t="n">
        <v>49083</v>
      </c>
      <c r="L965" s="50" t="n">
        <v>27.8</v>
      </c>
      <c r="M965" s="51" t="n">
        <f aca="false">G965-F965</f>
        <v>988</v>
      </c>
      <c r="N965" s="52" t="n">
        <f aca="false">IF(F965=0,0,M965/F965)</f>
        <v>0.00282889481264298</v>
      </c>
      <c r="O965" s="51" t="n">
        <f aca="false">G965-I965</f>
        <v>139618</v>
      </c>
      <c r="P965" s="51" t="n">
        <f aca="false">F965-H965</f>
        <v>139876</v>
      </c>
      <c r="Q965" s="51" t="n">
        <f aca="false">F965-H965-J965</f>
        <v>89758</v>
      </c>
      <c r="R965" s="51" t="n">
        <f aca="false">G965-I965-K965</f>
        <v>90535</v>
      </c>
      <c r="S965" s="51" t="n">
        <f aca="false">R965-Q965</f>
        <v>777</v>
      </c>
      <c r="T965" s="52" t="n">
        <f aca="false">IF(Q965=0,0,S965/Q965)</f>
        <v>0.00865660999576639</v>
      </c>
      <c r="U965" s="51" t="str">
        <f aca="false">IF(AND(Q965&gt;0,T965&lt;-0.15),"ADVERSE","")</f>
        <v/>
      </c>
    </row>
    <row r="966" customFormat="false" ht="15" hidden="false" customHeight="false" outlineLevel="0" collapsed="false">
      <c r="A966" s="47" t="s">
        <v>3</v>
      </c>
      <c r="B966" s="47" t="s">
        <v>135</v>
      </c>
      <c r="C966" s="48" t="n">
        <v>45748</v>
      </c>
      <c r="D966" s="47" t="s">
        <v>37</v>
      </c>
      <c r="E966" s="47" t="s">
        <v>42</v>
      </c>
      <c r="F966" s="49" t="n">
        <v>329285</v>
      </c>
      <c r="G966" s="49" t="n">
        <v>338111</v>
      </c>
      <c r="H966" s="49" t="n">
        <v>197407</v>
      </c>
      <c r="I966" s="49" t="n">
        <v>207611</v>
      </c>
      <c r="J966" s="49" t="n">
        <v>47252</v>
      </c>
      <c r="K966" s="49" t="n">
        <v>49861</v>
      </c>
      <c r="L966" s="50" t="n">
        <v>28.2</v>
      </c>
      <c r="M966" s="51" t="n">
        <f aca="false">G966-F966</f>
        <v>8826</v>
      </c>
      <c r="N966" s="52" t="n">
        <f aca="false">IF(F966=0,0,M966/F966)</f>
        <v>0.0268035288579802</v>
      </c>
      <c r="O966" s="51" t="n">
        <f aca="false">G966-I966</f>
        <v>130500</v>
      </c>
      <c r="P966" s="51" t="n">
        <f aca="false">F966-H966</f>
        <v>131878</v>
      </c>
      <c r="Q966" s="51" t="n">
        <f aca="false">F966-H966-J966</f>
        <v>84626</v>
      </c>
      <c r="R966" s="51" t="n">
        <f aca="false">G966-I966-K966</f>
        <v>80639</v>
      </c>
      <c r="S966" s="51" t="n">
        <f aca="false">R966-Q966</f>
        <v>-3987</v>
      </c>
      <c r="T966" s="52" t="n">
        <f aca="false">IF(Q966=0,0,S966/Q966)</f>
        <v>-0.0471131803464656</v>
      </c>
      <c r="U966" s="51" t="str">
        <f aca="false">IF(AND(Q966&gt;0,T966&lt;-0.15),"ADVERSE","")</f>
        <v/>
      </c>
    </row>
    <row r="967" customFormat="false" ht="15" hidden="false" customHeight="false" outlineLevel="0" collapsed="false">
      <c r="A967" s="47" t="s">
        <v>3</v>
      </c>
      <c r="B967" s="47" t="s">
        <v>135</v>
      </c>
      <c r="C967" s="48" t="n">
        <v>45778</v>
      </c>
      <c r="D967" s="47" t="s">
        <v>37</v>
      </c>
      <c r="E967" s="47" t="s">
        <v>42</v>
      </c>
      <c r="F967" s="49" t="n">
        <v>331342</v>
      </c>
      <c r="G967" s="49" t="n">
        <v>329167</v>
      </c>
      <c r="H967" s="49" t="n">
        <v>198640</v>
      </c>
      <c r="I967" s="49" t="n">
        <v>204520</v>
      </c>
      <c r="J967" s="49" t="n">
        <v>47548</v>
      </c>
      <c r="K967" s="49" t="n">
        <v>48294</v>
      </c>
      <c r="L967" s="50" t="n">
        <v>28.1</v>
      </c>
      <c r="M967" s="51" t="n">
        <f aca="false">G967-F967</f>
        <v>-2175</v>
      </c>
      <c r="N967" s="52" t="n">
        <f aca="false">IF(F967=0,0,M967/F967)</f>
        <v>-0.0065642146181287</v>
      </c>
      <c r="O967" s="51" t="n">
        <f aca="false">G967-I967</f>
        <v>124647</v>
      </c>
      <c r="P967" s="51" t="n">
        <f aca="false">F967-H967</f>
        <v>132702</v>
      </c>
      <c r="Q967" s="51" t="n">
        <f aca="false">F967-H967-J967</f>
        <v>85154</v>
      </c>
      <c r="R967" s="51" t="n">
        <f aca="false">G967-I967-K967</f>
        <v>76353</v>
      </c>
      <c r="S967" s="51" t="n">
        <f aca="false">R967-Q967</f>
        <v>-8801</v>
      </c>
      <c r="T967" s="52" t="n">
        <f aca="false">IF(Q967=0,0,S967/Q967)</f>
        <v>-0.103353923479813</v>
      </c>
      <c r="U967" s="51" t="str">
        <f aca="false">IF(AND(Q967&gt;0,T967&lt;-0.15),"ADVERSE","")</f>
        <v/>
      </c>
    </row>
    <row r="968" customFormat="false" ht="15" hidden="false" customHeight="false" outlineLevel="0" collapsed="false">
      <c r="A968" s="47" t="s">
        <v>3</v>
      </c>
      <c r="B968" s="47" t="s">
        <v>135</v>
      </c>
      <c r="C968" s="48" t="n">
        <v>45809</v>
      </c>
      <c r="D968" s="47" t="s">
        <v>37</v>
      </c>
      <c r="E968" s="47" t="s">
        <v>42</v>
      </c>
      <c r="F968" s="49" t="n">
        <v>342514</v>
      </c>
      <c r="G968" s="49" t="n">
        <v>337460</v>
      </c>
      <c r="H968" s="49" t="n">
        <v>205337</v>
      </c>
      <c r="I968" s="49" t="n">
        <v>206970</v>
      </c>
      <c r="J968" s="49" t="n">
        <v>49151</v>
      </c>
      <c r="K968" s="49" t="n">
        <v>50966</v>
      </c>
      <c r="L968" s="50" t="n">
        <v>28.8</v>
      </c>
      <c r="M968" s="51" t="n">
        <f aca="false">G968-F968</f>
        <v>-5054</v>
      </c>
      <c r="N968" s="52" t="n">
        <f aca="false">IF(F968=0,0,M968/F968)</f>
        <v>-0.0147556012308986</v>
      </c>
      <c r="O968" s="51" t="n">
        <f aca="false">G968-I968</f>
        <v>130490</v>
      </c>
      <c r="P968" s="51" t="n">
        <f aca="false">F968-H968</f>
        <v>137177</v>
      </c>
      <c r="Q968" s="51" t="n">
        <f aca="false">F968-H968-J968</f>
        <v>88026</v>
      </c>
      <c r="R968" s="51" t="n">
        <f aca="false">G968-I968-K968</f>
        <v>79524</v>
      </c>
      <c r="S968" s="51" t="n">
        <f aca="false">R968-Q968</f>
        <v>-8502</v>
      </c>
      <c r="T968" s="52" t="n">
        <f aca="false">IF(Q968=0,0,S968/Q968)</f>
        <v>-0.0965850998568605</v>
      </c>
      <c r="U968" s="51" t="str">
        <f aca="false">IF(AND(Q968&gt;0,T968&lt;-0.15),"ADVERSE","")</f>
        <v/>
      </c>
    </row>
    <row r="969" customFormat="false" ht="15" hidden="false" customHeight="false" outlineLevel="0" collapsed="false">
      <c r="A969" s="47" t="s">
        <v>3</v>
      </c>
      <c r="B969" s="47" t="s">
        <v>136</v>
      </c>
      <c r="C969" s="48" t="n">
        <v>45839</v>
      </c>
      <c r="D969" s="47" t="s">
        <v>37</v>
      </c>
      <c r="E969" s="47" t="s">
        <v>42</v>
      </c>
      <c r="F969" s="49" t="n">
        <v>338944</v>
      </c>
      <c r="G969" s="49" t="n">
        <v>339392</v>
      </c>
      <c r="H969" s="49" t="n">
        <v>203197</v>
      </c>
      <c r="I969" s="49" t="n">
        <v>206538</v>
      </c>
      <c r="J969" s="49" t="n">
        <v>48638</v>
      </c>
      <c r="K969" s="49" t="n">
        <v>50672</v>
      </c>
      <c r="L969" s="50" t="n">
        <v>27.9</v>
      </c>
      <c r="M969" s="51" t="n">
        <f aca="false">G969-F969</f>
        <v>448</v>
      </c>
      <c r="N969" s="52" t="n">
        <f aca="false">IF(F969=0,0,M969/F969)</f>
        <v>0.00132175226586103</v>
      </c>
      <c r="O969" s="51" t="n">
        <f aca="false">G969-I969</f>
        <v>132854</v>
      </c>
      <c r="P969" s="51" t="n">
        <f aca="false">F969-H969</f>
        <v>135747</v>
      </c>
      <c r="Q969" s="51" t="n">
        <f aca="false">F969-H969-J969</f>
        <v>87109</v>
      </c>
      <c r="R969" s="51" t="n">
        <f aca="false">G969-I969-K969</f>
        <v>82182</v>
      </c>
      <c r="S969" s="51" t="n">
        <f aca="false">R969-Q969</f>
        <v>-4927</v>
      </c>
      <c r="T969" s="52" t="n">
        <f aca="false">IF(Q969=0,0,S969/Q969)</f>
        <v>-0.0565613197258607</v>
      </c>
      <c r="U969" s="51" t="str">
        <f aca="false">IF(AND(Q969&gt;0,T969&lt;-0.15),"ADVERSE","")</f>
        <v/>
      </c>
    </row>
    <row r="970" customFormat="false" ht="15" hidden="false" customHeight="false" outlineLevel="0" collapsed="false">
      <c r="A970" s="47" t="s">
        <v>3</v>
      </c>
      <c r="B970" s="47" t="s">
        <v>136</v>
      </c>
      <c r="C970" s="48" t="n">
        <v>45870</v>
      </c>
      <c r="D970" s="47" t="s">
        <v>37</v>
      </c>
      <c r="E970" s="47" t="s">
        <v>42</v>
      </c>
      <c r="F970" s="49" t="n">
        <v>331315</v>
      </c>
      <c r="G970" s="49" t="n">
        <v>335537</v>
      </c>
      <c r="H970" s="49" t="n">
        <v>198623</v>
      </c>
      <c r="I970" s="49" t="n">
        <v>208881</v>
      </c>
      <c r="J970" s="49" t="n">
        <v>47544</v>
      </c>
      <c r="K970" s="49" t="n">
        <v>48890</v>
      </c>
      <c r="L970" s="50" t="n">
        <v>28.4</v>
      </c>
      <c r="M970" s="51" t="n">
        <f aca="false">G970-F970</f>
        <v>4222</v>
      </c>
      <c r="N970" s="52" t="n">
        <f aca="false">IF(F970=0,0,M970/F970)</f>
        <v>0.0127431598327875</v>
      </c>
      <c r="O970" s="51" t="n">
        <f aca="false">G970-I970</f>
        <v>126656</v>
      </c>
      <c r="P970" s="51" t="n">
        <f aca="false">F970-H970</f>
        <v>132692</v>
      </c>
      <c r="Q970" s="51" t="n">
        <f aca="false">F970-H970-J970</f>
        <v>85148</v>
      </c>
      <c r="R970" s="51" t="n">
        <f aca="false">G970-I970-K970</f>
        <v>77766</v>
      </c>
      <c r="S970" s="51" t="n">
        <f aca="false">R970-Q970</f>
        <v>-7382</v>
      </c>
      <c r="T970" s="52" t="n">
        <f aca="false">IF(Q970=0,0,S970/Q970)</f>
        <v>-0.0866961056043595</v>
      </c>
      <c r="U970" s="51" t="str">
        <f aca="false">IF(AND(Q970&gt;0,T970&lt;-0.15),"ADVERSE","")</f>
        <v/>
      </c>
    </row>
    <row r="971" customFormat="false" ht="15" hidden="false" customHeight="false" outlineLevel="0" collapsed="false">
      <c r="A971" s="47" t="s">
        <v>3</v>
      </c>
      <c r="B971" s="47" t="s">
        <v>136</v>
      </c>
      <c r="C971" s="48" t="n">
        <v>45901</v>
      </c>
      <c r="D971" s="47" t="s">
        <v>37</v>
      </c>
      <c r="E971" s="47" t="s">
        <v>42</v>
      </c>
      <c r="F971" s="49" t="n">
        <v>345907</v>
      </c>
      <c r="G971" s="49" t="n">
        <v>333784</v>
      </c>
      <c r="H971" s="49" t="n">
        <v>207371</v>
      </c>
      <c r="I971" s="49" t="n">
        <v>203222</v>
      </c>
      <c r="J971" s="49" t="n">
        <v>49638</v>
      </c>
      <c r="K971" s="49" t="n">
        <v>49027</v>
      </c>
      <c r="L971" s="50" t="n">
        <v>28.4</v>
      </c>
      <c r="M971" s="51" t="n">
        <f aca="false">G971-F971</f>
        <v>-12123</v>
      </c>
      <c r="N971" s="52" t="n">
        <f aca="false">IF(F971=0,0,M971/F971)</f>
        <v>-0.0350469923996912</v>
      </c>
      <c r="O971" s="51" t="n">
        <f aca="false">G971-I971</f>
        <v>130562</v>
      </c>
      <c r="P971" s="51" t="n">
        <f aca="false">F971-H971</f>
        <v>138536</v>
      </c>
      <c r="Q971" s="51" t="n">
        <f aca="false">F971-H971-J971</f>
        <v>88898</v>
      </c>
      <c r="R971" s="51" t="n">
        <f aca="false">G971-I971-K971</f>
        <v>81535</v>
      </c>
      <c r="S971" s="51" t="n">
        <f aca="false">R971-Q971</f>
        <v>-7363</v>
      </c>
      <c r="T971" s="52" t="n">
        <f aca="false">IF(Q971=0,0,S971/Q971)</f>
        <v>-0.0828252604108079</v>
      </c>
      <c r="U971" s="51" t="str">
        <f aca="false">IF(AND(Q971&gt;0,T971&lt;-0.15),"ADVERSE","")</f>
        <v/>
      </c>
    </row>
    <row r="972" customFormat="false" ht="15" hidden="false" customHeight="false" outlineLevel="0" collapsed="false">
      <c r="A972" s="47" t="s">
        <v>3</v>
      </c>
      <c r="B972" s="47" t="s">
        <v>137</v>
      </c>
      <c r="C972" s="48" t="n">
        <v>45931</v>
      </c>
      <c r="D972" s="47" t="s">
        <v>37</v>
      </c>
      <c r="E972" s="47" t="s">
        <v>42</v>
      </c>
      <c r="F972" s="49" t="n">
        <v>349953</v>
      </c>
      <c r="G972" s="49" t="n">
        <v>370241</v>
      </c>
      <c r="H972" s="49" t="n">
        <v>209797</v>
      </c>
      <c r="I972" s="49" t="n">
        <v>229369</v>
      </c>
      <c r="J972" s="49" t="n">
        <v>50218</v>
      </c>
      <c r="K972" s="49" t="n">
        <v>52138</v>
      </c>
      <c r="L972" s="50" t="n">
        <v>28.9</v>
      </c>
      <c r="M972" s="51" t="n">
        <f aca="false">G972-F972</f>
        <v>20288</v>
      </c>
      <c r="N972" s="52" t="n">
        <f aca="false">IF(F972=0,0,M972/F972)</f>
        <v>0.0579734992984772</v>
      </c>
      <c r="O972" s="51" t="n">
        <f aca="false">G972-I972</f>
        <v>140872</v>
      </c>
      <c r="P972" s="51" t="n">
        <f aca="false">F972-H972</f>
        <v>140156</v>
      </c>
      <c r="Q972" s="51" t="n">
        <f aca="false">F972-H972-J972</f>
        <v>89938</v>
      </c>
      <c r="R972" s="51" t="n">
        <f aca="false">G972-I972-K972</f>
        <v>88734</v>
      </c>
      <c r="S972" s="51" t="n">
        <f aca="false">R972-Q972</f>
        <v>-1204</v>
      </c>
      <c r="T972" s="52" t="n">
        <f aca="false">IF(Q972=0,0,S972/Q972)</f>
        <v>-0.0133869999332874</v>
      </c>
      <c r="U972" s="51" t="str">
        <f aca="false">IF(AND(Q972&gt;0,T972&lt;-0.15),"ADVERSE","")</f>
        <v/>
      </c>
    </row>
    <row r="973" customFormat="false" ht="15" hidden="false" customHeight="false" outlineLevel="0" collapsed="false">
      <c r="A973" s="47" t="s">
        <v>3</v>
      </c>
      <c r="B973" s="47" t="s">
        <v>137</v>
      </c>
      <c r="C973" s="48" t="n">
        <v>45962</v>
      </c>
      <c r="D973" s="47" t="s">
        <v>37</v>
      </c>
      <c r="E973" s="47" t="s">
        <v>42</v>
      </c>
      <c r="F973" s="49" t="n">
        <v>351007</v>
      </c>
      <c r="G973" s="49" t="n">
        <v>360004</v>
      </c>
      <c r="H973" s="49" t="n">
        <v>210429</v>
      </c>
      <c r="I973" s="49" t="n">
        <v>226498</v>
      </c>
      <c r="J973" s="49" t="n">
        <v>50370</v>
      </c>
      <c r="K973" s="49" t="n">
        <v>51229</v>
      </c>
      <c r="L973" s="50" t="n">
        <v>28.7</v>
      </c>
      <c r="M973" s="51" t="n">
        <f aca="false">G973-F973</f>
        <v>8997</v>
      </c>
      <c r="N973" s="52" t="n">
        <f aca="false">IF(F973=0,0,M973/F973)</f>
        <v>0.0256319674536405</v>
      </c>
      <c r="O973" s="51" t="n">
        <f aca="false">G973-I973</f>
        <v>133506</v>
      </c>
      <c r="P973" s="51" t="n">
        <f aca="false">F973-H973</f>
        <v>140578</v>
      </c>
      <c r="Q973" s="51" t="n">
        <f aca="false">F973-H973-J973</f>
        <v>90208</v>
      </c>
      <c r="R973" s="51" t="n">
        <f aca="false">G973-I973-K973</f>
        <v>82277</v>
      </c>
      <c r="S973" s="51" t="n">
        <f aca="false">R973-Q973</f>
        <v>-7931</v>
      </c>
      <c r="T973" s="52" t="n">
        <f aca="false">IF(Q973=0,0,S973/Q973)</f>
        <v>-0.0879190315714793</v>
      </c>
      <c r="U973" s="51" t="str">
        <f aca="false">IF(AND(Q973&gt;0,T973&lt;-0.15),"ADVERSE","")</f>
        <v/>
      </c>
    </row>
    <row r="974" customFormat="false" ht="15" hidden="false" customHeight="false" outlineLevel="0" collapsed="false">
      <c r="A974" s="47" t="s">
        <v>3</v>
      </c>
      <c r="B974" s="47" t="s">
        <v>137</v>
      </c>
      <c r="C974" s="48" t="n">
        <v>45992</v>
      </c>
      <c r="D974" s="47" t="s">
        <v>37</v>
      </c>
      <c r="E974" s="47" t="s">
        <v>42</v>
      </c>
      <c r="F974" s="49" t="n">
        <v>343213</v>
      </c>
      <c r="G974" s="49" t="n">
        <v>334828</v>
      </c>
      <c r="H974" s="49" t="n">
        <v>205756</v>
      </c>
      <c r="I974" s="49" t="n">
        <v>205534</v>
      </c>
      <c r="J974" s="49" t="n">
        <v>49251</v>
      </c>
      <c r="K974" s="49" t="n">
        <v>45972</v>
      </c>
      <c r="L974" s="50" t="n">
        <v>28.2</v>
      </c>
      <c r="M974" s="51" t="n">
        <f aca="false">G974-F974</f>
        <v>-8385</v>
      </c>
      <c r="N974" s="52" t="n">
        <f aca="false">IF(F974=0,0,M974/F974)</f>
        <v>-0.0244308927692133</v>
      </c>
      <c r="O974" s="51" t="n">
        <f aca="false">G974-I974</f>
        <v>129294</v>
      </c>
      <c r="P974" s="51" t="n">
        <f aca="false">F974-H974</f>
        <v>137457</v>
      </c>
      <c r="Q974" s="51" t="n">
        <f aca="false">F974-H974-J974</f>
        <v>88206</v>
      </c>
      <c r="R974" s="51" t="n">
        <f aca="false">G974-I974-K974</f>
        <v>83322</v>
      </c>
      <c r="S974" s="51" t="n">
        <f aca="false">R974-Q974</f>
        <v>-4884</v>
      </c>
      <c r="T974" s="52" t="n">
        <f aca="false">IF(Q974=0,0,S974/Q974)</f>
        <v>-0.0553703829671451</v>
      </c>
      <c r="U974" s="51" t="str">
        <f aca="false">IF(AND(Q974&gt;0,T974&lt;-0.15),"ADVERSE","")</f>
        <v/>
      </c>
    </row>
    <row r="975" customFormat="false" ht="15" hidden="false" customHeight="false" outlineLevel="0" collapsed="false">
      <c r="A975" s="47" t="s">
        <v>3</v>
      </c>
      <c r="B975" s="47" t="s">
        <v>138</v>
      </c>
      <c r="C975" s="48" t="n">
        <v>46023</v>
      </c>
      <c r="D975" s="47" t="s">
        <v>37</v>
      </c>
      <c r="E975" s="47" t="s">
        <v>42</v>
      </c>
      <c r="F975" s="49" t="n">
        <v>346586</v>
      </c>
      <c r="G975" s="49" t="n">
        <v>347899</v>
      </c>
      <c r="H975" s="49" t="n">
        <v>207779</v>
      </c>
      <c r="I975" s="49" t="n">
        <v>215795</v>
      </c>
      <c r="J975" s="49" t="n">
        <v>49735</v>
      </c>
      <c r="K975" s="49" t="n">
        <v>48406</v>
      </c>
      <c r="L975" s="50" t="n">
        <v>29.5</v>
      </c>
      <c r="M975" s="51" t="n">
        <f aca="false">G975-F975</f>
        <v>1313</v>
      </c>
      <c r="N975" s="52" t="n">
        <f aca="false">IF(F975=0,0,M975/F975)</f>
        <v>0.00378838152723999</v>
      </c>
      <c r="O975" s="51" t="n">
        <f aca="false">G975-I975</f>
        <v>132104</v>
      </c>
      <c r="P975" s="51" t="n">
        <f aca="false">F975-H975</f>
        <v>138807</v>
      </c>
      <c r="Q975" s="51" t="n">
        <f aca="false">F975-H975-J975</f>
        <v>89072</v>
      </c>
      <c r="R975" s="51" t="n">
        <f aca="false">G975-I975-K975</f>
        <v>83698</v>
      </c>
      <c r="S975" s="51" t="n">
        <f aca="false">R975-Q975</f>
        <v>-5374</v>
      </c>
      <c r="T975" s="52" t="n">
        <f aca="false">IF(Q975=0,0,S975/Q975)</f>
        <v>-0.0603332135800252</v>
      </c>
      <c r="U975" s="51" t="str">
        <f aca="false">IF(AND(Q975&gt;0,T975&lt;-0.15),"ADVERSE","")</f>
        <v/>
      </c>
    </row>
    <row r="976" customFormat="false" ht="15" hidden="false" customHeight="false" outlineLevel="0" collapsed="false">
      <c r="A976" s="47" t="s">
        <v>3</v>
      </c>
      <c r="B976" s="47" t="s">
        <v>138</v>
      </c>
      <c r="C976" s="48" t="n">
        <v>46054</v>
      </c>
      <c r="D976" s="47" t="s">
        <v>37</v>
      </c>
      <c r="E976" s="47" t="s">
        <v>42</v>
      </c>
      <c r="F976" s="49" t="n">
        <v>347695</v>
      </c>
      <c r="G976" s="49" t="n">
        <v>340804</v>
      </c>
      <c r="H976" s="49" t="n">
        <v>208443</v>
      </c>
      <c r="I976" s="49" t="n">
        <v>208323</v>
      </c>
      <c r="J976" s="49" t="n">
        <v>49894</v>
      </c>
      <c r="K976" s="49" t="n">
        <v>49618</v>
      </c>
      <c r="L976" s="50" t="n">
        <v>29</v>
      </c>
      <c r="M976" s="51" t="n">
        <f aca="false">G976-F976</f>
        <v>-6891</v>
      </c>
      <c r="N976" s="52" t="n">
        <f aca="false">IF(F976=0,0,M976/F976)</f>
        <v>-0.0198190943211723</v>
      </c>
      <c r="O976" s="51" t="n">
        <f aca="false">G976-I976</f>
        <v>132481</v>
      </c>
      <c r="P976" s="51" t="n">
        <f aca="false">F976-H976</f>
        <v>139252</v>
      </c>
      <c r="Q976" s="51" t="n">
        <f aca="false">F976-H976-J976</f>
        <v>89358</v>
      </c>
      <c r="R976" s="51" t="n">
        <f aca="false">G976-I976-K976</f>
        <v>82863</v>
      </c>
      <c r="S976" s="51" t="n">
        <f aca="false">R976-Q976</f>
        <v>-6495</v>
      </c>
      <c r="T976" s="52" t="n">
        <f aca="false">IF(Q976=0,0,S976/Q976)</f>
        <v>-0.0726851540992413</v>
      </c>
      <c r="U976" s="51" t="str">
        <f aca="false">IF(AND(Q976&gt;0,T976&lt;-0.15),"ADVERSE","")</f>
        <v/>
      </c>
    </row>
    <row r="977" customFormat="false" ht="15" hidden="false" customHeight="false" outlineLevel="0" collapsed="false">
      <c r="A977" s="47" t="s">
        <v>3</v>
      </c>
      <c r="B977" s="47" t="s">
        <v>138</v>
      </c>
      <c r="C977" s="48" t="n">
        <v>46082</v>
      </c>
      <c r="D977" s="47" t="s">
        <v>37</v>
      </c>
      <c r="E977" s="47" t="s">
        <v>42</v>
      </c>
      <c r="F977" s="49" t="n">
        <v>378146</v>
      </c>
      <c r="G977" s="49" t="n">
        <v>364634</v>
      </c>
      <c r="H977" s="49" t="n">
        <v>226699</v>
      </c>
      <c r="I977" s="49" t="n">
        <v>227167</v>
      </c>
      <c r="J977" s="49" t="n">
        <v>54264</v>
      </c>
      <c r="K977" s="49" t="n">
        <v>54036</v>
      </c>
      <c r="L977" s="50" t="n">
        <v>29.8</v>
      </c>
      <c r="M977" s="51" t="n">
        <f aca="false">G977-F977</f>
        <v>-13512</v>
      </c>
      <c r="N977" s="52" t="n">
        <f aca="false">IF(F977=0,0,M977/F977)</f>
        <v>-0.0357322304083608</v>
      </c>
      <c r="O977" s="51" t="n">
        <f aca="false">G977-I977</f>
        <v>137467</v>
      </c>
      <c r="P977" s="51" t="n">
        <f aca="false">F977-H977</f>
        <v>151447</v>
      </c>
      <c r="Q977" s="51" t="n">
        <f aca="false">F977-H977-J977</f>
        <v>97183</v>
      </c>
      <c r="R977" s="51" t="n">
        <f aca="false">G977-I977-K977</f>
        <v>83431</v>
      </c>
      <c r="S977" s="51" t="n">
        <f aca="false">R977-Q977</f>
        <v>-13752</v>
      </c>
      <c r="T977" s="52" t="n">
        <f aca="false">IF(Q977=0,0,S977/Q977)</f>
        <v>-0.141506230513567</v>
      </c>
      <c r="U977" s="51" t="str">
        <f aca="false">IF(AND(Q977&gt;0,T977&lt;-0.15),"ADVERSE","")</f>
        <v/>
      </c>
    </row>
    <row r="978" customFormat="false" ht="15" hidden="false" customHeight="false" outlineLevel="0" collapsed="false">
      <c r="A978" s="47" t="s">
        <v>134</v>
      </c>
      <c r="B978" s="47" t="s">
        <v>135</v>
      </c>
      <c r="C978" s="48" t="n">
        <v>45017</v>
      </c>
      <c r="D978" s="47" t="s">
        <v>37</v>
      </c>
      <c r="E978" s="47" t="s">
        <v>43</v>
      </c>
      <c r="F978" s="49" t="n">
        <v>209793</v>
      </c>
      <c r="G978" s="49" t="n">
        <v>218111</v>
      </c>
      <c r="H978" s="49" t="n">
        <v>125771</v>
      </c>
      <c r="I978" s="49" t="n">
        <v>131116</v>
      </c>
      <c r="J978" s="49" t="n">
        <v>30105</v>
      </c>
      <c r="K978" s="49" t="n">
        <v>29457</v>
      </c>
      <c r="L978" s="50" t="n">
        <v>10.6</v>
      </c>
      <c r="M978" s="51" t="n">
        <f aca="false">G978-F978</f>
        <v>8318</v>
      </c>
      <c r="N978" s="52" t="n">
        <f aca="false">IF(F978=0,0,M978/F978)</f>
        <v>0.0396486060068734</v>
      </c>
      <c r="O978" s="51" t="n">
        <f aca="false">G978-I978</f>
        <v>86995</v>
      </c>
      <c r="P978" s="51" t="n">
        <f aca="false">F978-H978</f>
        <v>84022</v>
      </c>
      <c r="Q978" s="51" t="n">
        <f aca="false">F978-H978-J978</f>
        <v>53917</v>
      </c>
      <c r="R978" s="51" t="n">
        <f aca="false">G978-I978-K978</f>
        <v>57538</v>
      </c>
      <c r="S978" s="51" t="n">
        <f aca="false">R978-Q978</f>
        <v>3621</v>
      </c>
      <c r="T978" s="52" t="n">
        <f aca="false">IF(Q978=0,0,S978/Q978)</f>
        <v>0.0671587810894523</v>
      </c>
      <c r="U978" s="51" t="str">
        <f aca="false">IF(AND(Q978&gt;0,T978&lt;-0.15),"ADVERSE","")</f>
        <v/>
      </c>
    </row>
    <row r="979" customFormat="false" ht="15" hidden="false" customHeight="false" outlineLevel="0" collapsed="false">
      <c r="A979" s="47" t="s">
        <v>134</v>
      </c>
      <c r="B979" s="47" t="s">
        <v>135</v>
      </c>
      <c r="C979" s="48" t="n">
        <v>45047</v>
      </c>
      <c r="D979" s="47" t="s">
        <v>37</v>
      </c>
      <c r="E979" s="47" t="s">
        <v>43</v>
      </c>
      <c r="F979" s="49" t="n">
        <v>215025</v>
      </c>
      <c r="G979" s="49" t="n">
        <v>227173</v>
      </c>
      <c r="H979" s="49" t="n">
        <v>128907</v>
      </c>
      <c r="I979" s="49" t="n">
        <v>137135</v>
      </c>
      <c r="J979" s="49" t="n">
        <v>30856</v>
      </c>
      <c r="K979" s="49" t="n">
        <v>33147</v>
      </c>
      <c r="L979" s="50" t="n">
        <v>10.7</v>
      </c>
      <c r="M979" s="51" t="n">
        <f aca="false">G979-F979</f>
        <v>12148</v>
      </c>
      <c r="N979" s="52" t="n">
        <f aca="false">IF(F979=0,0,M979/F979)</f>
        <v>0.0564957563074061</v>
      </c>
      <c r="O979" s="51" t="n">
        <f aca="false">G979-I979</f>
        <v>90038</v>
      </c>
      <c r="P979" s="51" t="n">
        <f aca="false">F979-H979</f>
        <v>86118</v>
      </c>
      <c r="Q979" s="51" t="n">
        <f aca="false">F979-H979-J979</f>
        <v>55262</v>
      </c>
      <c r="R979" s="51" t="n">
        <f aca="false">G979-I979-K979</f>
        <v>56891</v>
      </c>
      <c r="S979" s="51" t="n">
        <f aca="false">R979-Q979</f>
        <v>1629</v>
      </c>
      <c r="T979" s="52" t="n">
        <f aca="false">IF(Q979=0,0,S979/Q979)</f>
        <v>0.0294777604864102</v>
      </c>
      <c r="U979" s="51" t="str">
        <f aca="false">IF(AND(Q979&gt;0,T979&lt;-0.15),"ADVERSE","")</f>
        <v/>
      </c>
    </row>
    <row r="980" customFormat="false" ht="15" hidden="false" customHeight="false" outlineLevel="0" collapsed="false">
      <c r="A980" s="47" t="s">
        <v>134</v>
      </c>
      <c r="B980" s="47" t="s">
        <v>135</v>
      </c>
      <c r="C980" s="48" t="n">
        <v>45078</v>
      </c>
      <c r="D980" s="47" t="s">
        <v>37</v>
      </c>
      <c r="E980" s="47" t="s">
        <v>43</v>
      </c>
      <c r="F980" s="49" t="n">
        <v>217371</v>
      </c>
      <c r="G980" s="49" t="n">
        <v>225653</v>
      </c>
      <c r="H980" s="49" t="n">
        <v>130314</v>
      </c>
      <c r="I980" s="49" t="n">
        <v>135928</v>
      </c>
      <c r="J980" s="49" t="n">
        <v>31193</v>
      </c>
      <c r="K980" s="49" t="n">
        <v>31626</v>
      </c>
      <c r="L980" s="50" t="n">
        <v>10.9</v>
      </c>
      <c r="M980" s="51" t="n">
        <f aca="false">G980-F980</f>
        <v>8282</v>
      </c>
      <c r="N980" s="52" t="n">
        <f aca="false">IF(F980=0,0,M980/F980)</f>
        <v>0.0381007586108543</v>
      </c>
      <c r="O980" s="51" t="n">
        <f aca="false">G980-I980</f>
        <v>89725</v>
      </c>
      <c r="P980" s="51" t="n">
        <f aca="false">F980-H980</f>
        <v>87057</v>
      </c>
      <c r="Q980" s="51" t="n">
        <f aca="false">F980-H980-J980</f>
        <v>55864</v>
      </c>
      <c r="R980" s="51" t="n">
        <f aca="false">G980-I980-K980</f>
        <v>58099</v>
      </c>
      <c r="S980" s="51" t="n">
        <f aca="false">R980-Q980</f>
        <v>2235</v>
      </c>
      <c r="T980" s="52" t="n">
        <f aca="false">IF(Q980=0,0,S980/Q980)</f>
        <v>0.0400078762709437</v>
      </c>
      <c r="U980" s="51" t="str">
        <f aca="false">IF(AND(Q980&gt;0,T980&lt;-0.15),"ADVERSE","")</f>
        <v/>
      </c>
    </row>
    <row r="981" customFormat="false" ht="15" hidden="false" customHeight="false" outlineLevel="0" collapsed="false">
      <c r="A981" s="47" t="s">
        <v>134</v>
      </c>
      <c r="B981" s="47" t="s">
        <v>136</v>
      </c>
      <c r="C981" s="48" t="n">
        <v>45108</v>
      </c>
      <c r="D981" s="47" t="s">
        <v>37</v>
      </c>
      <c r="E981" s="47" t="s">
        <v>43</v>
      </c>
      <c r="F981" s="49" t="n">
        <v>217329</v>
      </c>
      <c r="G981" s="49" t="n">
        <v>216966</v>
      </c>
      <c r="H981" s="49" t="n">
        <v>130289</v>
      </c>
      <c r="I981" s="49" t="n">
        <v>132097</v>
      </c>
      <c r="J981" s="49" t="n">
        <v>31187</v>
      </c>
      <c r="K981" s="49" t="n">
        <v>35330</v>
      </c>
      <c r="L981" s="50" t="n">
        <v>10.9</v>
      </c>
      <c r="M981" s="51" t="n">
        <f aca="false">G981-F981</f>
        <v>-363</v>
      </c>
      <c r="N981" s="52" t="n">
        <f aca="false">IF(F981=0,0,M981/F981)</f>
        <v>-0.00167027870187596</v>
      </c>
      <c r="O981" s="51" t="n">
        <f aca="false">G981-I981</f>
        <v>84869</v>
      </c>
      <c r="P981" s="51" t="n">
        <f aca="false">F981-H981</f>
        <v>87040</v>
      </c>
      <c r="Q981" s="51" t="n">
        <f aca="false">F981-H981-J981</f>
        <v>55853</v>
      </c>
      <c r="R981" s="51" t="n">
        <f aca="false">G981-I981-K981</f>
        <v>49539</v>
      </c>
      <c r="S981" s="51" t="n">
        <f aca="false">R981-Q981</f>
        <v>-6314</v>
      </c>
      <c r="T981" s="52" t="n">
        <f aca="false">IF(Q981=0,0,S981/Q981)</f>
        <v>-0.113046747712746</v>
      </c>
      <c r="U981" s="51" t="str">
        <f aca="false">IF(AND(Q981&gt;0,T981&lt;-0.15),"ADVERSE","")</f>
        <v/>
      </c>
    </row>
    <row r="982" customFormat="false" ht="15" hidden="false" customHeight="false" outlineLevel="0" collapsed="false">
      <c r="A982" s="47" t="s">
        <v>134</v>
      </c>
      <c r="B982" s="47" t="s">
        <v>136</v>
      </c>
      <c r="C982" s="48" t="n">
        <v>45139</v>
      </c>
      <c r="D982" s="47" t="s">
        <v>37</v>
      </c>
      <c r="E982" s="47" t="s">
        <v>43</v>
      </c>
      <c r="F982" s="49" t="n">
        <v>216452</v>
      </c>
      <c r="G982" s="49" t="n">
        <v>220622</v>
      </c>
      <c r="H982" s="49" t="n">
        <v>129763</v>
      </c>
      <c r="I982" s="49" t="n">
        <v>130004</v>
      </c>
      <c r="J982" s="49" t="n">
        <v>31061</v>
      </c>
      <c r="K982" s="49" t="n">
        <v>29899</v>
      </c>
      <c r="L982" s="50" t="n">
        <v>11</v>
      </c>
      <c r="M982" s="51" t="n">
        <f aca="false">G982-F982</f>
        <v>4170</v>
      </c>
      <c r="N982" s="52" t="n">
        <f aca="false">IF(F982=0,0,M982/F982)</f>
        <v>0.0192652412544121</v>
      </c>
      <c r="O982" s="51" t="n">
        <f aca="false">G982-I982</f>
        <v>90618</v>
      </c>
      <c r="P982" s="51" t="n">
        <f aca="false">F982-H982</f>
        <v>86689</v>
      </c>
      <c r="Q982" s="51" t="n">
        <f aca="false">F982-H982-J982</f>
        <v>55628</v>
      </c>
      <c r="R982" s="51" t="n">
        <f aca="false">G982-I982-K982</f>
        <v>60719</v>
      </c>
      <c r="S982" s="51" t="n">
        <f aca="false">R982-Q982</f>
        <v>5091</v>
      </c>
      <c r="T982" s="52" t="n">
        <f aca="false">IF(Q982=0,0,S982/Q982)</f>
        <v>0.0915186596677932</v>
      </c>
      <c r="U982" s="51" t="str">
        <f aca="false">IF(AND(Q982&gt;0,T982&lt;-0.15),"ADVERSE","")</f>
        <v/>
      </c>
    </row>
    <row r="983" customFormat="false" ht="15" hidden="false" customHeight="false" outlineLevel="0" collapsed="false">
      <c r="A983" s="47" t="s">
        <v>134</v>
      </c>
      <c r="B983" s="47" t="s">
        <v>136</v>
      </c>
      <c r="C983" s="48" t="n">
        <v>45170</v>
      </c>
      <c r="D983" s="47" t="s">
        <v>37</v>
      </c>
      <c r="E983" s="47" t="s">
        <v>43</v>
      </c>
      <c r="F983" s="49" t="n">
        <v>220616</v>
      </c>
      <c r="G983" s="49" t="n">
        <v>237075</v>
      </c>
      <c r="H983" s="49" t="n">
        <v>132259</v>
      </c>
      <c r="I983" s="49" t="n">
        <v>141859</v>
      </c>
      <c r="J983" s="49" t="n">
        <v>31658</v>
      </c>
      <c r="K983" s="49" t="n">
        <v>36891</v>
      </c>
      <c r="L983" s="50" t="n">
        <v>10.9</v>
      </c>
      <c r="M983" s="51" t="n">
        <f aca="false">G983-F983</f>
        <v>16459</v>
      </c>
      <c r="N983" s="52" t="n">
        <f aca="false">IF(F983=0,0,M983/F983)</f>
        <v>0.074604743083004</v>
      </c>
      <c r="O983" s="51" t="n">
        <f aca="false">G983-I983</f>
        <v>95216</v>
      </c>
      <c r="P983" s="51" t="n">
        <f aca="false">F983-H983</f>
        <v>88357</v>
      </c>
      <c r="Q983" s="51" t="n">
        <f aca="false">F983-H983-J983</f>
        <v>56699</v>
      </c>
      <c r="R983" s="51" t="n">
        <f aca="false">G983-I983-K983</f>
        <v>58325</v>
      </c>
      <c r="S983" s="51" t="n">
        <f aca="false">R983-Q983</f>
        <v>1626</v>
      </c>
      <c r="T983" s="52" t="n">
        <f aca="false">IF(Q983=0,0,S983/Q983)</f>
        <v>0.0286777544577506</v>
      </c>
      <c r="U983" s="51" t="str">
        <f aca="false">IF(AND(Q983&gt;0,T983&lt;-0.15),"ADVERSE","")</f>
        <v/>
      </c>
    </row>
    <row r="984" customFormat="false" ht="15" hidden="false" customHeight="false" outlineLevel="0" collapsed="false">
      <c r="A984" s="47" t="s">
        <v>134</v>
      </c>
      <c r="B984" s="47" t="s">
        <v>137</v>
      </c>
      <c r="C984" s="48" t="n">
        <v>45200</v>
      </c>
      <c r="D984" s="47" t="s">
        <v>37</v>
      </c>
      <c r="E984" s="47" t="s">
        <v>43</v>
      </c>
      <c r="F984" s="49" t="n">
        <v>226338</v>
      </c>
      <c r="G984" s="49" t="n">
        <v>232717</v>
      </c>
      <c r="H984" s="49" t="n">
        <v>135690</v>
      </c>
      <c r="I984" s="49" t="n">
        <v>137397</v>
      </c>
      <c r="J984" s="49" t="n">
        <v>32480</v>
      </c>
      <c r="K984" s="49" t="n">
        <v>33428</v>
      </c>
      <c r="L984" s="50" t="n">
        <v>11</v>
      </c>
      <c r="M984" s="51" t="n">
        <f aca="false">G984-F984</f>
        <v>6379</v>
      </c>
      <c r="N984" s="52" t="n">
        <f aca="false">IF(F984=0,0,M984/F984)</f>
        <v>0.0281835131528952</v>
      </c>
      <c r="O984" s="51" t="n">
        <f aca="false">G984-I984</f>
        <v>95320</v>
      </c>
      <c r="P984" s="51" t="n">
        <f aca="false">F984-H984</f>
        <v>90648</v>
      </c>
      <c r="Q984" s="51" t="n">
        <f aca="false">F984-H984-J984</f>
        <v>58168</v>
      </c>
      <c r="R984" s="51" t="n">
        <f aca="false">G984-I984-K984</f>
        <v>61892</v>
      </c>
      <c r="S984" s="51" t="n">
        <f aca="false">R984-Q984</f>
        <v>3724</v>
      </c>
      <c r="T984" s="52" t="n">
        <f aca="false">IF(Q984=0,0,S984/Q984)</f>
        <v>0.0640214550955852</v>
      </c>
      <c r="U984" s="51" t="str">
        <f aca="false">IF(AND(Q984&gt;0,T984&lt;-0.15),"ADVERSE","")</f>
        <v/>
      </c>
    </row>
    <row r="985" customFormat="false" ht="15" hidden="false" customHeight="false" outlineLevel="0" collapsed="false">
      <c r="A985" s="47" t="s">
        <v>134</v>
      </c>
      <c r="B985" s="47" t="s">
        <v>137</v>
      </c>
      <c r="C985" s="48" t="n">
        <v>45231</v>
      </c>
      <c r="D985" s="47" t="s">
        <v>37</v>
      </c>
      <c r="E985" s="47" t="s">
        <v>43</v>
      </c>
      <c r="F985" s="49" t="n">
        <v>227893</v>
      </c>
      <c r="G985" s="49" t="n">
        <v>231713</v>
      </c>
      <c r="H985" s="49" t="n">
        <v>136622</v>
      </c>
      <c r="I985" s="49" t="n">
        <v>137924</v>
      </c>
      <c r="J985" s="49" t="n">
        <v>32703</v>
      </c>
      <c r="K985" s="49" t="n">
        <v>35354</v>
      </c>
      <c r="L985" s="50" t="n">
        <v>11</v>
      </c>
      <c r="M985" s="51" t="n">
        <f aca="false">G985-F985</f>
        <v>3820</v>
      </c>
      <c r="N985" s="52" t="n">
        <f aca="false">IF(F985=0,0,M985/F985)</f>
        <v>0.0167622524605846</v>
      </c>
      <c r="O985" s="51" t="n">
        <f aca="false">G985-I985</f>
        <v>93789</v>
      </c>
      <c r="P985" s="51" t="n">
        <f aca="false">F985-H985</f>
        <v>91271</v>
      </c>
      <c r="Q985" s="51" t="n">
        <f aca="false">F985-H985-J985</f>
        <v>58568</v>
      </c>
      <c r="R985" s="51" t="n">
        <f aca="false">G985-I985-K985</f>
        <v>58435</v>
      </c>
      <c r="S985" s="51" t="n">
        <f aca="false">R985-Q985</f>
        <v>-133</v>
      </c>
      <c r="T985" s="52" t="n">
        <f aca="false">IF(Q985=0,0,S985/Q985)</f>
        <v>-0.00227086463597869</v>
      </c>
      <c r="U985" s="51" t="str">
        <f aca="false">IF(AND(Q985&gt;0,T985&lt;-0.15),"ADVERSE","")</f>
        <v/>
      </c>
    </row>
    <row r="986" customFormat="false" ht="15" hidden="false" customHeight="false" outlineLevel="0" collapsed="false">
      <c r="A986" s="47" t="s">
        <v>134</v>
      </c>
      <c r="B986" s="47" t="s">
        <v>137</v>
      </c>
      <c r="C986" s="48" t="n">
        <v>45261</v>
      </c>
      <c r="D986" s="47" t="s">
        <v>37</v>
      </c>
      <c r="E986" s="47" t="s">
        <v>43</v>
      </c>
      <c r="F986" s="49" t="n">
        <v>221088</v>
      </c>
      <c r="G986" s="49" t="n">
        <v>220723</v>
      </c>
      <c r="H986" s="49" t="n">
        <v>132542</v>
      </c>
      <c r="I986" s="49" t="n">
        <v>131685</v>
      </c>
      <c r="J986" s="49" t="n">
        <v>31726</v>
      </c>
      <c r="K986" s="49" t="n">
        <v>31722</v>
      </c>
      <c r="L986" s="50" t="n">
        <v>11.2</v>
      </c>
      <c r="M986" s="51" t="n">
        <f aca="false">G986-F986</f>
        <v>-365</v>
      </c>
      <c r="N986" s="52" t="n">
        <f aca="false">IF(F986=0,0,M986/F986)</f>
        <v>-0.001650926327978</v>
      </c>
      <c r="O986" s="51" t="n">
        <f aca="false">G986-I986</f>
        <v>89038</v>
      </c>
      <c r="P986" s="51" t="n">
        <f aca="false">F986-H986</f>
        <v>88546</v>
      </c>
      <c r="Q986" s="51" t="n">
        <f aca="false">F986-H986-J986</f>
        <v>56820</v>
      </c>
      <c r="R986" s="51" t="n">
        <f aca="false">G986-I986-K986</f>
        <v>57316</v>
      </c>
      <c r="S986" s="51" t="n">
        <f aca="false">R986-Q986</f>
        <v>496</v>
      </c>
      <c r="T986" s="52" t="n">
        <f aca="false">IF(Q986=0,0,S986/Q986)</f>
        <v>0.00872932066173882</v>
      </c>
      <c r="U986" s="51" t="str">
        <f aca="false">IF(AND(Q986&gt;0,T986&lt;-0.15),"ADVERSE","")</f>
        <v/>
      </c>
    </row>
    <row r="987" customFormat="false" ht="15" hidden="false" customHeight="false" outlineLevel="0" collapsed="false">
      <c r="A987" s="47" t="s">
        <v>134</v>
      </c>
      <c r="B987" s="47" t="s">
        <v>138</v>
      </c>
      <c r="C987" s="48" t="n">
        <v>45292</v>
      </c>
      <c r="D987" s="47" t="s">
        <v>37</v>
      </c>
      <c r="E987" s="47" t="s">
        <v>43</v>
      </c>
      <c r="F987" s="49" t="n">
        <v>220682</v>
      </c>
      <c r="G987" s="49" t="n">
        <v>224384</v>
      </c>
      <c r="H987" s="49" t="n">
        <v>132299</v>
      </c>
      <c r="I987" s="49" t="n">
        <v>133774</v>
      </c>
      <c r="J987" s="49" t="n">
        <v>31668</v>
      </c>
      <c r="K987" s="49" t="n">
        <v>33425</v>
      </c>
      <c r="L987" s="50" t="n">
        <v>11.1</v>
      </c>
      <c r="M987" s="51" t="n">
        <f aca="false">G987-F987</f>
        <v>3702</v>
      </c>
      <c r="N987" s="52" t="n">
        <f aca="false">IF(F987=0,0,M987/F987)</f>
        <v>0.016775269392157</v>
      </c>
      <c r="O987" s="51" t="n">
        <f aca="false">G987-I987</f>
        <v>90610</v>
      </c>
      <c r="P987" s="51" t="n">
        <f aca="false">F987-H987</f>
        <v>88383</v>
      </c>
      <c r="Q987" s="51" t="n">
        <f aca="false">F987-H987-J987</f>
        <v>56715</v>
      </c>
      <c r="R987" s="51" t="n">
        <f aca="false">G987-I987-K987</f>
        <v>57185</v>
      </c>
      <c r="S987" s="51" t="n">
        <f aca="false">R987-Q987</f>
        <v>470</v>
      </c>
      <c r="T987" s="52" t="n">
        <f aca="false">IF(Q987=0,0,S987/Q987)</f>
        <v>0.0082870492814952</v>
      </c>
      <c r="U987" s="51" t="str">
        <f aca="false">IF(AND(Q987&gt;0,T987&lt;-0.15),"ADVERSE","")</f>
        <v/>
      </c>
    </row>
    <row r="988" customFormat="false" ht="15" hidden="false" customHeight="false" outlineLevel="0" collapsed="false">
      <c r="A988" s="47" t="s">
        <v>134</v>
      </c>
      <c r="B988" s="47" t="s">
        <v>138</v>
      </c>
      <c r="C988" s="48" t="n">
        <v>45323</v>
      </c>
      <c r="D988" s="47" t="s">
        <v>37</v>
      </c>
      <c r="E988" s="47" t="s">
        <v>43</v>
      </c>
      <c r="F988" s="49" t="n">
        <v>220356</v>
      </c>
      <c r="G988" s="49" t="n">
        <v>231887</v>
      </c>
      <c r="H988" s="49" t="n">
        <v>132104</v>
      </c>
      <c r="I988" s="49" t="n">
        <v>140746</v>
      </c>
      <c r="J988" s="49" t="n">
        <v>31621</v>
      </c>
      <c r="K988" s="49" t="n">
        <v>32217</v>
      </c>
      <c r="L988" s="50" t="n">
        <v>11.5</v>
      </c>
      <c r="M988" s="51" t="n">
        <f aca="false">G988-F988</f>
        <v>11531</v>
      </c>
      <c r="N988" s="52" t="n">
        <f aca="false">IF(F988=0,0,M988/F988)</f>
        <v>0.0523289585942747</v>
      </c>
      <c r="O988" s="51" t="n">
        <f aca="false">G988-I988</f>
        <v>91141</v>
      </c>
      <c r="P988" s="51" t="n">
        <f aca="false">F988-H988</f>
        <v>88252</v>
      </c>
      <c r="Q988" s="51" t="n">
        <f aca="false">F988-H988-J988</f>
        <v>56631</v>
      </c>
      <c r="R988" s="51" t="n">
        <f aca="false">G988-I988-K988</f>
        <v>58924</v>
      </c>
      <c r="S988" s="51" t="n">
        <f aca="false">R988-Q988</f>
        <v>2293</v>
      </c>
      <c r="T988" s="52" t="n">
        <f aca="false">IF(Q988=0,0,S988/Q988)</f>
        <v>0.0404901908848511</v>
      </c>
      <c r="U988" s="51" t="str">
        <f aca="false">IF(AND(Q988&gt;0,T988&lt;-0.15),"ADVERSE","")</f>
        <v/>
      </c>
    </row>
    <row r="989" customFormat="false" ht="15" hidden="false" customHeight="false" outlineLevel="0" collapsed="false">
      <c r="A989" s="47" t="s">
        <v>134</v>
      </c>
      <c r="B989" s="47" t="s">
        <v>138</v>
      </c>
      <c r="C989" s="48" t="n">
        <v>45352</v>
      </c>
      <c r="D989" s="47" t="s">
        <v>37</v>
      </c>
      <c r="E989" s="47" t="s">
        <v>43</v>
      </c>
      <c r="F989" s="49" t="n">
        <v>240494</v>
      </c>
      <c r="G989" s="49" t="n">
        <v>233191</v>
      </c>
      <c r="H989" s="49" t="n">
        <v>144176</v>
      </c>
      <c r="I989" s="49" t="n">
        <v>139758</v>
      </c>
      <c r="J989" s="49" t="n">
        <v>34511</v>
      </c>
      <c r="K989" s="49" t="n">
        <v>35921</v>
      </c>
      <c r="L989" s="50" t="n">
        <v>11.5</v>
      </c>
      <c r="M989" s="51" t="n">
        <f aca="false">G989-F989</f>
        <v>-7303</v>
      </c>
      <c r="N989" s="52" t="n">
        <f aca="false">IF(F989=0,0,M989/F989)</f>
        <v>-0.0303666619541444</v>
      </c>
      <c r="O989" s="51" t="n">
        <f aca="false">G989-I989</f>
        <v>93433</v>
      </c>
      <c r="P989" s="51" t="n">
        <f aca="false">F989-H989</f>
        <v>96318</v>
      </c>
      <c r="Q989" s="51" t="n">
        <f aca="false">F989-H989-J989</f>
        <v>61807</v>
      </c>
      <c r="R989" s="51" t="n">
        <f aca="false">G989-I989-K989</f>
        <v>57512</v>
      </c>
      <c r="S989" s="51" t="n">
        <f aca="false">R989-Q989</f>
        <v>-4295</v>
      </c>
      <c r="T989" s="52" t="n">
        <f aca="false">IF(Q989=0,0,S989/Q989)</f>
        <v>-0.0694905107835682</v>
      </c>
      <c r="U989" s="51" t="str">
        <f aca="false">IF(AND(Q989&gt;0,T989&lt;-0.15),"ADVERSE","")</f>
        <v/>
      </c>
    </row>
    <row r="990" customFormat="false" ht="15" hidden="false" customHeight="false" outlineLevel="0" collapsed="false">
      <c r="A990" s="47" t="s">
        <v>139</v>
      </c>
      <c r="B990" s="47" t="s">
        <v>135</v>
      </c>
      <c r="C990" s="48" t="n">
        <v>45383</v>
      </c>
      <c r="D990" s="47" t="s">
        <v>37</v>
      </c>
      <c r="E990" s="47" t="s">
        <v>43</v>
      </c>
      <c r="F990" s="49" t="n">
        <v>232169</v>
      </c>
      <c r="G990" s="49" t="n">
        <v>225612</v>
      </c>
      <c r="H990" s="49" t="n">
        <v>139185</v>
      </c>
      <c r="I990" s="49" t="n">
        <v>132789</v>
      </c>
      <c r="J990" s="49" t="n">
        <v>33316</v>
      </c>
      <c r="K990" s="49" t="n">
        <v>35170</v>
      </c>
      <c r="L990" s="50" t="n">
        <v>11.2</v>
      </c>
      <c r="M990" s="51" t="n">
        <f aca="false">G990-F990</f>
        <v>-6557</v>
      </c>
      <c r="N990" s="52" t="n">
        <f aca="false">IF(F990=0,0,M990/F990)</f>
        <v>-0.0282423579375369</v>
      </c>
      <c r="O990" s="51" t="n">
        <f aca="false">G990-I990</f>
        <v>92823</v>
      </c>
      <c r="P990" s="51" t="n">
        <f aca="false">F990-H990</f>
        <v>92984</v>
      </c>
      <c r="Q990" s="51" t="n">
        <f aca="false">F990-H990-J990</f>
        <v>59668</v>
      </c>
      <c r="R990" s="51" t="n">
        <f aca="false">G990-I990-K990</f>
        <v>57653</v>
      </c>
      <c r="S990" s="51" t="n">
        <f aca="false">R990-Q990</f>
        <v>-2015</v>
      </c>
      <c r="T990" s="52" t="n">
        <f aca="false">IF(Q990=0,0,S990/Q990)</f>
        <v>-0.0337701950794396</v>
      </c>
      <c r="U990" s="51" t="str">
        <f aca="false">IF(AND(Q990&gt;0,T990&lt;-0.15),"ADVERSE","")</f>
        <v/>
      </c>
    </row>
    <row r="991" customFormat="false" ht="15" hidden="false" customHeight="false" outlineLevel="0" collapsed="false">
      <c r="A991" s="47" t="s">
        <v>139</v>
      </c>
      <c r="B991" s="47" t="s">
        <v>135</v>
      </c>
      <c r="C991" s="48" t="n">
        <v>45413</v>
      </c>
      <c r="D991" s="47" t="s">
        <v>37</v>
      </c>
      <c r="E991" s="47" t="s">
        <v>43</v>
      </c>
      <c r="F991" s="49" t="n">
        <v>229116</v>
      </c>
      <c r="G991" s="49" t="n">
        <v>237127</v>
      </c>
      <c r="H991" s="49" t="n">
        <v>137355</v>
      </c>
      <c r="I991" s="49" t="n">
        <v>140663</v>
      </c>
      <c r="J991" s="49" t="n">
        <v>32878</v>
      </c>
      <c r="K991" s="49" t="n">
        <v>34481</v>
      </c>
      <c r="L991" s="50" t="n">
        <v>11.4</v>
      </c>
      <c r="M991" s="51" t="n">
        <f aca="false">G991-F991</f>
        <v>8011</v>
      </c>
      <c r="N991" s="52" t="n">
        <f aca="false">IF(F991=0,0,M991/F991)</f>
        <v>0.0349648213132213</v>
      </c>
      <c r="O991" s="51" t="n">
        <f aca="false">G991-I991</f>
        <v>96464</v>
      </c>
      <c r="P991" s="51" t="n">
        <f aca="false">F991-H991</f>
        <v>91761</v>
      </c>
      <c r="Q991" s="51" t="n">
        <f aca="false">F991-H991-J991</f>
        <v>58883</v>
      </c>
      <c r="R991" s="51" t="n">
        <f aca="false">G991-I991-K991</f>
        <v>61983</v>
      </c>
      <c r="S991" s="51" t="n">
        <f aca="false">R991-Q991</f>
        <v>3100</v>
      </c>
      <c r="T991" s="52" t="n">
        <f aca="false">IF(Q991=0,0,S991/Q991)</f>
        <v>0.0526467741113734</v>
      </c>
      <c r="U991" s="51" t="str">
        <f aca="false">IF(AND(Q991&gt;0,T991&lt;-0.15),"ADVERSE","")</f>
        <v/>
      </c>
    </row>
    <row r="992" customFormat="false" ht="15" hidden="false" customHeight="false" outlineLevel="0" collapsed="false">
      <c r="A992" s="47" t="s">
        <v>139</v>
      </c>
      <c r="B992" s="47" t="s">
        <v>135</v>
      </c>
      <c r="C992" s="48" t="n">
        <v>45444</v>
      </c>
      <c r="D992" s="47" t="s">
        <v>37</v>
      </c>
      <c r="E992" s="47" t="s">
        <v>43</v>
      </c>
      <c r="F992" s="49" t="n">
        <v>235634</v>
      </c>
      <c r="G992" s="49" t="n">
        <v>228684</v>
      </c>
      <c r="H992" s="49" t="n">
        <v>141262</v>
      </c>
      <c r="I992" s="49" t="n">
        <v>136954</v>
      </c>
      <c r="J992" s="49" t="n">
        <v>33813</v>
      </c>
      <c r="K992" s="49" t="n">
        <v>32107</v>
      </c>
      <c r="L992" s="50" t="n">
        <v>11.5</v>
      </c>
      <c r="M992" s="51" t="n">
        <f aca="false">G992-F992</f>
        <v>-6950</v>
      </c>
      <c r="N992" s="52" t="n">
        <f aca="false">IF(F992=0,0,M992/F992)</f>
        <v>-0.0294948946247146</v>
      </c>
      <c r="O992" s="51" t="n">
        <f aca="false">G992-I992</f>
        <v>91730</v>
      </c>
      <c r="P992" s="51" t="n">
        <f aca="false">F992-H992</f>
        <v>94372</v>
      </c>
      <c r="Q992" s="51" t="n">
        <f aca="false">F992-H992-J992</f>
        <v>60559</v>
      </c>
      <c r="R992" s="51" t="n">
        <f aca="false">G992-I992-K992</f>
        <v>59623</v>
      </c>
      <c r="S992" s="51" t="n">
        <f aca="false">R992-Q992</f>
        <v>-936</v>
      </c>
      <c r="T992" s="52" t="n">
        <f aca="false">IF(Q992=0,0,S992/Q992)</f>
        <v>-0.0154560015852309</v>
      </c>
      <c r="U992" s="51" t="str">
        <f aca="false">IF(AND(Q992&gt;0,T992&lt;-0.15),"ADVERSE","")</f>
        <v/>
      </c>
    </row>
    <row r="993" customFormat="false" ht="15" hidden="false" customHeight="false" outlineLevel="0" collapsed="false">
      <c r="A993" s="47" t="s">
        <v>139</v>
      </c>
      <c r="B993" s="47" t="s">
        <v>136</v>
      </c>
      <c r="C993" s="48" t="n">
        <v>45474</v>
      </c>
      <c r="D993" s="47" t="s">
        <v>37</v>
      </c>
      <c r="E993" s="47" t="s">
        <v>43</v>
      </c>
      <c r="F993" s="49" t="n">
        <v>234649</v>
      </c>
      <c r="G993" s="49" t="n">
        <v>235982</v>
      </c>
      <c r="H993" s="49" t="n">
        <v>140672</v>
      </c>
      <c r="I993" s="49" t="n">
        <v>142928</v>
      </c>
      <c r="J993" s="49" t="n">
        <v>33672</v>
      </c>
      <c r="K993" s="49" t="n">
        <v>32847</v>
      </c>
      <c r="L993" s="50" t="n">
        <v>11.4</v>
      </c>
      <c r="M993" s="51" t="n">
        <f aca="false">G993-F993</f>
        <v>1333</v>
      </c>
      <c r="N993" s="52" t="n">
        <f aca="false">IF(F993=0,0,M993/F993)</f>
        <v>0.00568082540304881</v>
      </c>
      <c r="O993" s="51" t="n">
        <f aca="false">G993-I993</f>
        <v>93054</v>
      </c>
      <c r="P993" s="51" t="n">
        <f aca="false">F993-H993</f>
        <v>93977</v>
      </c>
      <c r="Q993" s="51" t="n">
        <f aca="false">F993-H993-J993</f>
        <v>60305</v>
      </c>
      <c r="R993" s="51" t="n">
        <f aca="false">G993-I993-K993</f>
        <v>60207</v>
      </c>
      <c r="S993" s="51" t="n">
        <f aca="false">R993-Q993</f>
        <v>-98</v>
      </c>
      <c r="T993" s="52" t="n">
        <f aca="false">IF(Q993=0,0,S993/Q993)</f>
        <v>-0.0016250725478816</v>
      </c>
      <c r="U993" s="51" t="str">
        <f aca="false">IF(AND(Q993&gt;0,T993&lt;-0.15),"ADVERSE","")</f>
        <v/>
      </c>
    </row>
    <row r="994" customFormat="false" ht="15" hidden="false" customHeight="false" outlineLevel="0" collapsed="false">
      <c r="A994" s="47" t="s">
        <v>139</v>
      </c>
      <c r="B994" s="47" t="s">
        <v>136</v>
      </c>
      <c r="C994" s="48" t="n">
        <v>45505</v>
      </c>
      <c r="D994" s="47" t="s">
        <v>37</v>
      </c>
      <c r="E994" s="47" t="s">
        <v>43</v>
      </c>
      <c r="F994" s="49" t="n">
        <v>233668</v>
      </c>
      <c r="G994" s="49" t="n">
        <v>225736</v>
      </c>
      <c r="H994" s="49" t="n">
        <v>140084</v>
      </c>
      <c r="I994" s="49" t="n">
        <v>135764</v>
      </c>
      <c r="J994" s="49" t="n">
        <v>33531</v>
      </c>
      <c r="K994" s="49" t="n">
        <v>33694</v>
      </c>
      <c r="L994" s="50" t="n">
        <v>11.3</v>
      </c>
      <c r="M994" s="51" t="n">
        <f aca="false">G994-F994</f>
        <v>-7932</v>
      </c>
      <c r="N994" s="52" t="n">
        <f aca="false">IF(F994=0,0,M994/F994)</f>
        <v>-0.0339455980279713</v>
      </c>
      <c r="O994" s="51" t="n">
        <f aca="false">G994-I994</f>
        <v>89972</v>
      </c>
      <c r="P994" s="51" t="n">
        <f aca="false">F994-H994</f>
        <v>93584</v>
      </c>
      <c r="Q994" s="51" t="n">
        <f aca="false">F994-H994-J994</f>
        <v>60053</v>
      </c>
      <c r="R994" s="51" t="n">
        <f aca="false">G994-I994-K994</f>
        <v>56278</v>
      </c>
      <c r="S994" s="51" t="n">
        <f aca="false">R994-Q994</f>
        <v>-3775</v>
      </c>
      <c r="T994" s="52" t="n">
        <f aca="false">IF(Q994=0,0,S994/Q994)</f>
        <v>-0.0628611393269279</v>
      </c>
      <c r="U994" s="51" t="str">
        <f aca="false">IF(AND(Q994&gt;0,T994&lt;-0.15),"ADVERSE","")</f>
        <v/>
      </c>
    </row>
    <row r="995" customFormat="false" ht="15" hidden="false" customHeight="false" outlineLevel="0" collapsed="false">
      <c r="A995" s="47" t="s">
        <v>139</v>
      </c>
      <c r="B995" s="47" t="s">
        <v>136</v>
      </c>
      <c r="C995" s="48" t="n">
        <v>45536</v>
      </c>
      <c r="D995" s="47" t="s">
        <v>37</v>
      </c>
      <c r="E995" s="47" t="s">
        <v>43</v>
      </c>
      <c r="F995" s="49" t="n">
        <v>236694</v>
      </c>
      <c r="G995" s="49" t="n">
        <v>231444</v>
      </c>
      <c r="H995" s="49" t="n">
        <v>141898</v>
      </c>
      <c r="I995" s="49" t="n">
        <v>140004</v>
      </c>
      <c r="J995" s="49" t="n">
        <v>33966</v>
      </c>
      <c r="K995" s="49" t="n">
        <v>34434</v>
      </c>
      <c r="L995" s="50" t="n">
        <v>11.7</v>
      </c>
      <c r="M995" s="51" t="n">
        <f aca="false">G995-F995</f>
        <v>-5250</v>
      </c>
      <c r="N995" s="52" t="n">
        <f aca="false">IF(F995=0,0,M995/F995)</f>
        <v>-0.0221805368957388</v>
      </c>
      <c r="O995" s="51" t="n">
        <f aca="false">G995-I995</f>
        <v>91440</v>
      </c>
      <c r="P995" s="51" t="n">
        <f aca="false">F995-H995</f>
        <v>94796</v>
      </c>
      <c r="Q995" s="51" t="n">
        <f aca="false">F995-H995-J995</f>
        <v>60830</v>
      </c>
      <c r="R995" s="51" t="n">
        <f aca="false">G995-I995-K995</f>
        <v>57006</v>
      </c>
      <c r="S995" s="51" t="n">
        <f aca="false">R995-Q995</f>
        <v>-3824</v>
      </c>
      <c r="T995" s="52" t="n">
        <f aca="false">IF(Q995=0,0,S995/Q995)</f>
        <v>-0.0628637185599211</v>
      </c>
      <c r="U995" s="51" t="str">
        <f aca="false">IF(AND(Q995&gt;0,T995&lt;-0.15),"ADVERSE","")</f>
        <v/>
      </c>
    </row>
    <row r="996" customFormat="false" ht="15" hidden="false" customHeight="false" outlineLevel="0" collapsed="false">
      <c r="A996" s="47" t="s">
        <v>139</v>
      </c>
      <c r="B996" s="47" t="s">
        <v>137</v>
      </c>
      <c r="C996" s="48" t="n">
        <v>45566</v>
      </c>
      <c r="D996" s="47" t="s">
        <v>37</v>
      </c>
      <c r="E996" s="47" t="s">
        <v>43</v>
      </c>
      <c r="F996" s="49" t="n">
        <v>249473</v>
      </c>
      <c r="G996" s="49" t="n">
        <v>250531</v>
      </c>
      <c r="H996" s="49" t="n">
        <v>149559</v>
      </c>
      <c r="I996" s="49" t="n">
        <v>148119</v>
      </c>
      <c r="J996" s="49" t="n">
        <v>35799</v>
      </c>
      <c r="K996" s="49" t="n">
        <v>35809</v>
      </c>
      <c r="L996" s="50" t="n">
        <v>11.4</v>
      </c>
      <c r="M996" s="51" t="n">
        <f aca="false">G996-F996</f>
        <v>1058</v>
      </c>
      <c r="N996" s="52" t="n">
        <f aca="false">IF(F996=0,0,M996/F996)</f>
        <v>0.00424093990131197</v>
      </c>
      <c r="O996" s="51" t="n">
        <f aca="false">G996-I996</f>
        <v>102412</v>
      </c>
      <c r="P996" s="51" t="n">
        <f aca="false">F996-H996</f>
        <v>99914</v>
      </c>
      <c r="Q996" s="51" t="n">
        <f aca="false">F996-H996-J996</f>
        <v>64115</v>
      </c>
      <c r="R996" s="51" t="n">
        <f aca="false">G996-I996-K996</f>
        <v>66603</v>
      </c>
      <c r="S996" s="51" t="n">
        <f aca="false">R996-Q996</f>
        <v>2488</v>
      </c>
      <c r="T996" s="52" t="n">
        <f aca="false">IF(Q996=0,0,S996/Q996)</f>
        <v>0.0388052717772752</v>
      </c>
      <c r="U996" s="51" t="str">
        <f aca="false">IF(AND(Q996&gt;0,T996&lt;-0.15),"ADVERSE","")</f>
        <v/>
      </c>
    </row>
    <row r="997" customFormat="false" ht="15" hidden="false" customHeight="false" outlineLevel="0" collapsed="false">
      <c r="A997" s="47" t="s">
        <v>139</v>
      </c>
      <c r="B997" s="47" t="s">
        <v>137</v>
      </c>
      <c r="C997" s="48" t="n">
        <v>45597</v>
      </c>
      <c r="D997" s="47" t="s">
        <v>37</v>
      </c>
      <c r="E997" s="47" t="s">
        <v>43</v>
      </c>
      <c r="F997" s="49" t="n">
        <v>242467</v>
      </c>
      <c r="G997" s="49" t="n">
        <v>248090</v>
      </c>
      <c r="H997" s="49" t="n">
        <v>145359</v>
      </c>
      <c r="I997" s="49" t="n">
        <v>149872</v>
      </c>
      <c r="J997" s="49" t="n">
        <v>34794</v>
      </c>
      <c r="K997" s="49" t="n">
        <v>35983</v>
      </c>
      <c r="L997" s="50" t="n">
        <v>11.6</v>
      </c>
      <c r="M997" s="51" t="n">
        <f aca="false">G997-F997</f>
        <v>5623</v>
      </c>
      <c r="N997" s="52" t="n">
        <f aca="false">IF(F997=0,0,M997/F997)</f>
        <v>0.0231907847253441</v>
      </c>
      <c r="O997" s="51" t="n">
        <f aca="false">G997-I997</f>
        <v>98218</v>
      </c>
      <c r="P997" s="51" t="n">
        <f aca="false">F997-H997</f>
        <v>97108</v>
      </c>
      <c r="Q997" s="51" t="n">
        <f aca="false">F997-H997-J997</f>
        <v>62314</v>
      </c>
      <c r="R997" s="51" t="n">
        <f aca="false">G997-I997-K997</f>
        <v>62235</v>
      </c>
      <c r="S997" s="51" t="n">
        <f aca="false">R997-Q997</f>
        <v>-79</v>
      </c>
      <c r="T997" s="52" t="n">
        <f aca="false">IF(Q997=0,0,S997/Q997)</f>
        <v>-0.00126777289212697</v>
      </c>
      <c r="U997" s="51" t="str">
        <f aca="false">IF(AND(Q997&gt;0,T997&lt;-0.15),"ADVERSE","")</f>
        <v/>
      </c>
    </row>
    <row r="998" customFormat="false" ht="15" hidden="false" customHeight="false" outlineLevel="0" collapsed="false">
      <c r="A998" s="47" t="s">
        <v>139</v>
      </c>
      <c r="B998" s="47" t="s">
        <v>137</v>
      </c>
      <c r="C998" s="48" t="n">
        <v>45627</v>
      </c>
      <c r="D998" s="47" t="s">
        <v>37</v>
      </c>
      <c r="E998" s="47" t="s">
        <v>43</v>
      </c>
      <c r="F998" s="49" t="n">
        <v>240780</v>
      </c>
      <c r="G998" s="49" t="n">
        <v>245614</v>
      </c>
      <c r="H998" s="49" t="n">
        <v>144348</v>
      </c>
      <c r="I998" s="49" t="n">
        <v>149470</v>
      </c>
      <c r="J998" s="49" t="n">
        <v>34552</v>
      </c>
      <c r="K998" s="49" t="n">
        <v>38717</v>
      </c>
      <c r="L998" s="50" t="n">
        <v>11.7</v>
      </c>
      <c r="M998" s="51" t="n">
        <f aca="false">G998-F998</f>
        <v>4834</v>
      </c>
      <c r="N998" s="52" t="n">
        <f aca="false">IF(F998=0,0,M998/F998)</f>
        <v>0.0200764183071684</v>
      </c>
      <c r="O998" s="51" t="n">
        <f aca="false">G998-I998</f>
        <v>96144</v>
      </c>
      <c r="P998" s="51" t="n">
        <f aca="false">F998-H998</f>
        <v>96432</v>
      </c>
      <c r="Q998" s="51" t="n">
        <f aca="false">F998-H998-J998</f>
        <v>61880</v>
      </c>
      <c r="R998" s="51" t="n">
        <f aca="false">G998-I998-K998</f>
        <v>57427</v>
      </c>
      <c r="S998" s="51" t="n">
        <f aca="false">R998-Q998</f>
        <v>-4453</v>
      </c>
      <c r="T998" s="52" t="n">
        <f aca="false">IF(Q998=0,0,S998/Q998)</f>
        <v>-0.071961861667744</v>
      </c>
      <c r="U998" s="51" t="str">
        <f aca="false">IF(AND(Q998&gt;0,T998&lt;-0.15),"ADVERSE","")</f>
        <v/>
      </c>
    </row>
    <row r="999" customFormat="false" ht="15" hidden="false" customHeight="false" outlineLevel="0" collapsed="false">
      <c r="A999" s="47" t="s">
        <v>139</v>
      </c>
      <c r="B999" s="47" t="s">
        <v>138</v>
      </c>
      <c r="C999" s="48" t="n">
        <v>45658</v>
      </c>
      <c r="D999" s="47" t="s">
        <v>37</v>
      </c>
      <c r="E999" s="47" t="s">
        <v>43</v>
      </c>
      <c r="F999" s="49" t="n">
        <v>237095</v>
      </c>
      <c r="G999" s="49" t="n">
        <v>238475</v>
      </c>
      <c r="H999" s="49" t="n">
        <v>142138</v>
      </c>
      <c r="I999" s="49" t="n">
        <v>141996</v>
      </c>
      <c r="J999" s="49" t="n">
        <v>34023</v>
      </c>
      <c r="K999" s="49" t="n">
        <v>33418</v>
      </c>
      <c r="L999" s="50" t="n">
        <v>11.6</v>
      </c>
      <c r="M999" s="51" t="n">
        <f aca="false">G999-F999</f>
        <v>1380</v>
      </c>
      <c r="N999" s="52" t="n">
        <f aca="false">IF(F999=0,0,M999/F999)</f>
        <v>0.00582045171766591</v>
      </c>
      <c r="O999" s="51" t="n">
        <f aca="false">G999-I999</f>
        <v>96479</v>
      </c>
      <c r="P999" s="51" t="n">
        <f aca="false">F999-H999</f>
        <v>94957</v>
      </c>
      <c r="Q999" s="51" t="n">
        <f aca="false">F999-H999-J999</f>
        <v>60934</v>
      </c>
      <c r="R999" s="51" t="n">
        <f aca="false">G999-I999-K999</f>
        <v>63061</v>
      </c>
      <c r="S999" s="51" t="n">
        <f aca="false">R999-Q999</f>
        <v>2127</v>
      </c>
      <c r="T999" s="52" t="n">
        <f aca="false">IF(Q999=0,0,S999/Q999)</f>
        <v>0.0349066202776775</v>
      </c>
      <c r="U999" s="51" t="str">
        <f aca="false">IF(AND(Q999&gt;0,T999&lt;-0.15),"ADVERSE","")</f>
        <v/>
      </c>
    </row>
    <row r="1000" customFormat="false" ht="15" hidden="false" customHeight="false" outlineLevel="0" collapsed="false">
      <c r="A1000" s="47" t="s">
        <v>139</v>
      </c>
      <c r="B1000" s="47" t="s">
        <v>138</v>
      </c>
      <c r="C1000" s="48" t="n">
        <v>45689</v>
      </c>
      <c r="D1000" s="47" t="s">
        <v>37</v>
      </c>
      <c r="E1000" s="47" t="s">
        <v>43</v>
      </c>
      <c r="F1000" s="49" t="n">
        <v>240534</v>
      </c>
      <c r="G1000" s="49" t="n">
        <v>244611</v>
      </c>
      <c r="H1000" s="49" t="n">
        <v>144200</v>
      </c>
      <c r="I1000" s="49" t="n">
        <v>149877</v>
      </c>
      <c r="J1000" s="49" t="n">
        <v>34517</v>
      </c>
      <c r="K1000" s="49" t="n">
        <v>33456</v>
      </c>
      <c r="L1000" s="50" t="n">
        <v>11.8</v>
      </c>
      <c r="M1000" s="51" t="n">
        <f aca="false">G1000-F1000</f>
        <v>4077</v>
      </c>
      <c r="N1000" s="52" t="n">
        <f aca="false">IF(F1000=0,0,M1000/F1000)</f>
        <v>0.0169497867245379</v>
      </c>
      <c r="O1000" s="51" t="n">
        <f aca="false">G1000-I1000</f>
        <v>94734</v>
      </c>
      <c r="P1000" s="51" t="n">
        <f aca="false">F1000-H1000</f>
        <v>96334</v>
      </c>
      <c r="Q1000" s="51" t="n">
        <f aca="false">F1000-H1000-J1000</f>
        <v>61817</v>
      </c>
      <c r="R1000" s="51" t="n">
        <f aca="false">G1000-I1000-K1000</f>
        <v>61278</v>
      </c>
      <c r="S1000" s="51" t="n">
        <f aca="false">R1000-Q1000</f>
        <v>-539</v>
      </c>
      <c r="T1000" s="52" t="n">
        <f aca="false">IF(Q1000=0,0,S1000/Q1000)</f>
        <v>-0.00871928433925943</v>
      </c>
      <c r="U1000" s="51" t="str">
        <f aca="false">IF(AND(Q1000&gt;0,T1000&lt;-0.15),"ADVERSE","")</f>
        <v/>
      </c>
    </row>
    <row r="1001" customFormat="false" ht="15" hidden="false" customHeight="false" outlineLevel="0" collapsed="false">
      <c r="A1001" s="47" t="s">
        <v>139</v>
      </c>
      <c r="B1001" s="47" t="s">
        <v>138</v>
      </c>
      <c r="C1001" s="48" t="n">
        <v>45717</v>
      </c>
      <c r="D1001" s="47" t="s">
        <v>37</v>
      </c>
      <c r="E1001" s="47" t="s">
        <v>43</v>
      </c>
      <c r="F1001" s="49" t="n">
        <v>257906</v>
      </c>
      <c r="G1001" s="49" t="n">
        <v>274371</v>
      </c>
      <c r="H1001" s="49" t="n">
        <v>154614</v>
      </c>
      <c r="I1001" s="49" t="n">
        <v>166580</v>
      </c>
      <c r="J1001" s="49" t="n">
        <v>37009</v>
      </c>
      <c r="K1001" s="49" t="n">
        <v>40760</v>
      </c>
      <c r="L1001" s="50" t="n">
        <v>11.8</v>
      </c>
      <c r="M1001" s="51" t="n">
        <f aca="false">G1001-F1001</f>
        <v>16465</v>
      </c>
      <c r="N1001" s="52" t="n">
        <f aca="false">IF(F1001=0,0,M1001/F1001)</f>
        <v>0.0638410893891573</v>
      </c>
      <c r="O1001" s="51" t="n">
        <f aca="false">G1001-I1001</f>
        <v>107791</v>
      </c>
      <c r="P1001" s="51" t="n">
        <f aca="false">F1001-H1001</f>
        <v>103292</v>
      </c>
      <c r="Q1001" s="51" t="n">
        <f aca="false">F1001-H1001-J1001</f>
        <v>66283</v>
      </c>
      <c r="R1001" s="51" t="n">
        <f aca="false">G1001-I1001-K1001</f>
        <v>67031</v>
      </c>
      <c r="S1001" s="51" t="n">
        <f aca="false">R1001-Q1001</f>
        <v>748</v>
      </c>
      <c r="T1001" s="52" t="n">
        <f aca="false">IF(Q1001=0,0,S1001/Q1001)</f>
        <v>0.0112849448576558</v>
      </c>
      <c r="U1001" s="51" t="str">
        <f aca="false">IF(AND(Q1001&gt;0,T1001&lt;-0.15),"ADVERSE","")</f>
        <v/>
      </c>
    </row>
    <row r="1002" customFormat="false" ht="15" hidden="false" customHeight="false" outlineLevel="0" collapsed="false">
      <c r="A1002" s="47" t="s">
        <v>3</v>
      </c>
      <c r="B1002" s="47" t="s">
        <v>135</v>
      </c>
      <c r="C1002" s="48" t="n">
        <v>45748</v>
      </c>
      <c r="D1002" s="47" t="s">
        <v>37</v>
      </c>
      <c r="E1002" s="47" t="s">
        <v>43</v>
      </c>
      <c r="F1002" s="49" t="n">
        <v>248515</v>
      </c>
      <c r="G1002" s="49" t="n">
        <v>234759</v>
      </c>
      <c r="H1002" s="49" t="n">
        <v>148985</v>
      </c>
      <c r="I1002" s="49" t="n">
        <v>142430</v>
      </c>
      <c r="J1002" s="49" t="n">
        <v>35662</v>
      </c>
      <c r="K1002" s="49" t="n">
        <v>35470</v>
      </c>
      <c r="L1002" s="50" t="n">
        <v>11.8</v>
      </c>
      <c r="M1002" s="51" t="n">
        <f aca="false">G1002-F1002</f>
        <v>-13756</v>
      </c>
      <c r="N1002" s="52" t="n">
        <f aca="false">IF(F1002=0,0,M1002/F1002)</f>
        <v>-0.055352795605899</v>
      </c>
      <c r="O1002" s="51" t="n">
        <f aca="false">G1002-I1002</f>
        <v>92329</v>
      </c>
      <c r="P1002" s="51" t="n">
        <f aca="false">F1002-H1002</f>
        <v>99530</v>
      </c>
      <c r="Q1002" s="51" t="n">
        <f aca="false">F1002-H1002-J1002</f>
        <v>63868</v>
      </c>
      <c r="R1002" s="51" t="n">
        <f aca="false">G1002-I1002-K1002</f>
        <v>56859</v>
      </c>
      <c r="S1002" s="51" t="n">
        <f aca="false">R1002-Q1002</f>
        <v>-7009</v>
      </c>
      <c r="T1002" s="52" t="n">
        <f aca="false">IF(Q1002=0,0,S1002/Q1002)</f>
        <v>-0.109741967808605</v>
      </c>
      <c r="U1002" s="51" t="str">
        <f aca="false">IF(AND(Q1002&gt;0,T1002&lt;-0.15),"ADVERSE","")</f>
        <v/>
      </c>
    </row>
    <row r="1003" customFormat="false" ht="15" hidden="false" customHeight="false" outlineLevel="0" collapsed="false">
      <c r="A1003" s="47" t="s">
        <v>3</v>
      </c>
      <c r="B1003" s="47" t="s">
        <v>135</v>
      </c>
      <c r="C1003" s="48" t="n">
        <v>45778</v>
      </c>
      <c r="D1003" s="47" t="s">
        <v>37</v>
      </c>
      <c r="E1003" s="47" t="s">
        <v>43</v>
      </c>
      <c r="F1003" s="49" t="n">
        <v>252607</v>
      </c>
      <c r="G1003" s="49" t="n">
        <v>244717</v>
      </c>
      <c r="H1003" s="49" t="n">
        <v>151438</v>
      </c>
      <c r="I1003" s="49" t="n">
        <v>147240</v>
      </c>
      <c r="J1003" s="49" t="n">
        <v>36249</v>
      </c>
      <c r="K1003" s="49" t="n">
        <v>36370</v>
      </c>
      <c r="L1003" s="50" t="n">
        <v>12</v>
      </c>
      <c r="M1003" s="51" t="n">
        <f aca="false">G1003-F1003</f>
        <v>-7890</v>
      </c>
      <c r="N1003" s="52" t="n">
        <f aca="false">IF(F1003=0,0,M1003/F1003)</f>
        <v>-0.031234288836018</v>
      </c>
      <c r="O1003" s="51" t="n">
        <f aca="false">G1003-I1003</f>
        <v>97477</v>
      </c>
      <c r="P1003" s="51" t="n">
        <f aca="false">F1003-H1003</f>
        <v>101169</v>
      </c>
      <c r="Q1003" s="51" t="n">
        <f aca="false">F1003-H1003-J1003</f>
        <v>64920</v>
      </c>
      <c r="R1003" s="51" t="n">
        <f aca="false">G1003-I1003-K1003</f>
        <v>61107</v>
      </c>
      <c r="S1003" s="51" t="n">
        <f aca="false">R1003-Q1003</f>
        <v>-3813</v>
      </c>
      <c r="T1003" s="52" t="n">
        <f aca="false">IF(Q1003=0,0,S1003/Q1003)</f>
        <v>-0.0587338262476895</v>
      </c>
      <c r="U1003" s="51" t="str">
        <f aca="false">IF(AND(Q1003&gt;0,T1003&lt;-0.15),"ADVERSE","")</f>
        <v/>
      </c>
    </row>
    <row r="1004" customFormat="false" ht="15" hidden="false" customHeight="false" outlineLevel="0" collapsed="false">
      <c r="A1004" s="47" t="s">
        <v>3</v>
      </c>
      <c r="B1004" s="47" t="s">
        <v>135</v>
      </c>
      <c r="C1004" s="48" t="n">
        <v>45809</v>
      </c>
      <c r="D1004" s="47" t="s">
        <v>37</v>
      </c>
      <c r="E1004" s="47" t="s">
        <v>43</v>
      </c>
      <c r="F1004" s="49" t="n">
        <v>263957</v>
      </c>
      <c r="G1004" s="49" t="n">
        <v>236887</v>
      </c>
      <c r="H1004" s="49" t="n">
        <v>158242</v>
      </c>
      <c r="I1004" s="49" t="n">
        <v>143328</v>
      </c>
      <c r="J1004" s="49" t="n">
        <v>37878</v>
      </c>
      <c r="K1004" s="49" t="n">
        <v>37131</v>
      </c>
      <c r="L1004" s="50" t="n">
        <v>11.8</v>
      </c>
      <c r="M1004" s="51" t="n">
        <f aca="false">G1004-F1004</f>
        <v>-27070</v>
      </c>
      <c r="N1004" s="52" t="n">
        <f aca="false">IF(F1004=0,0,M1004/F1004)</f>
        <v>-0.102554582754009</v>
      </c>
      <c r="O1004" s="51" t="n">
        <f aca="false">G1004-I1004</f>
        <v>93559</v>
      </c>
      <c r="P1004" s="51" t="n">
        <f aca="false">F1004-H1004</f>
        <v>105715</v>
      </c>
      <c r="Q1004" s="51" t="n">
        <f aca="false">F1004-H1004-J1004</f>
        <v>67837</v>
      </c>
      <c r="R1004" s="51" t="n">
        <f aca="false">G1004-I1004-K1004</f>
        <v>56428</v>
      </c>
      <c r="S1004" s="51" t="n">
        <f aca="false">R1004-Q1004</f>
        <v>-11409</v>
      </c>
      <c r="T1004" s="52" t="n">
        <f aca="false">IF(Q1004=0,0,S1004/Q1004)</f>
        <v>-0.168182555242714</v>
      </c>
      <c r="U1004" s="51" t="str">
        <f aca="false">IF(AND(Q1004&gt;0,T1004&lt;-0.15),"ADVERSE","")</f>
        <v>ADVERSE</v>
      </c>
    </row>
    <row r="1005" customFormat="false" ht="15" hidden="false" customHeight="false" outlineLevel="0" collapsed="false">
      <c r="A1005" s="47" t="s">
        <v>3</v>
      </c>
      <c r="B1005" s="47" t="s">
        <v>136</v>
      </c>
      <c r="C1005" s="48" t="n">
        <v>45839</v>
      </c>
      <c r="D1005" s="47" t="s">
        <v>37</v>
      </c>
      <c r="E1005" s="47" t="s">
        <v>43</v>
      </c>
      <c r="F1005" s="49" t="n">
        <v>261813</v>
      </c>
      <c r="G1005" s="49" t="n">
        <v>242449</v>
      </c>
      <c r="H1005" s="49" t="n">
        <v>156957</v>
      </c>
      <c r="I1005" s="49" t="n">
        <v>142433</v>
      </c>
      <c r="J1005" s="49" t="n">
        <v>37570</v>
      </c>
      <c r="K1005" s="49" t="n">
        <v>34262</v>
      </c>
      <c r="L1005" s="50" t="n">
        <v>11.9</v>
      </c>
      <c r="M1005" s="51" t="n">
        <f aca="false">G1005-F1005</f>
        <v>-19364</v>
      </c>
      <c r="N1005" s="52" t="n">
        <f aca="false">IF(F1005=0,0,M1005/F1005)</f>
        <v>-0.0739611860373625</v>
      </c>
      <c r="O1005" s="51" t="n">
        <f aca="false">G1005-I1005</f>
        <v>100016</v>
      </c>
      <c r="P1005" s="51" t="n">
        <f aca="false">F1005-H1005</f>
        <v>104856</v>
      </c>
      <c r="Q1005" s="51" t="n">
        <f aca="false">F1005-H1005-J1005</f>
        <v>67286</v>
      </c>
      <c r="R1005" s="51" t="n">
        <f aca="false">G1005-I1005-K1005</f>
        <v>65754</v>
      </c>
      <c r="S1005" s="51" t="n">
        <f aca="false">R1005-Q1005</f>
        <v>-1532</v>
      </c>
      <c r="T1005" s="52" t="n">
        <f aca="false">IF(Q1005=0,0,S1005/Q1005)</f>
        <v>-0.022768480813245</v>
      </c>
      <c r="U1005" s="51" t="str">
        <f aca="false">IF(AND(Q1005&gt;0,T1005&lt;-0.15),"ADVERSE","")</f>
        <v/>
      </c>
    </row>
    <row r="1006" customFormat="false" ht="15" hidden="false" customHeight="false" outlineLevel="0" collapsed="false">
      <c r="A1006" s="47" t="s">
        <v>3</v>
      </c>
      <c r="B1006" s="47" t="s">
        <v>136</v>
      </c>
      <c r="C1006" s="48" t="n">
        <v>45870</v>
      </c>
      <c r="D1006" s="47" t="s">
        <v>37</v>
      </c>
      <c r="E1006" s="47" t="s">
        <v>43</v>
      </c>
      <c r="F1006" s="49" t="n">
        <v>251907</v>
      </c>
      <c r="G1006" s="49" t="n">
        <v>236772</v>
      </c>
      <c r="H1006" s="49" t="n">
        <v>151018</v>
      </c>
      <c r="I1006" s="49" t="n">
        <v>142085</v>
      </c>
      <c r="J1006" s="49" t="n">
        <v>36149</v>
      </c>
      <c r="K1006" s="49" t="n">
        <v>34033</v>
      </c>
      <c r="L1006" s="50" t="n">
        <v>11.9</v>
      </c>
      <c r="M1006" s="51" t="n">
        <f aca="false">G1006-F1006</f>
        <v>-15135</v>
      </c>
      <c r="N1006" s="52" t="n">
        <f aca="false">IF(F1006=0,0,M1006/F1006)</f>
        <v>-0.0600816968166823</v>
      </c>
      <c r="O1006" s="51" t="n">
        <f aca="false">G1006-I1006</f>
        <v>94687</v>
      </c>
      <c r="P1006" s="51" t="n">
        <f aca="false">F1006-H1006</f>
        <v>100889</v>
      </c>
      <c r="Q1006" s="51" t="n">
        <f aca="false">F1006-H1006-J1006</f>
        <v>64740</v>
      </c>
      <c r="R1006" s="51" t="n">
        <f aca="false">G1006-I1006-K1006</f>
        <v>60654</v>
      </c>
      <c r="S1006" s="51" t="n">
        <f aca="false">R1006-Q1006</f>
        <v>-4086</v>
      </c>
      <c r="T1006" s="52" t="n">
        <f aca="false">IF(Q1006=0,0,S1006/Q1006)</f>
        <v>-0.0631139944392957</v>
      </c>
      <c r="U1006" s="51" t="str">
        <f aca="false">IF(AND(Q1006&gt;0,T1006&lt;-0.15),"ADVERSE","")</f>
        <v/>
      </c>
    </row>
    <row r="1007" customFormat="false" ht="15" hidden="false" customHeight="false" outlineLevel="0" collapsed="false">
      <c r="A1007" s="47" t="s">
        <v>3</v>
      </c>
      <c r="B1007" s="47" t="s">
        <v>136</v>
      </c>
      <c r="C1007" s="48" t="n">
        <v>45901</v>
      </c>
      <c r="D1007" s="47" t="s">
        <v>37</v>
      </c>
      <c r="E1007" s="47" t="s">
        <v>43</v>
      </c>
      <c r="F1007" s="49" t="n">
        <v>258587</v>
      </c>
      <c r="G1007" s="49" t="n">
        <v>265889</v>
      </c>
      <c r="H1007" s="49" t="n">
        <v>155023</v>
      </c>
      <c r="I1007" s="49" t="n">
        <v>160085</v>
      </c>
      <c r="J1007" s="49" t="n">
        <v>37107</v>
      </c>
      <c r="K1007" s="49" t="n">
        <v>39274</v>
      </c>
      <c r="L1007" s="50" t="n">
        <v>11.9</v>
      </c>
      <c r="M1007" s="51" t="n">
        <f aca="false">G1007-F1007</f>
        <v>7302</v>
      </c>
      <c r="N1007" s="52" t="n">
        <f aca="false">IF(F1007=0,0,M1007/F1007)</f>
        <v>0.0282380784803567</v>
      </c>
      <c r="O1007" s="51" t="n">
        <f aca="false">G1007-I1007</f>
        <v>105804</v>
      </c>
      <c r="P1007" s="51" t="n">
        <f aca="false">F1007-H1007</f>
        <v>103564</v>
      </c>
      <c r="Q1007" s="51" t="n">
        <f aca="false">F1007-H1007-J1007</f>
        <v>66457</v>
      </c>
      <c r="R1007" s="51" t="n">
        <f aca="false">G1007-I1007-K1007</f>
        <v>66530</v>
      </c>
      <c r="S1007" s="51" t="n">
        <f aca="false">R1007-Q1007</f>
        <v>73</v>
      </c>
      <c r="T1007" s="52" t="n">
        <f aca="false">IF(Q1007=0,0,S1007/Q1007)</f>
        <v>0.0010984546398423</v>
      </c>
      <c r="U1007" s="51" t="str">
        <f aca="false">IF(AND(Q1007&gt;0,T1007&lt;-0.15),"ADVERSE","")</f>
        <v/>
      </c>
    </row>
    <row r="1008" customFormat="false" ht="15" hidden="false" customHeight="false" outlineLevel="0" collapsed="false">
      <c r="A1008" s="47" t="s">
        <v>3</v>
      </c>
      <c r="B1008" s="47" t="s">
        <v>137</v>
      </c>
      <c r="C1008" s="48" t="n">
        <v>45931</v>
      </c>
      <c r="D1008" s="47" t="s">
        <v>37</v>
      </c>
      <c r="E1008" s="47" t="s">
        <v>43</v>
      </c>
      <c r="F1008" s="49" t="n">
        <v>274072</v>
      </c>
      <c r="G1008" s="49" t="n">
        <v>260692</v>
      </c>
      <c r="H1008" s="49" t="n">
        <v>164306</v>
      </c>
      <c r="I1008" s="49" t="n">
        <v>155169</v>
      </c>
      <c r="J1008" s="49" t="n">
        <v>39329</v>
      </c>
      <c r="K1008" s="49" t="n">
        <v>40343</v>
      </c>
      <c r="L1008" s="50" t="n">
        <v>11.8</v>
      </c>
      <c r="M1008" s="51" t="n">
        <f aca="false">G1008-F1008</f>
        <v>-13380</v>
      </c>
      <c r="N1008" s="52" t="n">
        <f aca="false">IF(F1008=0,0,M1008/F1008)</f>
        <v>-0.0488192883621822</v>
      </c>
      <c r="O1008" s="51" t="n">
        <f aca="false">G1008-I1008</f>
        <v>105523</v>
      </c>
      <c r="P1008" s="51" t="n">
        <f aca="false">F1008-H1008</f>
        <v>109766</v>
      </c>
      <c r="Q1008" s="51" t="n">
        <f aca="false">F1008-H1008-J1008</f>
        <v>70437</v>
      </c>
      <c r="R1008" s="51" t="n">
        <f aca="false">G1008-I1008-K1008</f>
        <v>65180</v>
      </c>
      <c r="S1008" s="51" t="n">
        <f aca="false">R1008-Q1008</f>
        <v>-5257</v>
      </c>
      <c r="T1008" s="52" t="n">
        <f aca="false">IF(Q1008=0,0,S1008/Q1008)</f>
        <v>-0.0746340701619887</v>
      </c>
      <c r="U1008" s="51" t="str">
        <f aca="false">IF(AND(Q1008&gt;0,T1008&lt;-0.15),"ADVERSE","")</f>
        <v/>
      </c>
    </row>
    <row r="1009" customFormat="false" ht="15" hidden="false" customHeight="false" outlineLevel="0" collapsed="false">
      <c r="A1009" s="47" t="s">
        <v>3</v>
      </c>
      <c r="B1009" s="47" t="s">
        <v>137</v>
      </c>
      <c r="C1009" s="48" t="n">
        <v>45962</v>
      </c>
      <c r="D1009" s="47" t="s">
        <v>37</v>
      </c>
      <c r="E1009" s="47" t="s">
        <v>43</v>
      </c>
      <c r="F1009" s="49" t="n">
        <v>265659</v>
      </c>
      <c r="G1009" s="49" t="n">
        <v>263673</v>
      </c>
      <c r="H1009" s="49" t="n">
        <v>159262</v>
      </c>
      <c r="I1009" s="49" t="n">
        <v>158838</v>
      </c>
      <c r="J1009" s="49" t="n">
        <v>38122</v>
      </c>
      <c r="K1009" s="49" t="n">
        <v>39298</v>
      </c>
      <c r="L1009" s="50" t="n">
        <v>12.2</v>
      </c>
      <c r="M1009" s="51" t="n">
        <f aca="false">G1009-F1009</f>
        <v>-1986</v>
      </c>
      <c r="N1009" s="52" t="n">
        <f aca="false">IF(F1009=0,0,M1009/F1009)</f>
        <v>-0.00747574898648267</v>
      </c>
      <c r="O1009" s="51" t="n">
        <f aca="false">G1009-I1009</f>
        <v>104835</v>
      </c>
      <c r="P1009" s="51" t="n">
        <f aca="false">F1009-H1009</f>
        <v>106397</v>
      </c>
      <c r="Q1009" s="51" t="n">
        <f aca="false">F1009-H1009-J1009</f>
        <v>68275</v>
      </c>
      <c r="R1009" s="51" t="n">
        <f aca="false">G1009-I1009-K1009</f>
        <v>65537</v>
      </c>
      <c r="S1009" s="51" t="n">
        <f aca="false">R1009-Q1009</f>
        <v>-2738</v>
      </c>
      <c r="T1009" s="52" t="n">
        <f aca="false">IF(Q1009=0,0,S1009/Q1009)</f>
        <v>-0.0401025265470524</v>
      </c>
      <c r="U1009" s="51" t="str">
        <f aca="false">IF(AND(Q1009&gt;0,T1009&lt;-0.15),"ADVERSE","")</f>
        <v/>
      </c>
    </row>
    <row r="1010" customFormat="false" ht="15" hidden="false" customHeight="false" outlineLevel="0" collapsed="false">
      <c r="A1010" s="47" t="s">
        <v>3</v>
      </c>
      <c r="B1010" s="47" t="s">
        <v>137</v>
      </c>
      <c r="C1010" s="48" t="n">
        <v>45992</v>
      </c>
      <c r="D1010" s="47" t="s">
        <v>37</v>
      </c>
      <c r="E1010" s="47" t="s">
        <v>43</v>
      </c>
      <c r="F1010" s="49" t="n">
        <v>260726</v>
      </c>
      <c r="G1010" s="49" t="n">
        <v>250923</v>
      </c>
      <c r="H1010" s="49" t="n">
        <v>156305</v>
      </c>
      <c r="I1010" s="49" t="n">
        <v>151708</v>
      </c>
      <c r="J1010" s="49" t="n">
        <v>37414</v>
      </c>
      <c r="K1010" s="49" t="n">
        <v>38270</v>
      </c>
      <c r="L1010" s="50" t="n">
        <v>12.3</v>
      </c>
      <c r="M1010" s="51" t="n">
        <f aca="false">G1010-F1010</f>
        <v>-9803</v>
      </c>
      <c r="N1010" s="52" t="n">
        <f aca="false">IF(F1010=0,0,M1010/F1010)</f>
        <v>-0.037598858571834</v>
      </c>
      <c r="O1010" s="51" t="n">
        <f aca="false">G1010-I1010</f>
        <v>99215</v>
      </c>
      <c r="P1010" s="51" t="n">
        <f aca="false">F1010-H1010</f>
        <v>104421</v>
      </c>
      <c r="Q1010" s="51" t="n">
        <f aca="false">F1010-H1010-J1010</f>
        <v>67007</v>
      </c>
      <c r="R1010" s="51" t="n">
        <f aca="false">G1010-I1010-K1010</f>
        <v>60945</v>
      </c>
      <c r="S1010" s="51" t="n">
        <f aca="false">R1010-Q1010</f>
        <v>-6062</v>
      </c>
      <c r="T1010" s="52" t="n">
        <f aca="false">IF(Q1010=0,0,S1010/Q1010)</f>
        <v>-0.0904681600429806</v>
      </c>
      <c r="U1010" s="51" t="str">
        <f aca="false">IF(AND(Q1010&gt;0,T1010&lt;-0.15),"ADVERSE","")</f>
        <v/>
      </c>
    </row>
    <row r="1011" customFormat="false" ht="15" hidden="false" customHeight="false" outlineLevel="0" collapsed="false">
      <c r="A1011" s="47" t="s">
        <v>3</v>
      </c>
      <c r="B1011" s="47" t="s">
        <v>138</v>
      </c>
      <c r="C1011" s="48" t="n">
        <v>46023</v>
      </c>
      <c r="D1011" s="47" t="s">
        <v>37</v>
      </c>
      <c r="E1011" s="47" t="s">
        <v>43</v>
      </c>
      <c r="F1011" s="49" t="n">
        <v>255492</v>
      </c>
      <c r="G1011" s="49" t="n">
        <v>263704</v>
      </c>
      <c r="H1011" s="49" t="n">
        <v>153168</v>
      </c>
      <c r="I1011" s="49" t="n">
        <v>156353</v>
      </c>
      <c r="J1011" s="49" t="n">
        <v>36663</v>
      </c>
      <c r="K1011" s="49" t="n">
        <v>37651</v>
      </c>
      <c r="L1011" s="50" t="n">
        <v>12.4</v>
      </c>
      <c r="M1011" s="51" t="n">
        <f aca="false">G1011-F1011</f>
        <v>8212</v>
      </c>
      <c r="N1011" s="52" t="n">
        <f aca="false">IF(F1011=0,0,M1011/F1011)</f>
        <v>0.0321419065959012</v>
      </c>
      <c r="O1011" s="51" t="n">
        <f aca="false">G1011-I1011</f>
        <v>107351</v>
      </c>
      <c r="P1011" s="51" t="n">
        <f aca="false">F1011-H1011</f>
        <v>102324</v>
      </c>
      <c r="Q1011" s="51" t="n">
        <f aca="false">F1011-H1011-J1011</f>
        <v>65661</v>
      </c>
      <c r="R1011" s="51" t="n">
        <f aca="false">G1011-I1011-K1011</f>
        <v>69700</v>
      </c>
      <c r="S1011" s="51" t="n">
        <f aca="false">R1011-Q1011</f>
        <v>4039</v>
      </c>
      <c r="T1011" s="52" t="n">
        <f aca="false">IF(Q1011=0,0,S1011/Q1011)</f>
        <v>0.0615129224349309</v>
      </c>
      <c r="U1011" s="51" t="str">
        <f aca="false">IF(AND(Q1011&gt;0,T1011&lt;-0.15),"ADVERSE","")</f>
        <v/>
      </c>
    </row>
    <row r="1012" customFormat="false" ht="15" hidden="false" customHeight="false" outlineLevel="0" collapsed="false">
      <c r="A1012" s="47" t="s">
        <v>3</v>
      </c>
      <c r="B1012" s="47" t="s">
        <v>138</v>
      </c>
      <c r="C1012" s="48" t="n">
        <v>46054</v>
      </c>
      <c r="D1012" s="47" t="s">
        <v>37</v>
      </c>
      <c r="E1012" s="47" t="s">
        <v>43</v>
      </c>
      <c r="F1012" s="49" t="n">
        <v>258714</v>
      </c>
      <c r="G1012" s="49" t="n">
        <v>252127</v>
      </c>
      <c r="H1012" s="49" t="n">
        <v>155099</v>
      </c>
      <c r="I1012" s="49" t="n">
        <v>152966</v>
      </c>
      <c r="J1012" s="49" t="n">
        <v>37125</v>
      </c>
      <c r="K1012" s="49" t="n">
        <v>35726</v>
      </c>
      <c r="L1012" s="50" t="n">
        <v>12.1</v>
      </c>
      <c r="M1012" s="51" t="n">
        <f aca="false">G1012-F1012</f>
        <v>-6587</v>
      </c>
      <c r="N1012" s="52" t="n">
        <f aca="false">IF(F1012=0,0,M1012/F1012)</f>
        <v>-0.0254605471679152</v>
      </c>
      <c r="O1012" s="51" t="n">
        <f aca="false">G1012-I1012</f>
        <v>99161</v>
      </c>
      <c r="P1012" s="51" t="n">
        <f aca="false">F1012-H1012</f>
        <v>103615</v>
      </c>
      <c r="Q1012" s="51" t="n">
        <f aca="false">F1012-H1012-J1012</f>
        <v>66490</v>
      </c>
      <c r="R1012" s="51" t="n">
        <f aca="false">G1012-I1012-K1012</f>
        <v>63435</v>
      </c>
      <c r="S1012" s="51" t="n">
        <f aca="false">R1012-Q1012</f>
        <v>-3055</v>
      </c>
      <c r="T1012" s="52" t="n">
        <f aca="false">IF(Q1012=0,0,S1012/Q1012)</f>
        <v>-0.0459467589111145</v>
      </c>
      <c r="U1012" s="51" t="str">
        <f aca="false">IF(AND(Q1012&gt;0,T1012&lt;-0.15),"ADVERSE","")</f>
        <v/>
      </c>
    </row>
    <row r="1013" customFormat="false" ht="15" hidden="false" customHeight="false" outlineLevel="0" collapsed="false">
      <c r="A1013" s="47" t="s">
        <v>3</v>
      </c>
      <c r="B1013" s="47" t="s">
        <v>138</v>
      </c>
      <c r="C1013" s="48" t="n">
        <v>46082</v>
      </c>
      <c r="D1013" s="47" t="s">
        <v>37</v>
      </c>
      <c r="E1013" s="47" t="s">
        <v>43</v>
      </c>
      <c r="F1013" s="49" t="n">
        <v>286135</v>
      </c>
      <c r="G1013" s="49" t="n">
        <v>264666</v>
      </c>
      <c r="H1013" s="49" t="n">
        <v>171538</v>
      </c>
      <c r="I1013" s="49" t="n">
        <v>159062</v>
      </c>
      <c r="J1013" s="49" t="n">
        <v>41060</v>
      </c>
      <c r="K1013" s="49" t="n">
        <v>39896</v>
      </c>
      <c r="L1013" s="50" t="n">
        <v>12.2</v>
      </c>
      <c r="M1013" s="51" t="n">
        <f aca="false">G1013-F1013</f>
        <v>-21469</v>
      </c>
      <c r="N1013" s="52" t="n">
        <f aca="false">IF(F1013=0,0,M1013/F1013)</f>
        <v>-0.0750310168277212</v>
      </c>
      <c r="O1013" s="51" t="n">
        <f aca="false">G1013-I1013</f>
        <v>105604</v>
      </c>
      <c r="P1013" s="51" t="n">
        <f aca="false">F1013-H1013</f>
        <v>114597</v>
      </c>
      <c r="Q1013" s="51" t="n">
        <f aca="false">F1013-H1013-J1013</f>
        <v>73537</v>
      </c>
      <c r="R1013" s="51" t="n">
        <f aca="false">G1013-I1013-K1013</f>
        <v>65708</v>
      </c>
      <c r="S1013" s="51" t="n">
        <f aca="false">R1013-Q1013</f>
        <v>-7829</v>
      </c>
      <c r="T1013" s="52" t="n">
        <f aca="false">IF(Q1013=0,0,S1013/Q1013)</f>
        <v>-0.106463412975781</v>
      </c>
      <c r="U1013" s="51" t="str">
        <f aca="false">IF(AND(Q1013&gt;0,T1013&lt;-0.15),"ADVERSE","")</f>
        <v/>
      </c>
    </row>
    <row r="1014" customFormat="false" ht="15" hidden="false" customHeight="false" outlineLevel="0" collapsed="false">
      <c r="A1014" s="47" t="s">
        <v>134</v>
      </c>
      <c r="B1014" s="47" t="s">
        <v>135</v>
      </c>
      <c r="C1014" s="48" t="n">
        <v>45017</v>
      </c>
      <c r="D1014" s="47" t="s">
        <v>37</v>
      </c>
      <c r="E1014" s="47" t="s">
        <v>44</v>
      </c>
      <c r="F1014" s="49" t="n">
        <v>229303</v>
      </c>
      <c r="G1014" s="49" t="n">
        <v>237037</v>
      </c>
      <c r="H1014" s="49" t="n">
        <v>137467</v>
      </c>
      <c r="I1014" s="49" t="n">
        <v>140506</v>
      </c>
      <c r="J1014" s="49" t="n">
        <v>32905</v>
      </c>
      <c r="K1014" s="49" t="n">
        <v>37075</v>
      </c>
      <c r="L1014" s="50" t="n">
        <v>11.5</v>
      </c>
      <c r="M1014" s="51" t="n">
        <f aca="false">G1014-F1014</f>
        <v>7734</v>
      </c>
      <c r="N1014" s="52" t="n">
        <f aca="false">IF(F1014=0,0,M1014/F1014)</f>
        <v>0.0337282983650454</v>
      </c>
      <c r="O1014" s="51" t="n">
        <f aca="false">G1014-I1014</f>
        <v>96531</v>
      </c>
      <c r="P1014" s="51" t="n">
        <f aca="false">F1014-H1014</f>
        <v>91836</v>
      </c>
      <c r="Q1014" s="51" t="n">
        <f aca="false">F1014-H1014-J1014</f>
        <v>58931</v>
      </c>
      <c r="R1014" s="51" t="n">
        <f aca="false">G1014-I1014-K1014</f>
        <v>59456</v>
      </c>
      <c r="S1014" s="51" t="n">
        <f aca="false">R1014-Q1014</f>
        <v>525</v>
      </c>
      <c r="T1014" s="52" t="n">
        <f aca="false">IF(Q1014=0,0,S1014/Q1014)</f>
        <v>0.0089087237616874</v>
      </c>
      <c r="U1014" s="51" t="str">
        <f aca="false">IF(AND(Q1014&gt;0,T1014&lt;-0.15),"ADVERSE","")</f>
        <v/>
      </c>
    </row>
    <row r="1015" customFormat="false" ht="15" hidden="false" customHeight="false" outlineLevel="0" collapsed="false">
      <c r="A1015" s="47" t="s">
        <v>134</v>
      </c>
      <c r="B1015" s="47" t="s">
        <v>135</v>
      </c>
      <c r="C1015" s="48" t="n">
        <v>45047</v>
      </c>
      <c r="D1015" s="47" t="s">
        <v>37</v>
      </c>
      <c r="E1015" s="47" t="s">
        <v>44</v>
      </c>
      <c r="F1015" s="49" t="n">
        <v>227045</v>
      </c>
      <c r="G1015" s="49" t="n">
        <v>232860</v>
      </c>
      <c r="H1015" s="49" t="n">
        <v>136113</v>
      </c>
      <c r="I1015" s="49" t="n">
        <v>140279</v>
      </c>
      <c r="J1015" s="49" t="n">
        <v>32581</v>
      </c>
      <c r="K1015" s="49" t="n">
        <v>33369</v>
      </c>
      <c r="L1015" s="50" t="n">
        <v>11.5</v>
      </c>
      <c r="M1015" s="51" t="n">
        <f aca="false">G1015-F1015</f>
        <v>5815</v>
      </c>
      <c r="N1015" s="52" t="n">
        <f aca="false">IF(F1015=0,0,M1015/F1015)</f>
        <v>0.025611662886212</v>
      </c>
      <c r="O1015" s="51" t="n">
        <f aca="false">G1015-I1015</f>
        <v>92581</v>
      </c>
      <c r="P1015" s="51" t="n">
        <f aca="false">F1015-H1015</f>
        <v>90932</v>
      </c>
      <c r="Q1015" s="51" t="n">
        <f aca="false">F1015-H1015-J1015</f>
        <v>58351</v>
      </c>
      <c r="R1015" s="51" t="n">
        <f aca="false">G1015-I1015-K1015</f>
        <v>59212</v>
      </c>
      <c r="S1015" s="51" t="n">
        <f aca="false">R1015-Q1015</f>
        <v>861</v>
      </c>
      <c r="T1015" s="52" t="n">
        <f aca="false">IF(Q1015=0,0,S1015/Q1015)</f>
        <v>0.0147555311819849</v>
      </c>
      <c r="U1015" s="51" t="str">
        <f aca="false">IF(AND(Q1015&gt;0,T1015&lt;-0.15),"ADVERSE","")</f>
        <v/>
      </c>
    </row>
    <row r="1016" customFormat="false" ht="15" hidden="false" customHeight="false" outlineLevel="0" collapsed="false">
      <c r="A1016" s="47" t="s">
        <v>134</v>
      </c>
      <c r="B1016" s="47" t="s">
        <v>135</v>
      </c>
      <c r="C1016" s="48" t="n">
        <v>45078</v>
      </c>
      <c r="D1016" s="47" t="s">
        <v>37</v>
      </c>
      <c r="E1016" s="47" t="s">
        <v>44</v>
      </c>
      <c r="F1016" s="49" t="n">
        <v>235743</v>
      </c>
      <c r="G1016" s="49" t="n">
        <v>246649</v>
      </c>
      <c r="H1016" s="49" t="n">
        <v>141328</v>
      </c>
      <c r="I1016" s="49" t="n">
        <v>150400</v>
      </c>
      <c r="J1016" s="49" t="n">
        <v>33829</v>
      </c>
      <c r="K1016" s="49" t="n">
        <v>37829</v>
      </c>
      <c r="L1016" s="50" t="n">
        <v>11.7</v>
      </c>
      <c r="M1016" s="51" t="n">
        <f aca="false">G1016-F1016</f>
        <v>10906</v>
      </c>
      <c r="N1016" s="52" t="n">
        <f aca="false">IF(F1016=0,0,M1016/F1016)</f>
        <v>0.0462622432055247</v>
      </c>
      <c r="O1016" s="51" t="n">
        <f aca="false">G1016-I1016</f>
        <v>96249</v>
      </c>
      <c r="P1016" s="51" t="n">
        <f aca="false">F1016-H1016</f>
        <v>94415</v>
      </c>
      <c r="Q1016" s="51" t="n">
        <f aca="false">F1016-H1016-J1016</f>
        <v>60586</v>
      </c>
      <c r="R1016" s="51" t="n">
        <f aca="false">G1016-I1016-K1016</f>
        <v>58420</v>
      </c>
      <c r="S1016" s="51" t="n">
        <f aca="false">R1016-Q1016</f>
        <v>-2166</v>
      </c>
      <c r="T1016" s="52" t="n">
        <f aca="false">IF(Q1016=0,0,S1016/Q1016)</f>
        <v>-0.0357508335258971</v>
      </c>
      <c r="U1016" s="51" t="str">
        <f aca="false">IF(AND(Q1016&gt;0,T1016&lt;-0.15),"ADVERSE","")</f>
        <v/>
      </c>
    </row>
    <row r="1017" customFormat="false" ht="15" hidden="false" customHeight="false" outlineLevel="0" collapsed="false">
      <c r="A1017" s="47" t="s">
        <v>134</v>
      </c>
      <c r="B1017" s="47" t="s">
        <v>136</v>
      </c>
      <c r="C1017" s="48" t="n">
        <v>45108</v>
      </c>
      <c r="D1017" s="47" t="s">
        <v>37</v>
      </c>
      <c r="E1017" s="47" t="s">
        <v>44</v>
      </c>
      <c r="F1017" s="49" t="n">
        <v>233433</v>
      </c>
      <c r="G1017" s="49" t="n">
        <v>244737</v>
      </c>
      <c r="H1017" s="49" t="n">
        <v>139943</v>
      </c>
      <c r="I1017" s="49" t="n">
        <v>146529</v>
      </c>
      <c r="J1017" s="49" t="n">
        <v>33498</v>
      </c>
      <c r="K1017" s="49" t="n">
        <v>34631</v>
      </c>
      <c r="L1017" s="50" t="n">
        <v>11.7</v>
      </c>
      <c r="M1017" s="51" t="n">
        <f aca="false">G1017-F1017</f>
        <v>11304</v>
      </c>
      <c r="N1017" s="52" t="n">
        <f aca="false">IF(F1017=0,0,M1017/F1017)</f>
        <v>0.0484250298800941</v>
      </c>
      <c r="O1017" s="51" t="n">
        <f aca="false">G1017-I1017</f>
        <v>98208</v>
      </c>
      <c r="P1017" s="51" t="n">
        <f aca="false">F1017-H1017</f>
        <v>93490</v>
      </c>
      <c r="Q1017" s="51" t="n">
        <f aca="false">F1017-H1017-J1017</f>
        <v>59992</v>
      </c>
      <c r="R1017" s="51" t="n">
        <f aca="false">G1017-I1017-K1017</f>
        <v>63577</v>
      </c>
      <c r="S1017" s="51" t="n">
        <f aca="false">R1017-Q1017</f>
        <v>3585</v>
      </c>
      <c r="T1017" s="52" t="n">
        <f aca="false">IF(Q1017=0,0,S1017/Q1017)</f>
        <v>0.0597579677290305</v>
      </c>
      <c r="U1017" s="51" t="str">
        <f aca="false">IF(AND(Q1017&gt;0,T1017&lt;-0.15),"ADVERSE","")</f>
        <v/>
      </c>
    </row>
    <row r="1018" customFormat="false" ht="15" hidden="false" customHeight="false" outlineLevel="0" collapsed="false">
      <c r="A1018" s="47" t="s">
        <v>134</v>
      </c>
      <c r="B1018" s="47" t="s">
        <v>136</v>
      </c>
      <c r="C1018" s="48" t="n">
        <v>45139</v>
      </c>
      <c r="D1018" s="47" t="s">
        <v>37</v>
      </c>
      <c r="E1018" s="47" t="s">
        <v>44</v>
      </c>
      <c r="F1018" s="49" t="n">
        <v>227113</v>
      </c>
      <c r="G1018" s="49" t="n">
        <v>216346</v>
      </c>
      <c r="H1018" s="49" t="n">
        <v>136154</v>
      </c>
      <c r="I1018" s="49" t="n">
        <v>130805</v>
      </c>
      <c r="J1018" s="49" t="n">
        <v>32591</v>
      </c>
      <c r="K1018" s="49" t="n">
        <v>31909</v>
      </c>
      <c r="L1018" s="50" t="n">
        <v>11.7</v>
      </c>
      <c r="M1018" s="51" t="n">
        <f aca="false">G1018-F1018</f>
        <v>-10767</v>
      </c>
      <c r="N1018" s="52" t="n">
        <f aca="false">IF(F1018=0,0,M1018/F1018)</f>
        <v>-0.0474081184256295</v>
      </c>
      <c r="O1018" s="51" t="n">
        <f aca="false">G1018-I1018</f>
        <v>85541</v>
      </c>
      <c r="P1018" s="51" t="n">
        <f aca="false">F1018-H1018</f>
        <v>90959</v>
      </c>
      <c r="Q1018" s="51" t="n">
        <f aca="false">F1018-H1018-J1018</f>
        <v>58368</v>
      </c>
      <c r="R1018" s="51" t="n">
        <f aca="false">G1018-I1018-K1018</f>
        <v>53632</v>
      </c>
      <c r="S1018" s="51" t="n">
        <f aca="false">R1018-Q1018</f>
        <v>-4736</v>
      </c>
      <c r="T1018" s="52" t="n">
        <f aca="false">IF(Q1018=0,0,S1018/Q1018)</f>
        <v>-0.081140350877193</v>
      </c>
      <c r="U1018" s="51" t="str">
        <f aca="false">IF(AND(Q1018&gt;0,T1018&lt;-0.15),"ADVERSE","")</f>
        <v/>
      </c>
    </row>
    <row r="1019" customFormat="false" ht="15" hidden="false" customHeight="false" outlineLevel="0" collapsed="false">
      <c r="A1019" s="47" t="s">
        <v>134</v>
      </c>
      <c r="B1019" s="47" t="s">
        <v>136</v>
      </c>
      <c r="C1019" s="48" t="n">
        <v>45170</v>
      </c>
      <c r="D1019" s="47" t="s">
        <v>37</v>
      </c>
      <c r="E1019" s="47" t="s">
        <v>44</v>
      </c>
      <c r="F1019" s="49" t="n">
        <v>230938</v>
      </c>
      <c r="G1019" s="49" t="n">
        <v>244431</v>
      </c>
      <c r="H1019" s="49" t="n">
        <v>138447</v>
      </c>
      <c r="I1019" s="49" t="n">
        <v>149402</v>
      </c>
      <c r="J1019" s="49" t="n">
        <v>33140</v>
      </c>
      <c r="K1019" s="49" t="n">
        <v>36777</v>
      </c>
      <c r="L1019" s="50" t="n">
        <v>11.9</v>
      </c>
      <c r="M1019" s="51" t="n">
        <f aca="false">G1019-F1019</f>
        <v>13493</v>
      </c>
      <c r="N1019" s="52" t="n">
        <f aca="false">IF(F1019=0,0,M1019/F1019)</f>
        <v>0.0584269371000009</v>
      </c>
      <c r="O1019" s="51" t="n">
        <f aca="false">G1019-I1019</f>
        <v>95029</v>
      </c>
      <c r="P1019" s="51" t="n">
        <f aca="false">F1019-H1019</f>
        <v>92491</v>
      </c>
      <c r="Q1019" s="51" t="n">
        <f aca="false">F1019-H1019-J1019</f>
        <v>59351</v>
      </c>
      <c r="R1019" s="51" t="n">
        <f aca="false">G1019-I1019-K1019</f>
        <v>58252</v>
      </c>
      <c r="S1019" s="51" t="n">
        <f aca="false">R1019-Q1019</f>
        <v>-1099</v>
      </c>
      <c r="T1019" s="52" t="n">
        <f aca="false">IF(Q1019=0,0,S1019/Q1019)</f>
        <v>-0.0185169584337248</v>
      </c>
      <c r="U1019" s="51" t="str">
        <f aca="false">IF(AND(Q1019&gt;0,T1019&lt;-0.15),"ADVERSE","")</f>
        <v/>
      </c>
    </row>
    <row r="1020" customFormat="false" ht="15" hidden="false" customHeight="false" outlineLevel="0" collapsed="false">
      <c r="A1020" s="47" t="s">
        <v>134</v>
      </c>
      <c r="B1020" s="47" t="s">
        <v>137</v>
      </c>
      <c r="C1020" s="48" t="n">
        <v>45200</v>
      </c>
      <c r="D1020" s="47" t="s">
        <v>37</v>
      </c>
      <c r="E1020" s="47" t="s">
        <v>44</v>
      </c>
      <c r="F1020" s="49" t="n">
        <v>241822</v>
      </c>
      <c r="G1020" s="49" t="n">
        <v>252087</v>
      </c>
      <c r="H1020" s="49" t="n">
        <v>144972</v>
      </c>
      <c r="I1020" s="49" t="n">
        <v>153111</v>
      </c>
      <c r="J1020" s="49" t="n">
        <v>34701</v>
      </c>
      <c r="K1020" s="49" t="n">
        <v>35737</v>
      </c>
      <c r="L1020" s="50" t="n">
        <v>11.6</v>
      </c>
      <c r="M1020" s="51" t="n">
        <f aca="false">G1020-F1020</f>
        <v>10265</v>
      </c>
      <c r="N1020" s="52" t="n">
        <f aca="false">IF(F1020=0,0,M1020/F1020)</f>
        <v>0.0424485778795974</v>
      </c>
      <c r="O1020" s="51" t="n">
        <f aca="false">G1020-I1020</f>
        <v>98976</v>
      </c>
      <c r="P1020" s="51" t="n">
        <f aca="false">F1020-H1020</f>
        <v>96850</v>
      </c>
      <c r="Q1020" s="51" t="n">
        <f aca="false">F1020-H1020-J1020</f>
        <v>62149</v>
      </c>
      <c r="R1020" s="51" t="n">
        <f aca="false">G1020-I1020-K1020</f>
        <v>63239</v>
      </c>
      <c r="S1020" s="51" t="n">
        <f aca="false">R1020-Q1020</f>
        <v>1090</v>
      </c>
      <c r="T1020" s="52" t="n">
        <f aca="false">IF(Q1020=0,0,S1020/Q1020)</f>
        <v>0.017538496194629</v>
      </c>
      <c r="U1020" s="51" t="str">
        <f aca="false">IF(AND(Q1020&gt;0,T1020&lt;-0.15),"ADVERSE","")</f>
        <v/>
      </c>
    </row>
    <row r="1021" customFormat="false" ht="15" hidden="false" customHeight="false" outlineLevel="0" collapsed="false">
      <c r="A1021" s="47" t="s">
        <v>134</v>
      </c>
      <c r="B1021" s="47" t="s">
        <v>137</v>
      </c>
      <c r="C1021" s="48" t="n">
        <v>45231</v>
      </c>
      <c r="D1021" s="47" t="s">
        <v>37</v>
      </c>
      <c r="E1021" s="47" t="s">
        <v>44</v>
      </c>
      <c r="F1021" s="49" t="n">
        <v>239796</v>
      </c>
      <c r="G1021" s="49" t="n">
        <v>232411</v>
      </c>
      <c r="H1021" s="49" t="n">
        <v>143758</v>
      </c>
      <c r="I1021" s="49" t="n">
        <v>139156</v>
      </c>
      <c r="J1021" s="49" t="n">
        <v>34411</v>
      </c>
      <c r="K1021" s="49" t="n">
        <v>31648</v>
      </c>
      <c r="L1021" s="50" t="n">
        <v>11.5</v>
      </c>
      <c r="M1021" s="51" t="n">
        <f aca="false">G1021-F1021</f>
        <v>-7385</v>
      </c>
      <c r="N1021" s="52" t="n">
        <f aca="false">IF(F1021=0,0,M1021/F1021)</f>
        <v>-0.030797010792507</v>
      </c>
      <c r="O1021" s="51" t="n">
        <f aca="false">G1021-I1021</f>
        <v>93255</v>
      </c>
      <c r="P1021" s="51" t="n">
        <f aca="false">F1021-H1021</f>
        <v>96038</v>
      </c>
      <c r="Q1021" s="51" t="n">
        <f aca="false">F1021-H1021-J1021</f>
        <v>61627</v>
      </c>
      <c r="R1021" s="51" t="n">
        <f aca="false">G1021-I1021-K1021</f>
        <v>61607</v>
      </c>
      <c r="S1021" s="51" t="n">
        <f aca="false">R1021-Q1021</f>
        <v>-20</v>
      </c>
      <c r="T1021" s="52" t="n">
        <f aca="false">IF(Q1021=0,0,S1021/Q1021)</f>
        <v>-0.000324533078033979</v>
      </c>
      <c r="U1021" s="51" t="str">
        <f aca="false">IF(AND(Q1021&gt;0,T1021&lt;-0.15),"ADVERSE","")</f>
        <v/>
      </c>
    </row>
    <row r="1022" customFormat="false" ht="15" hidden="false" customHeight="false" outlineLevel="0" collapsed="false">
      <c r="A1022" s="47" t="s">
        <v>134</v>
      </c>
      <c r="B1022" s="47" t="s">
        <v>137</v>
      </c>
      <c r="C1022" s="48" t="n">
        <v>45261</v>
      </c>
      <c r="D1022" s="47" t="s">
        <v>37</v>
      </c>
      <c r="E1022" s="47" t="s">
        <v>44</v>
      </c>
      <c r="F1022" s="49" t="n">
        <v>240924</v>
      </c>
      <c r="G1022" s="49" t="n">
        <v>239570</v>
      </c>
      <c r="H1022" s="49" t="n">
        <v>144434</v>
      </c>
      <c r="I1022" s="49" t="n">
        <v>143169</v>
      </c>
      <c r="J1022" s="49" t="n">
        <v>34573</v>
      </c>
      <c r="K1022" s="49" t="n">
        <v>35131</v>
      </c>
      <c r="L1022" s="50" t="n">
        <v>11.6</v>
      </c>
      <c r="M1022" s="51" t="n">
        <f aca="false">G1022-F1022</f>
        <v>-1354</v>
      </c>
      <c r="N1022" s="52" t="n">
        <f aca="false">IF(F1022=0,0,M1022/F1022)</f>
        <v>-0.00562002955288805</v>
      </c>
      <c r="O1022" s="51" t="n">
        <f aca="false">G1022-I1022</f>
        <v>96401</v>
      </c>
      <c r="P1022" s="51" t="n">
        <f aca="false">F1022-H1022</f>
        <v>96490</v>
      </c>
      <c r="Q1022" s="51" t="n">
        <f aca="false">F1022-H1022-J1022</f>
        <v>61917</v>
      </c>
      <c r="R1022" s="51" t="n">
        <f aca="false">G1022-I1022-K1022</f>
        <v>61270</v>
      </c>
      <c r="S1022" s="51" t="n">
        <f aca="false">R1022-Q1022</f>
        <v>-647</v>
      </c>
      <c r="T1022" s="52" t="n">
        <f aca="false">IF(Q1022=0,0,S1022/Q1022)</f>
        <v>-0.01044947268117</v>
      </c>
      <c r="U1022" s="51" t="str">
        <f aca="false">IF(AND(Q1022&gt;0,T1022&lt;-0.15),"ADVERSE","")</f>
        <v/>
      </c>
    </row>
    <row r="1023" customFormat="false" ht="15" hidden="false" customHeight="false" outlineLevel="0" collapsed="false">
      <c r="A1023" s="47" t="s">
        <v>134</v>
      </c>
      <c r="B1023" s="47" t="s">
        <v>138</v>
      </c>
      <c r="C1023" s="48" t="n">
        <v>45292</v>
      </c>
      <c r="D1023" s="47" t="s">
        <v>37</v>
      </c>
      <c r="E1023" s="47" t="s">
        <v>44</v>
      </c>
      <c r="F1023" s="49" t="n">
        <v>234098</v>
      </c>
      <c r="G1023" s="49" t="n">
        <v>239574</v>
      </c>
      <c r="H1023" s="49" t="n">
        <v>140342</v>
      </c>
      <c r="I1023" s="49" t="n">
        <v>141258</v>
      </c>
      <c r="J1023" s="49" t="n">
        <v>33593</v>
      </c>
      <c r="K1023" s="49" t="n">
        <v>34017</v>
      </c>
      <c r="L1023" s="50" t="n">
        <v>11.8</v>
      </c>
      <c r="M1023" s="51" t="n">
        <f aca="false">G1023-F1023</f>
        <v>5476</v>
      </c>
      <c r="N1023" s="52" t="n">
        <f aca="false">IF(F1023=0,0,M1023/F1023)</f>
        <v>0.0233919127886612</v>
      </c>
      <c r="O1023" s="51" t="n">
        <f aca="false">G1023-I1023</f>
        <v>98316</v>
      </c>
      <c r="P1023" s="51" t="n">
        <f aca="false">F1023-H1023</f>
        <v>93756</v>
      </c>
      <c r="Q1023" s="51" t="n">
        <f aca="false">F1023-H1023-J1023</f>
        <v>60163</v>
      </c>
      <c r="R1023" s="51" t="n">
        <f aca="false">G1023-I1023-K1023</f>
        <v>64299</v>
      </c>
      <c r="S1023" s="51" t="n">
        <f aca="false">R1023-Q1023</f>
        <v>4136</v>
      </c>
      <c r="T1023" s="52" t="n">
        <f aca="false">IF(Q1023=0,0,S1023/Q1023)</f>
        <v>0.0687465718132407</v>
      </c>
      <c r="U1023" s="51" t="str">
        <f aca="false">IF(AND(Q1023&gt;0,T1023&lt;-0.15),"ADVERSE","")</f>
        <v/>
      </c>
    </row>
    <row r="1024" customFormat="false" ht="15" hidden="false" customHeight="false" outlineLevel="0" collapsed="false">
      <c r="A1024" s="47" t="s">
        <v>134</v>
      </c>
      <c r="B1024" s="47" t="s">
        <v>138</v>
      </c>
      <c r="C1024" s="48" t="n">
        <v>45323</v>
      </c>
      <c r="D1024" s="47" t="s">
        <v>37</v>
      </c>
      <c r="E1024" s="47" t="s">
        <v>44</v>
      </c>
      <c r="F1024" s="49" t="n">
        <v>235333</v>
      </c>
      <c r="G1024" s="49" t="n">
        <v>245099</v>
      </c>
      <c r="H1024" s="49" t="n">
        <v>141082</v>
      </c>
      <c r="I1024" s="49" t="n">
        <v>143732</v>
      </c>
      <c r="J1024" s="49" t="n">
        <v>33770</v>
      </c>
      <c r="K1024" s="49" t="n">
        <v>34738</v>
      </c>
      <c r="L1024" s="50" t="n">
        <v>12.2</v>
      </c>
      <c r="M1024" s="51" t="n">
        <f aca="false">G1024-F1024</f>
        <v>9766</v>
      </c>
      <c r="N1024" s="52" t="n">
        <f aca="false">IF(F1024=0,0,M1024/F1024)</f>
        <v>0.0414986423493518</v>
      </c>
      <c r="O1024" s="51" t="n">
        <f aca="false">G1024-I1024</f>
        <v>101367</v>
      </c>
      <c r="P1024" s="51" t="n">
        <f aca="false">F1024-H1024</f>
        <v>94251</v>
      </c>
      <c r="Q1024" s="51" t="n">
        <f aca="false">F1024-H1024-J1024</f>
        <v>60481</v>
      </c>
      <c r="R1024" s="51" t="n">
        <f aca="false">G1024-I1024-K1024</f>
        <v>66629</v>
      </c>
      <c r="S1024" s="51" t="n">
        <f aca="false">R1024-Q1024</f>
        <v>6148</v>
      </c>
      <c r="T1024" s="52" t="n">
        <f aca="false">IF(Q1024=0,0,S1024/Q1024)</f>
        <v>0.101651758403466</v>
      </c>
      <c r="U1024" s="51" t="str">
        <f aca="false">IF(AND(Q1024&gt;0,T1024&lt;-0.15),"ADVERSE","")</f>
        <v/>
      </c>
    </row>
    <row r="1025" customFormat="false" ht="15" hidden="false" customHeight="false" outlineLevel="0" collapsed="false">
      <c r="A1025" s="47" t="s">
        <v>134</v>
      </c>
      <c r="B1025" s="47" t="s">
        <v>138</v>
      </c>
      <c r="C1025" s="48" t="n">
        <v>45352</v>
      </c>
      <c r="D1025" s="47" t="s">
        <v>37</v>
      </c>
      <c r="E1025" s="47" t="s">
        <v>44</v>
      </c>
      <c r="F1025" s="49" t="n">
        <v>256283</v>
      </c>
      <c r="G1025" s="49" t="n">
        <v>275119</v>
      </c>
      <c r="H1025" s="49" t="n">
        <v>153642</v>
      </c>
      <c r="I1025" s="49" t="n">
        <v>163218</v>
      </c>
      <c r="J1025" s="49" t="n">
        <v>36777</v>
      </c>
      <c r="K1025" s="49" t="n">
        <v>38284</v>
      </c>
      <c r="L1025" s="50" t="n">
        <v>11.9</v>
      </c>
      <c r="M1025" s="51" t="n">
        <f aca="false">G1025-F1025</f>
        <v>18836</v>
      </c>
      <c r="N1025" s="52" t="n">
        <f aca="false">IF(F1025=0,0,M1025/F1025)</f>
        <v>0.0734968764998069</v>
      </c>
      <c r="O1025" s="51" t="n">
        <f aca="false">G1025-I1025</f>
        <v>111901</v>
      </c>
      <c r="P1025" s="51" t="n">
        <f aca="false">F1025-H1025</f>
        <v>102641</v>
      </c>
      <c r="Q1025" s="51" t="n">
        <f aca="false">F1025-H1025-J1025</f>
        <v>65864</v>
      </c>
      <c r="R1025" s="51" t="n">
        <f aca="false">G1025-I1025-K1025</f>
        <v>73617</v>
      </c>
      <c r="S1025" s="51" t="n">
        <f aca="false">R1025-Q1025</f>
        <v>7753</v>
      </c>
      <c r="T1025" s="52" t="n">
        <f aca="false">IF(Q1025=0,0,S1025/Q1025)</f>
        <v>0.117712255556905</v>
      </c>
      <c r="U1025" s="51" t="str">
        <f aca="false">IF(AND(Q1025&gt;0,T1025&lt;-0.15),"ADVERSE","")</f>
        <v/>
      </c>
    </row>
    <row r="1026" customFormat="false" ht="15" hidden="false" customHeight="false" outlineLevel="0" collapsed="false">
      <c r="A1026" s="47" t="s">
        <v>139</v>
      </c>
      <c r="B1026" s="47" t="s">
        <v>135</v>
      </c>
      <c r="C1026" s="48" t="n">
        <v>45383</v>
      </c>
      <c r="D1026" s="47" t="s">
        <v>37</v>
      </c>
      <c r="E1026" s="47" t="s">
        <v>44</v>
      </c>
      <c r="F1026" s="49" t="n">
        <v>246610</v>
      </c>
      <c r="G1026" s="49" t="n">
        <v>250838</v>
      </c>
      <c r="H1026" s="49" t="n">
        <v>147843</v>
      </c>
      <c r="I1026" s="49" t="n">
        <v>153883</v>
      </c>
      <c r="J1026" s="49" t="n">
        <v>35389</v>
      </c>
      <c r="K1026" s="49" t="n">
        <v>36084</v>
      </c>
      <c r="L1026" s="50" t="n">
        <v>12.3</v>
      </c>
      <c r="M1026" s="51" t="n">
        <f aca="false">G1026-F1026</f>
        <v>4228</v>
      </c>
      <c r="N1026" s="52" t="n">
        <f aca="false">IF(F1026=0,0,M1026/F1026)</f>
        <v>0.0171444791370991</v>
      </c>
      <c r="O1026" s="51" t="n">
        <f aca="false">G1026-I1026</f>
        <v>96955</v>
      </c>
      <c r="P1026" s="51" t="n">
        <f aca="false">F1026-H1026</f>
        <v>98767</v>
      </c>
      <c r="Q1026" s="51" t="n">
        <f aca="false">F1026-H1026-J1026</f>
        <v>63378</v>
      </c>
      <c r="R1026" s="51" t="n">
        <f aca="false">G1026-I1026-K1026</f>
        <v>60871</v>
      </c>
      <c r="S1026" s="51" t="n">
        <f aca="false">R1026-Q1026</f>
        <v>-2507</v>
      </c>
      <c r="T1026" s="52" t="n">
        <f aca="false">IF(Q1026=0,0,S1026/Q1026)</f>
        <v>-0.0395563129161539</v>
      </c>
      <c r="U1026" s="51" t="str">
        <f aca="false">IF(AND(Q1026&gt;0,T1026&lt;-0.15),"ADVERSE","")</f>
        <v/>
      </c>
    </row>
    <row r="1027" customFormat="false" ht="15" hidden="false" customHeight="false" outlineLevel="0" collapsed="false">
      <c r="A1027" s="47" t="s">
        <v>139</v>
      </c>
      <c r="B1027" s="47" t="s">
        <v>135</v>
      </c>
      <c r="C1027" s="48" t="n">
        <v>45413</v>
      </c>
      <c r="D1027" s="47" t="s">
        <v>37</v>
      </c>
      <c r="E1027" s="47" t="s">
        <v>44</v>
      </c>
      <c r="F1027" s="49" t="n">
        <v>243212</v>
      </c>
      <c r="G1027" s="49" t="n">
        <v>257385</v>
      </c>
      <c r="H1027" s="49" t="n">
        <v>145806</v>
      </c>
      <c r="I1027" s="49" t="n">
        <v>151547</v>
      </c>
      <c r="J1027" s="49" t="n">
        <v>34901</v>
      </c>
      <c r="K1027" s="49" t="n">
        <v>37202</v>
      </c>
      <c r="L1027" s="50" t="n">
        <v>12.3</v>
      </c>
      <c r="M1027" s="51" t="n">
        <f aca="false">G1027-F1027</f>
        <v>14173</v>
      </c>
      <c r="N1027" s="52" t="n">
        <f aca="false">IF(F1027=0,0,M1027/F1027)</f>
        <v>0.0582742627830864</v>
      </c>
      <c r="O1027" s="51" t="n">
        <f aca="false">G1027-I1027</f>
        <v>105838</v>
      </c>
      <c r="P1027" s="51" t="n">
        <f aca="false">F1027-H1027</f>
        <v>97406</v>
      </c>
      <c r="Q1027" s="51" t="n">
        <f aca="false">F1027-H1027-J1027</f>
        <v>62505</v>
      </c>
      <c r="R1027" s="51" t="n">
        <f aca="false">G1027-I1027-K1027</f>
        <v>68636</v>
      </c>
      <c r="S1027" s="51" t="n">
        <f aca="false">R1027-Q1027</f>
        <v>6131</v>
      </c>
      <c r="T1027" s="52" t="n">
        <f aca="false">IF(Q1027=0,0,S1027/Q1027)</f>
        <v>0.0980881529477642</v>
      </c>
      <c r="U1027" s="51" t="str">
        <f aca="false">IF(AND(Q1027&gt;0,T1027&lt;-0.15),"ADVERSE","")</f>
        <v/>
      </c>
    </row>
    <row r="1028" customFormat="false" ht="15" hidden="false" customHeight="false" outlineLevel="0" collapsed="false">
      <c r="A1028" s="47" t="s">
        <v>139</v>
      </c>
      <c r="B1028" s="47" t="s">
        <v>135</v>
      </c>
      <c r="C1028" s="48" t="n">
        <v>45444</v>
      </c>
      <c r="D1028" s="47" t="s">
        <v>37</v>
      </c>
      <c r="E1028" s="47" t="s">
        <v>44</v>
      </c>
      <c r="F1028" s="49" t="n">
        <v>254768</v>
      </c>
      <c r="G1028" s="49" t="n">
        <v>252904</v>
      </c>
      <c r="H1028" s="49" t="n">
        <v>152734</v>
      </c>
      <c r="I1028" s="49" t="n">
        <v>149587</v>
      </c>
      <c r="J1028" s="49" t="n">
        <v>36559</v>
      </c>
      <c r="K1028" s="49" t="n">
        <v>39476</v>
      </c>
      <c r="L1028" s="50" t="n">
        <v>12</v>
      </c>
      <c r="M1028" s="51" t="n">
        <f aca="false">G1028-F1028</f>
        <v>-1864</v>
      </c>
      <c r="N1028" s="52" t="n">
        <f aca="false">IF(F1028=0,0,M1028/F1028)</f>
        <v>-0.00731646046599259</v>
      </c>
      <c r="O1028" s="51" t="n">
        <f aca="false">G1028-I1028</f>
        <v>103317</v>
      </c>
      <c r="P1028" s="51" t="n">
        <f aca="false">F1028-H1028</f>
        <v>102034</v>
      </c>
      <c r="Q1028" s="51" t="n">
        <f aca="false">F1028-H1028-J1028</f>
        <v>65475</v>
      </c>
      <c r="R1028" s="51" t="n">
        <f aca="false">G1028-I1028-K1028</f>
        <v>63841</v>
      </c>
      <c r="S1028" s="51" t="n">
        <f aca="false">R1028-Q1028</f>
        <v>-1634</v>
      </c>
      <c r="T1028" s="52" t="n">
        <f aca="false">IF(Q1028=0,0,S1028/Q1028)</f>
        <v>-0.0249560901107293</v>
      </c>
      <c r="U1028" s="51" t="str">
        <f aca="false">IF(AND(Q1028&gt;0,T1028&lt;-0.15),"ADVERSE","")</f>
        <v/>
      </c>
    </row>
    <row r="1029" customFormat="false" ht="15" hidden="false" customHeight="false" outlineLevel="0" collapsed="false">
      <c r="A1029" s="47" t="s">
        <v>139</v>
      </c>
      <c r="B1029" s="47" t="s">
        <v>136</v>
      </c>
      <c r="C1029" s="48" t="n">
        <v>45474</v>
      </c>
      <c r="D1029" s="47" t="s">
        <v>37</v>
      </c>
      <c r="E1029" s="47" t="s">
        <v>44</v>
      </c>
      <c r="F1029" s="49" t="n">
        <v>253214</v>
      </c>
      <c r="G1029" s="49" t="n">
        <v>249983</v>
      </c>
      <c r="H1029" s="49" t="n">
        <v>151802</v>
      </c>
      <c r="I1029" s="49" t="n">
        <v>148851</v>
      </c>
      <c r="J1029" s="49" t="n">
        <v>36336</v>
      </c>
      <c r="K1029" s="49" t="n">
        <v>33934</v>
      </c>
      <c r="L1029" s="50" t="n">
        <v>12</v>
      </c>
      <c r="M1029" s="51" t="n">
        <f aca="false">G1029-F1029</f>
        <v>-3231</v>
      </c>
      <c r="N1029" s="52" t="n">
        <f aca="false">IF(F1029=0,0,M1029/F1029)</f>
        <v>-0.0127599579802065</v>
      </c>
      <c r="O1029" s="51" t="n">
        <f aca="false">G1029-I1029</f>
        <v>101132</v>
      </c>
      <c r="P1029" s="51" t="n">
        <f aca="false">F1029-H1029</f>
        <v>101412</v>
      </c>
      <c r="Q1029" s="51" t="n">
        <f aca="false">F1029-H1029-J1029</f>
        <v>65076</v>
      </c>
      <c r="R1029" s="51" t="n">
        <f aca="false">G1029-I1029-K1029</f>
        <v>67198</v>
      </c>
      <c r="S1029" s="51" t="n">
        <f aca="false">R1029-Q1029</f>
        <v>2122</v>
      </c>
      <c r="T1029" s="52" t="n">
        <f aca="false">IF(Q1029=0,0,S1029/Q1029)</f>
        <v>0.0326080275370336</v>
      </c>
      <c r="U1029" s="51" t="str">
        <f aca="false">IF(AND(Q1029&gt;0,T1029&lt;-0.15),"ADVERSE","")</f>
        <v/>
      </c>
    </row>
    <row r="1030" customFormat="false" ht="15" hidden="false" customHeight="false" outlineLevel="0" collapsed="false">
      <c r="A1030" s="47" t="s">
        <v>139</v>
      </c>
      <c r="B1030" s="47" t="s">
        <v>136</v>
      </c>
      <c r="C1030" s="48" t="n">
        <v>45505</v>
      </c>
      <c r="D1030" s="47" t="s">
        <v>37</v>
      </c>
      <c r="E1030" s="47" t="s">
        <v>44</v>
      </c>
      <c r="F1030" s="49" t="n">
        <v>249093</v>
      </c>
      <c r="G1030" s="49" t="n">
        <v>229041</v>
      </c>
      <c r="H1030" s="49" t="n">
        <v>149331</v>
      </c>
      <c r="I1030" s="49" t="n">
        <v>138567</v>
      </c>
      <c r="J1030" s="49" t="n">
        <v>35745</v>
      </c>
      <c r="K1030" s="49" t="n">
        <v>32453</v>
      </c>
      <c r="L1030" s="50" t="n">
        <v>12.1</v>
      </c>
      <c r="M1030" s="51" t="n">
        <f aca="false">G1030-F1030</f>
        <v>-20052</v>
      </c>
      <c r="N1030" s="52" t="n">
        <f aca="false">IF(F1030=0,0,M1030/F1030)</f>
        <v>-0.0805000541966254</v>
      </c>
      <c r="O1030" s="51" t="n">
        <f aca="false">G1030-I1030</f>
        <v>90474</v>
      </c>
      <c r="P1030" s="51" t="n">
        <f aca="false">F1030-H1030</f>
        <v>99762</v>
      </c>
      <c r="Q1030" s="51" t="n">
        <f aca="false">F1030-H1030-J1030</f>
        <v>64017</v>
      </c>
      <c r="R1030" s="51" t="n">
        <f aca="false">G1030-I1030-K1030</f>
        <v>58021</v>
      </c>
      <c r="S1030" s="51" t="n">
        <f aca="false">R1030-Q1030</f>
        <v>-5996</v>
      </c>
      <c r="T1030" s="52" t="n">
        <f aca="false">IF(Q1030=0,0,S1030/Q1030)</f>
        <v>-0.0936626208663324</v>
      </c>
      <c r="U1030" s="51" t="str">
        <f aca="false">IF(AND(Q1030&gt;0,T1030&lt;-0.15),"ADVERSE","")</f>
        <v/>
      </c>
    </row>
    <row r="1031" customFormat="false" ht="15" hidden="false" customHeight="false" outlineLevel="0" collapsed="false">
      <c r="A1031" s="47" t="s">
        <v>139</v>
      </c>
      <c r="B1031" s="47" t="s">
        <v>136</v>
      </c>
      <c r="C1031" s="48" t="n">
        <v>45536</v>
      </c>
      <c r="D1031" s="47" t="s">
        <v>37</v>
      </c>
      <c r="E1031" s="47" t="s">
        <v>44</v>
      </c>
      <c r="F1031" s="49" t="n">
        <v>250134</v>
      </c>
      <c r="G1031" s="49" t="n">
        <v>268034</v>
      </c>
      <c r="H1031" s="49" t="n">
        <v>149955</v>
      </c>
      <c r="I1031" s="49" t="n">
        <v>162835</v>
      </c>
      <c r="J1031" s="49" t="n">
        <v>35894</v>
      </c>
      <c r="K1031" s="49" t="n">
        <v>41025</v>
      </c>
      <c r="L1031" s="50" t="n">
        <v>12.4</v>
      </c>
      <c r="M1031" s="51" t="n">
        <f aca="false">G1031-F1031</f>
        <v>17900</v>
      </c>
      <c r="N1031" s="52" t="n">
        <f aca="false">IF(F1031=0,0,M1031/F1031)</f>
        <v>0.0715616429593738</v>
      </c>
      <c r="O1031" s="51" t="n">
        <f aca="false">G1031-I1031</f>
        <v>105199</v>
      </c>
      <c r="P1031" s="51" t="n">
        <f aca="false">F1031-H1031</f>
        <v>100179</v>
      </c>
      <c r="Q1031" s="51" t="n">
        <f aca="false">F1031-H1031-J1031</f>
        <v>64285</v>
      </c>
      <c r="R1031" s="51" t="n">
        <f aca="false">G1031-I1031-K1031</f>
        <v>64174</v>
      </c>
      <c r="S1031" s="51" t="n">
        <f aca="false">R1031-Q1031</f>
        <v>-111</v>
      </c>
      <c r="T1031" s="52" t="n">
        <f aca="false">IF(Q1031=0,0,S1031/Q1031)</f>
        <v>-0.00172668585206502</v>
      </c>
      <c r="U1031" s="51" t="str">
        <f aca="false">IF(AND(Q1031&gt;0,T1031&lt;-0.15),"ADVERSE","")</f>
        <v/>
      </c>
    </row>
    <row r="1032" customFormat="false" ht="15" hidden="false" customHeight="false" outlineLevel="0" collapsed="false">
      <c r="A1032" s="47" t="s">
        <v>139</v>
      </c>
      <c r="B1032" s="47" t="s">
        <v>137</v>
      </c>
      <c r="C1032" s="48" t="n">
        <v>45566</v>
      </c>
      <c r="D1032" s="47" t="s">
        <v>37</v>
      </c>
      <c r="E1032" s="47" t="s">
        <v>44</v>
      </c>
      <c r="F1032" s="49" t="n">
        <v>263784</v>
      </c>
      <c r="G1032" s="49" t="n">
        <v>264729</v>
      </c>
      <c r="H1032" s="49" t="n">
        <v>158138</v>
      </c>
      <c r="I1032" s="49" t="n">
        <v>158608</v>
      </c>
      <c r="J1032" s="49" t="n">
        <v>37853</v>
      </c>
      <c r="K1032" s="49" t="n">
        <v>40194</v>
      </c>
      <c r="L1032" s="50" t="n">
        <v>12.2</v>
      </c>
      <c r="M1032" s="51" t="n">
        <f aca="false">G1032-F1032</f>
        <v>945</v>
      </c>
      <c r="N1032" s="52" t="n">
        <f aca="false">IF(F1032=0,0,M1032/F1032)</f>
        <v>0.00358247657174052</v>
      </c>
      <c r="O1032" s="51" t="n">
        <f aca="false">G1032-I1032</f>
        <v>106121</v>
      </c>
      <c r="P1032" s="51" t="n">
        <f aca="false">F1032-H1032</f>
        <v>105646</v>
      </c>
      <c r="Q1032" s="51" t="n">
        <f aca="false">F1032-H1032-J1032</f>
        <v>67793</v>
      </c>
      <c r="R1032" s="51" t="n">
        <f aca="false">G1032-I1032-K1032</f>
        <v>65927</v>
      </c>
      <c r="S1032" s="51" t="n">
        <f aca="false">R1032-Q1032</f>
        <v>-1866</v>
      </c>
      <c r="T1032" s="52" t="n">
        <f aca="false">IF(Q1032=0,0,S1032/Q1032)</f>
        <v>-0.0275249657044238</v>
      </c>
      <c r="U1032" s="51" t="str">
        <f aca="false">IF(AND(Q1032&gt;0,T1032&lt;-0.15),"ADVERSE","")</f>
        <v/>
      </c>
    </row>
    <row r="1033" customFormat="false" ht="15" hidden="false" customHeight="false" outlineLevel="0" collapsed="false">
      <c r="A1033" s="47" t="s">
        <v>139</v>
      </c>
      <c r="B1033" s="47" t="s">
        <v>137</v>
      </c>
      <c r="C1033" s="48" t="n">
        <v>45597</v>
      </c>
      <c r="D1033" s="47" t="s">
        <v>37</v>
      </c>
      <c r="E1033" s="47" t="s">
        <v>44</v>
      </c>
      <c r="F1033" s="49" t="n">
        <v>263271</v>
      </c>
      <c r="G1033" s="49" t="n">
        <v>280549</v>
      </c>
      <c r="H1033" s="49" t="n">
        <v>157831</v>
      </c>
      <c r="I1033" s="49" t="n">
        <v>168081</v>
      </c>
      <c r="J1033" s="49" t="n">
        <v>37779</v>
      </c>
      <c r="K1033" s="49" t="n">
        <v>42716</v>
      </c>
      <c r="L1033" s="50" t="n">
        <v>12.5</v>
      </c>
      <c r="M1033" s="51" t="n">
        <f aca="false">G1033-F1033</f>
        <v>17278</v>
      </c>
      <c r="N1033" s="52" t="n">
        <f aca="false">IF(F1033=0,0,M1033/F1033)</f>
        <v>0.0656281930026475</v>
      </c>
      <c r="O1033" s="51" t="n">
        <f aca="false">G1033-I1033</f>
        <v>112468</v>
      </c>
      <c r="P1033" s="51" t="n">
        <f aca="false">F1033-H1033</f>
        <v>105440</v>
      </c>
      <c r="Q1033" s="51" t="n">
        <f aca="false">F1033-H1033-J1033</f>
        <v>67661</v>
      </c>
      <c r="R1033" s="51" t="n">
        <f aca="false">G1033-I1033-K1033</f>
        <v>69752</v>
      </c>
      <c r="S1033" s="51" t="n">
        <f aca="false">R1033-Q1033</f>
        <v>2091</v>
      </c>
      <c r="T1033" s="52" t="n">
        <f aca="false">IF(Q1033=0,0,S1033/Q1033)</f>
        <v>0.0309040658577319</v>
      </c>
      <c r="U1033" s="51" t="str">
        <f aca="false">IF(AND(Q1033&gt;0,T1033&lt;-0.15),"ADVERSE","")</f>
        <v/>
      </c>
    </row>
    <row r="1034" customFormat="false" ht="15" hidden="false" customHeight="false" outlineLevel="0" collapsed="false">
      <c r="A1034" s="47" t="s">
        <v>139</v>
      </c>
      <c r="B1034" s="47" t="s">
        <v>137</v>
      </c>
      <c r="C1034" s="48" t="n">
        <v>45627</v>
      </c>
      <c r="D1034" s="47" t="s">
        <v>37</v>
      </c>
      <c r="E1034" s="47" t="s">
        <v>44</v>
      </c>
      <c r="F1034" s="49" t="n">
        <v>254881</v>
      </c>
      <c r="G1034" s="49" t="n">
        <v>256627</v>
      </c>
      <c r="H1034" s="49" t="n">
        <v>152801</v>
      </c>
      <c r="I1034" s="49" t="n">
        <v>151452</v>
      </c>
      <c r="J1034" s="49" t="n">
        <v>36575</v>
      </c>
      <c r="K1034" s="49" t="n">
        <v>36195</v>
      </c>
      <c r="L1034" s="50" t="n">
        <v>12.4</v>
      </c>
      <c r="M1034" s="51" t="n">
        <f aca="false">G1034-F1034</f>
        <v>1746</v>
      </c>
      <c r="N1034" s="52" t="n">
        <f aca="false">IF(F1034=0,0,M1034/F1034)</f>
        <v>0.0068502556094805</v>
      </c>
      <c r="O1034" s="51" t="n">
        <f aca="false">G1034-I1034</f>
        <v>105175</v>
      </c>
      <c r="P1034" s="51" t="n">
        <f aca="false">F1034-H1034</f>
        <v>102080</v>
      </c>
      <c r="Q1034" s="51" t="n">
        <f aca="false">F1034-H1034-J1034</f>
        <v>65505</v>
      </c>
      <c r="R1034" s="51" t="n">
        <f aca="false">G1034-I1034-K1034</f>
        <v>68980</v>
      </c>
      <c r="S1034" s="51" t="n">
        <f aca="false">R1034-Q1034</f>
        <v>3475</v>
      </c>
      <c r="T1034" s="52" t="n">
        <f aca="false">IF(Q1034=0,0,S1034/Q1034)</f>
        <v>0.0530493855430883</v>
      </c>
      <c r="U1034" s="51" t="str">
        <f aca="false">IF(AND(Q1034&gt;0,T1034&lt;-0.15),"ADVERSE","")</f>
        <v/>
      </c>
    </row>
    <row r="1035" customFormat="false" ht="15" hidden="false" customHeight="false" outlineLevel="0" collapsed="false">
      <c r="A1035" s="47" t="s">
        <v>139</v>
      </c>
      <c r="B1035" s="47" t="s">
        <v>138</v>
      </c>
      <c r="C1035" s="48" t="n">
        <v>45658</v>
      </c>
      <c r="D1035" s="47" t="s">
        <v>37</v>
      </c>
      <c r="E1035" s="47" t="s">
        <v>44</v>
      </c>
      <c r="F1035" s="49" t="n">
        <v>257386</v>
      </c>
      <c r="G1035" s="49" t="n">
        <v>251590</v>
      </c>
      <c r="H1035" s="49" t="n">
        <v>154303</v>
      </c>
      <c r="I1035" s="49" t="n">
        <v>151016</v>
      </c>
      <c r="J1035" s="49" t="n">
        <v>36935</v>
      </c>
      <c r="K1035" s="49" t="n">
        <v>36762</v>
      </c>
      <c r="L1035" s="50" t="n">
        <v>12.3</v>
      </c>
      <c r="M1035" s="51" t="n">
        <f aca="false">G1035-F1035</f>
        <v>-5796</v>
      </c>
      <c r="N1035" s="52" t="n">
        <f aca="false">IF(F1035=0,0,M1035/F1035)</f>
        <v>-0.022518707311198</v>
      </c>
      <c r="O1035" s="51" t="n">
        <f aca="false">G1035-I1035</f>
        <v>100574</v>
      </c>
      <c r="P1035" s="51" t="n">
        <f aca="false">F1035-H1035</f>
        <v>103083</v>
      </c>
      <c r="Q1035" s="51" t="n">
        <f aca="false">F1035-H1035-J1035</f>
        <v>66148</v>
      </c>
      <c r="R1035" s="51" t="n">
        <f aca="false">G1035-I1035-K1035</f>
        <v>63812</v>
      </c>
      <c r="S1035" s="51" t="n">
        <f aca="false">R1035-Q1035</f>
        <v>-2336</v>
      </c>
      <c r="T1035" s="52" t="n">
        <f aca="false">IF(Q1035=0,0,S1035/Q1035)</f>
        <v>-0.035314748745238</v>
      </c>
      <c r="U1035" s="51" t="str">
        <f aca="false">IF(AND(Q1035&gt;0,T1035&lt;-0.15),"ADVERSE","")</f>
        <v/>
      </c>
    </row>
    <row r="1036" customFormat="false" ht="15" hidden="false" customHeight="false" outlineLevel="0" collapsed="false">
      <c r="A1036" s="47" t="s">
        <v>139</v>
      </c>
      <c r="B1036" s="47" t="s">
        <v>138</v>
      </c>
      <c r="C1036" s="48" t="n">
        <v>45689</v>
      </c>
      <c r="D1036" s="47" t="s">
        <v>37</v>
      </c>
      <c r="E1036" s="47" t="s">
        <v>44</v>
      </c>
      <c r="F1036" s="49" t="n">
        <v>252256</v>
      </c>
      <c r="G1036" s="49" t="n">
        <v>269842</v>
      </c>
      <c r="H1036" s="49" t="n">
        <v>151228</v>
      </c>
      <c r="I1036" s="49" t="n">
        <v>162579</v>
      </c>
      <c r="J1036" s="49" t="n">
        <v>36199</v>
      </c>
      <c r="K1036" s="49" t="n">
        <v>39089</v>
      </c>
      <c r="L1036" s="50" t="n">
        <v>12.5</v>
      </c>
      <c r="M1036" s="51" t="n">
        <f aca="false">G1036-F1036</f>
        <v>17586</v>
      </c>
      <c r="N1036" s="52" t="n">
        <f aca="false">IF(F1036=0,0,M1036/F1036)</f>
        <v>0.0697148928073069</v>
      </c>
      <c r="O1036" s="51" t="n">
        <f aca="false">G1036-I1036</f>
        <v>107263</v>
      </c>
      <c r="P1036" s="51" t="n">
        <f aca="false">F1036-H1036</f>
        <v>101028</v>
      </c>
      <c r="Q1036" s="51" t="n">
        <f aca="false">F1036-H1036-J1036</f>
        <v>64829</v>
      </c>
      <c r="R1036" s="51" t="n">
        <f aca="false">G1036-I1036-K1036</f>
        <v>68174</v>
      </c>
      <c r="S1036" s="51" t="n">
        <f aca="false">R1036-Q1036</f>
        <v>3345</v>
      </c>
      <c r="T1036" s="52" t="n">
        <f aca="false">IF(Q1036=0,0,S1036/Q1036)</f>
        <v>0.0515972789955113</v>
      </c>
      <c r="U1036" s="51" t="str">
        <f aca="false">IF(AND(Q1036&gt;0,T1036&lt;-0.15),"ADVERSE","")</f>
        <v/>
      </c>
    </row>
    <row r="1037" customFormat="false" ht="15" hidden="false" customHeight="false" outlineLevel="0" collapsed="false">
      <c r="A1037" s="47" t="s">
        <v>139</v>
      </c>
      <c r="B1037" s="47" t="s">
        <v>138</v>
      </c>
      <c r="C1037" s="48" t="n">
        <v>45717</v>
      </c>
      <c r="D1037" s="47" t="s">
        <v>37</v>
      </c>
      <c r="E1037" s="47" t="s">
        <v>44</v>
      </c>
      <c r="F1037" s="49" t="n">
        <v>276969</v>
      </c>
      <c r="G1037" s="49" t="n">
        <v>279831</v>
      </c>
      <c r="H1037" s="49" t="n">
        <v>166043</v>
      </c>
      <c r="I1037" s="49" t="n">
        <v>165660</v>
      </c>
      <c r="J1037" s="49" t="n">
        <v>39745</v>
      </c>
      <c r="K1037" s="49" t="n">
        <v>42420</v>
      </c>
      <c r="L1037" s="50" t="n">
        <v>12.8</v>
      </c>
      <c r="M1037" s="51" t="n">
        <f aca="false">G1037-F1037</f>
        <v>2862</v>
      </c>
      <c r="N1037" s="52" t="n">
        <f aca="false">IF(F1037=0,0,M1037/F1037)</f>
        <v>0.0103332863966726</v>
      </c>
      <c r="O1037" s="51" t="n">
        <f aca="false">G1037-I1037</f>
        <v>114171</v>
      </c>
      <c r="P1037" s="51" t="n">
        <f aca="false">F1037-H1037</f>
        <v>110926</v>
      </c>
      <c r="Q1037" s="51" t="n">
        <f aca="false">F1037-H1037-J1037</f>
        <v>71181</v>
      </c>
      <c r="R1037" s="51" t="n">
        <f aca="false">G1037-I1037-K1037</f>
        <v>71751</v>
      </c>
      <c r="S1037" s="51" t="n">
        <f aca="false">R1037-Q1037</f>
        <v>570</v>
      </c>
      <c r="T1037" s="52" t="n">
        <f aca="false">IF(Q1037=0,0,S1037/Q1037)</f>
        <v>0.00800775487840856</v>
      </c>
      <c r="U1037" s="51" t="str">
        <f aca="false">IF(AND(Q1037&gt;0,T1037&lt;-0.15),"ADVERSE","")</f>
        <v/>
      </c>
    </row>
    <row r="1038" customFormat="false" ht="15" hidden="false" customHeight="false" outlineLevel="0" collapsed="false">
      <c r="A1038" s="47" t="s">
        <v>3</v>
      </c>
      <c r="B1038" s="47" t="s">
        <v>135</v>
      </c>
      <c r="C1038" s="48" t="n">
        <v>45748</v>
      </c>
      <c r="D1038" s="47" t="s">
        <v>37</v>
      </c>
      <c r="E1038" s="47" t="s">
        <v>44</v>
      </c>
      <c r="F1038" s="49" t="n">
        <v>270449</v>
      </c>
      <c r="G1038" s="49" t="n">
        <v>271041</v>
      </c>
      <c r="H1038" s="49" t="n">
        <v>162134</v>
      </c>
      <c r="I1038" s="49" t="n">
        <v>163148</v>
      </c>
      <c r="J1038" s="49" t="n">
        <v>38809</v>
      </c>
      <c r="K1038" s="49" t="n">
        <v>35754</v>
      </c>
      <c r="L1038" s="50" t="n">
        <v>12.4</v>
      </c>
      <c r="M1038" s="51" t="n">
        <f aca="false">G1038-F1038</f>
        <v>592</v>
      </c>
      <c r="N1038" s="52" t="n">
        <f aca="false">IF(F1038=0,0,M1038/F1038)</f>
        <v>0.00218895244574763</v>
      </c>
      <c r="O1038" s="51" t="n">
        <f aca="false">G1038-I1038</f>
        <v>107893</v>
      </c>
      <c r="P1038" s="51" t="n">
        <f aca="false">F1038-H1038</f>
        <v>108315</v>
      </c>
      <c r="Q1038" s="51" t="n">
        <f aca="false">F1038-H1038-J1038</f>
        <v>69506</v>
      </c>
      <c r="R1038" s="51" t="n">
        <f aca="false">G1038-I1038-K1038</f>
        <v>72139</v>
      </c>
      <c r="S1038" s="51" t="n">
        <f aca="false">R1038-Q1038</f>
        <v>2633</v>
      </c>
      <c r="T1038" s="52" t="n">
        <f aca="false">IF(Q1038=0,0,S1038/Q1038)</f>
        <v>0.0378816217304981</v>
      </c>
      <c r="U1038" s="51" t="str">
        <f aca="false">IF(AND(Q1038&gt;0,T1038&lt;-0.15),"ADVERSE","")</f>
        <v/>
      </c>
    </row>
    <row r="1039" customFormat="false" ht="15" hidden="false" customHeight="false" outlineLevel="0" collapsed="false">
      <c r="A1039" s="47" t="s">
        <v>3</v>
      </c>
      <c r="B1039" s="47" t="s">
        <v>135</v>
      </c>
      <c r="C1039" s="48" t="n">
        <v>45778</v>
      </c>
      <c r="D1039" s="47" t="s">
        <v>37</v>
      </c>
      <c r="E1039" s="47" t="s">
        <v>44</v>
      </c>
      <c r="F1039" s="49" t="n">
        <v>259954</v>
      </c>
      <c r="G1039" s="49" t="n">
        <v>268006</v>
      </c>
      <c r="H1039" s="49" t="n">
        <v>155842</v>
      </c>
      <c r="I1039" s="49" t="n">
        <v>161241</v>
      </c>
      <c r="J1039" s="49" t="n">
        <v>37303</v>
      </c>
      <c r="K1039" s="49" t="n">
        <v>39503</v>
      </c>
      <c r="L1039" s="50" t="n">
        <v>12.7</v>
      </c>
      <c r="M1039" s="51" t="n">
        <f aca="false">G1039-F1039</f>
        <v>8052</v>
      </c>
      <c r="N1039" s="52" t="n">
        <f aca="false">IF(F1039=0,0,M1039/F1039)</f>
        <v>0.0309747109103918</v>
      </c>
      <c r="O1039" s="51" t="n">
        <f aca="false">G1039-I1039</f>
        <v>106765</v>
      </c>
      <c r="P1039" s="51" t="n">
        <f aca="false">F1039-H1039</f>
        <v>104112</v>
      </c>
      <c r="Q1039" s="51" t="n">
        <f aca="false">F1039-H1039-J1039</f>
        <v>66809</v>
      </c>
      <c r="R1039" s="51" t="n">
        <f aca="false">G1039-I1039-K1039</f>
        <v>67262</v>
      </c>
      <c r="S1039" s="51" t="n">
        <f aca="false">R1039-Q1039</f>
        <v>453</v>
      </c>
      <c r="T1039" s="52" t="n">
        <f aca="false">IF(Q1039=0,0,S1039/Q1039)</f>
        <v>0.00678052358215211</v>
      </c>
      <c r="U1039" s="51" t="str">
        <f aca="false">IF(AND(Q1039&gt;0,T1039&lt;-0.15),"ADVERSE","")</f>
        <v/>
      </c>
    </row>
    <row r="1040" customFormat="false" ht="15" hidden="false" customHeight="false" outlineLevel="0" collapsed="false">
      <c r="A1040" s="47" t="s">
        <v>3</v>
      </c>
      <c r="B1040" s="47" t="s">
        <v>135</v>
      </c>
      <c r="C1040" s="48" t="n">
        <v>45809</v>
      </c>
      <c r="D1040" s="47" t="s">
        <v>37</v>
      </c>
      <c r="E1040" s="47" t="s">
        <v>44</v>
      </c>
      <c r="F1040" s="49" t="n">
        <v>272288</v>
      </c>
      <c r="G1040" s="49" t="n">
        <v>260104</v>
      </c>
      <c r="H1040" s="49" t="n">
        <v>163237</v>
      </c>
      <c r="I1040" s="49" t="n">
        <v>155500</v>
      </c>
      <c r="J1040" s="49" t="n">
        <v>39073</v>
      </c>
      <c r="K1040" s="49" t="n">
        <v>38177</v>
      </c>
      <c r="L1040" s="50" t="n">
        <v>12.6</v>
      </c>
      <c r="M1040" s="51" t="n">
        <f aca="false">G1040-F1040</f>
        <v>-12184</v>
      </c>
      <c r="N1040" s="52" t="n">
        <f aca="false">IF(F1040=0,0,M1040/F1040)</f>
        <v>-0.0447467387472088</v>
      </c>
      <c r="O1040" s="51" t="n">
        <f aca="false">G1040-I1040</f>
        <v>104604</v>
      </c>
      <c r="P1040" s="51" t="n">
        <f aca="false">F1040-H1040</f>
        <v>109051</v>
      </c>
      <c r="Q1040" s="51" t="n">
        <f aca="false">F1040-H1040-J1040</f>
        <v>69978</v>
      </c>
      <c r="R1040" s="51" t="n">
        <f aca="false">G1040-I1040-K1040</f>
        <v>66427</v>
      </c>
      <c r="S1040" s="51" t="n">
        <f aca="false">R1040-Q1040</f>
        <v>-3551</v>
      </c>
      <c r="T1040" s="52" t="n">
        <f aca="false">IF(Q1040=0,0,S1040/Q1040)</f>
        <v>-0.0507445197061934</v>
      </c>
      <c r="U1040" s="51" t="str">
        <f aca="false">IF(AND(Q1040&gt;0,T1040&lt;-0.15),"ADVERSE","")</f>
        <v/>
      </c>
    </row>
    <row r="1041" customFormat="false" ht="15" hidden="false" customHeight="false" outlineLevel="0" collapsed="false">
      <c r="A1041" s="47" t="s">
        <v>3</v>
      </c>
      <c r="B1041" s="47" t="s">
        <v>136</v>
      </c>
      <c r="C1041" s="48" t="n">
        <v>45839</v>
      </c>
      <c r="D1041" s="47" t="s">
        <v>37</v>
      </c>
      <c r="E1041" s="47" t="s">
        <v>44</v>
      </c>
      <c r="F1041" s="49" t="n">
        <v>284239</v>
      </c>
      <c r="G1041" s="49" t="n">
        <v>257598</v>
      </c>
      <c r="H1041" s="49" t="n">
        <v>170401</v>
      </c>
      <c r="I1041" s="49" t="n">
        <v>155352</v>
      </c>
      <c r="J1041" s="49" t="n">
        <v>40788</v>
      </c>
      <c r="K1041" s="49" t="n">
        <v>37093</v>
      </c>
      <c r="L1041" s="50" t="n">
        <v>12.6</v>
      </c>
      <c r="M1041" s="51" t="n">
        <f aca="false">G1041-F1041</f>
        <v>-26641</v>
      </c>
      <c r="N1041" s="52" t="n">
        <f aca="false">IF(F1041=0,0,M1041/F1041)</f>
        <v>-0.0937274617487396</v>
      </c>
      <c r="O1041" s="51" t="n">
        <f aca="false">G1041-I1041</f>
        <v>102246</v>
      </c>
      <c r="P1041" s="51" t="n">
        <f aca="false">F1041-H1041</f>
        <v>113838</v>
      </c>
      <c r="Q1041" s="51" t="n">
        <f aca="false">F1041-H1041-J1041</f>
        <v>73050</v>
      </c>
      <c r="R1041" s="51" t="n">
        <f aca="false">G1041-I1041-K1041</f>
        <v>65153</v>
      </c>
      <c r="S1041" s="51" t="n">
        <f aca="false">R1041-Q1041</f>
        <v>-7897</v>
      </c>
      <c r="T1041" s="52" t="n">
        <f aca="false">IF(Q1041=0,0,S1041/Q1041)</f>
        <v>-0.108104038329911</v>
      </c>
      <c r="U1041" s="51" t="str">
        <f aca="false">IF(AND(Q1041&gt;0,T1041&lt;-0.15),"ADVERSE","")</f>
        <v/>
      </c>
    </row>
    <row r="1042" customFormat="false" ht="15" hidden="false" customHeight="false" outlineLevel="0" collapsed="false">
      <c r="A1042" s="47" t="s">
        <v>3</v>
      </c>
      <c r="B1042" s="47" t="s">
        <v>136</v>
      </c>
      <c r="C1042" s="48" t="n">
        <v>45870</v>
      </c>
      <c r="D1042" s="47" t="s">
        <v>37</v>
      </c>
      <c r="E1042" s="47" t="s">
        <v>44</v>
      </c>
      <c r="F1042" s="49" t="n">
        <v>269115</v>
      </c>
      <c r="G1042" s="49" t="n">
        <v>271588</v>
      </c>
      <c r="H1042" s="49" t="n">
        <v>161335</v>
      </c>
      <c r="I1042" s="49" t="n">
        <v>164017</v>
      </c>
      <c r="J1042" s="49" t="n">
        <v>38618</v>
      </c>
      <c r="K1042" s="49" t="n">
        <v>37061</v>
      </c>
      <c r="L1042" s="50" t="n">
        <v>12.4</v>
      </c>
      <c r="M1042" s="51" t="n">
        <f aca="false">G1042-F1042</f>
        <v>2473</v>
      </c>
      <c r="N1042" s="52" t="n">
        <f aca="false">IF(F1042=0,0,M1042/F1042)</f>
        <v>0.00918938000483065</v>
      </c>
      <c r="O1042" s="51" t="n">
        <f aca="false">G1042-I1042</f>
        <v>107571</v>
      </c>
      <c r="P1042" s="51" t="n">
        <f aca="false">F1042-H1042</f>
        <v>107780</v>
      </c>
      <c r="Q1042" s="51" t="n">
        <f aca="false">F1042-H1042-J1042</f>
        <v>69162</v>
      </c>
      <c r="R1042" s="51" t="n">
        <f aca="false">G1042-I1042-K1042</f>
        <v>70510</v>
      </c>
      <c r="S1042" s="51" t="n">
        <f aca="false">R1042-Q1042</f>
        <v>1348</v>
      </c>
      <c r="T1042" s="52" t="n">
        <f aca="false">IF(Q1042=0,0,S1042/Q1042)</f>
        <v>0.0194904716462797</v>
      </c>
      <c r="U1042" s="51" t="str">
        <f aca="false">IF(AND(Q1042&gt;0,T1042&lt;-0.15),"ADVERSE","")</f>
        <v/>
      </c>
    </row>
    <row r="1043" customFormat="false" ht="15" hidden="false" customHeight="false" outlineLevel="0" collapsed="false">
      <c r="A1043" s="47" t="s">
        <v>3</v>
      </c>
      <c r="B1043" s="47" t="s">
        <v>136</v>
      </c>
      <c r="C1043" s="48" t="n">
        <v>45901</v>
      </c>
      <c r="D1043" s="47" t="s">
        <v>37</v>
      </c>
      <c r="E1043" s="47" t="s">
        <v>44</v>
      </c>
      <c r="F1043" s="49" t="n">
        <v>276388</v>
      </c>
      <c r="G1043" s="49" t="n">
        <v>283901</v>
      </c>
      <c r="H1043" s="49" t="n">
        <v>165694</v>
      </c>
      <c r="I1043" s="49" t="n">
        <v>171116</v>
      </c>
      <c r="J1043" s="49" t="n">
        <v>39662</v>
      </c>
      <c r="K1043" s="49" t="n">
        <v>43241</v>
      </c>
      <c r="L1043" s="50" t="n">
        <v>12.8</v>
      </c>
      <c r="M1043" s="51" t="n">
        <f aca="false">G1043-F1043</f>
        <v>7513</v>
      </c>
      <c r="N1043" s="52" t="n">
        <f aca="false">IF(F1043=0,0,M1043/F1043)</f>
        <v>0.0271828009899127</v>
      </c>
      <c r="O1043" s="51" t="n">
        <f aca="false">G1043-I1043</f>
        <v>112785</v>
      </c>
      <c r="P1043" s="51" t="n">
        <f aca="false">F1043-H1043</f>
        <v>110694</v>
      </c>
      <c r="Q1043" s="51" t="n">
        <f aca="false">F1043-H1043-J1043</f>
        <v>71032</v>
      </c>
      <c r="R1043" s="51" t="n">
        <f aca="false">G1043-I1043-K1043</f>
        <v>69544</v>
      </c>
      <c r="S1043" s="51" t="n">
        <f aca="false">R1043-Q1043</f>
        <v>-1488</v>
      </c>
      <c r="T1043" s="52" t="n">
        <f aca="false">IF(Q1043=0,0,S1043/Q1043)</f>
        <v>-0.0209483049893006</v>
      </c>
      <c r="U1043" s="51" t="str">
        <f aca="false">IF(AND(Q1043&gt;0,T1043&lt;-0.15),"ADVERSE","")</f>
        <v/>
      </c>
    </row>
    <row r="1044" customFormat="false" ht="15" hidden="false" customHeight="false" outlineLevel="0" collapsed="false">
      <c r="A1044" s="47" t="s">
        <v>3</v>
      </c>
      <c r="B1044" s="47" t="s">
        <v>137</v>
      </c>
      <c r="C1044" s="48" t="n">
        <v>45931</v>
      </c>
      <c r="D1044" s="47" t="s">
        <v>37</v>
      </c>
      <c r="E1044" s="47" t="s">
        <v>44</v>
      </c>
      <c r="F1044" s="49" t="n">
        <v>280780</v>
      </c>
      <c r="G1044" s="49" t="n">
        <v>285752</v>
      </c>
      <c r="H1044" s="49" t="n">
        <v>168328</v>
      </c>
      <c r="I1044" s="49" t="n">
        <v>171373</v>
      </c>
      <c r="J1044" s="49" t="n">
        <v>40292</v>
      </c>
      <c r="K1044" s="49" t="n">
        <v>41400</v>
      </c>
      <c r="L1044" s="50" t="n">
        <v>13.1</v>
      </c>
      <c r="M1044" s="51" t="n">
        <f aca="false">G1044-F1044</f>
        <v>4972</v>
      </c>
      <c r="N1044" s="52" t="n">
        <f aca="false">IF(F1044=0,0,M1044/F1044)</f>
        <v>0.0177078139468623</v>
      </c>
      <c r="O1044" s="51" t="n">
        <f aca="false">G1044-I1044</f>
        <v>114379</v>
      </c>
      <c r="P1044" s="51" t="n">
        <f aca="false">F1044-H1044</f>
        <v>112452</v>
      </c>
      <c r="Q1044" s="51" t="n">
        <f aca="false">F1044-H1044-J1044</f>
        <v>72160</v>
      </c>
      <c r="R1044" s="51" t="n">
        <f aca="false">G1044-I1044-K1044</f>
        <v>72979</v>
      </c>
      <c r="S1044" s="51" t="n">
        <f aca="false">R1044-Q1044</f>
        <v>819</v>
      </c>
      <c r="T1044" s="52" t="n">
        <f aca="false">IF(Q1044=0,0,S1044/Q1044)</f>
        <v>0.01134977827051</v>
      </c>
      <c r="U1044" s="51" t="str">
        <f aca="false">IF(AND(Q1044&gt;0,T1044&lt;-0.15),"ADVERSE","")</f>
        <v/>
      </c>
    </row>
    <row r="1045" customFormat="false" ht="15" hidden="false" customHeight="false" outlineLevel="0" collapsed="false">
      <c r="A1045" s="47" t="s">
        <v>3</v>
      </c>
      <c r="B1045" s="47" t="s">
        <v>137</v>
      </c>
      <c r="C1045" s="48" t="n">
        <v>45962</v>
      </c>
      <c r="D1045" s="47" t="s">
        <v>37</v>
      </c>
      <c r="E1045" s="47" t="s">
        <v>44</v>
      </c>
      <c r="F1045" s="49" t="n">
        <v>290802</v>
      </c>
      <c r="G1045" s="49" t="n">
        <v>275093</v>
      </c>
      <c r="H1045" s="49" t="n">
        <v>174336</v>
      </c>
      <c r="I1045" s="49" t="n">
        <v>159568</v>
      </c>
      <c r="J1045" s="49" t="n">
        <v>41730</v>
      </c>
      <c r="K1045" s="49" t="n">
        <v>41748</v>
      </c>
      <c r="L1045" s="50" t="n">
        <v>12.6</v>
      </c>
      <c r="M1045" s="51" t="n">
        <f aca="false">G1045-F1045</f>
        <v>-15709</v>
      </c>
      <c r="N1045" s="52" t="n">
        <f aca="false">IF(F1045=0,0,M1045/F1045)</f>
        <v>-0.0540195734554783</v>
      </c>
      <c r="O1045" s="51" t="n">
        <f aca="false">G1045-I1045</f>
        <v>115525</v>
      </c>
      <c r="P1045" s="51" t="n">
        <f aca="false">F1045-H1045</f>
        <v>116466</v>
      </c>
      <c r="Q1045" s="51" t="n">
        <f aca="false">F1045-H1045-J1045</f>
        <v>74736</v>
      </c>
      <c r="R1045" s="51" t="n">
        <f aca="false">G1045-I1045-K1045</f>
        <v>73777</v>
      </c>
      <c r="S1045" s="51" t="n">
        <f aca="false">R1045-Q1045</f>
        <v>-959</v>
      </c>
      <c r="T1045" s="52" t="n">
        <f aca="false">IF(Q1045=0,0,S1045/Q1045)</f>
        <v>-0.0128318347248983</v>
      </c>
      <c r="U1045" s="51" t="str">
        <f aca="false">IF(AND(Q1045&gt;0,T1045&lt;-0.15),"ADVERSE","")</f>
        <v/>
      </c>
    </row>
    <row r="1046" customFormat="false" ht="15" hidden="false" customHeight="false" outlineLevel="0" collapsed="false">
      <c r="A1046" s="47" t="s">
        <v>3</v>
      </c>
      <c r="B1046" s="47" t="s">
        <v>137</v>
      </c>
      <c r="C1046" s="48" t="n">
        <v>45992</v>
      </c>
      <c r="D1046" s="47" t="s">
        <v>37</v>
      </c>
      <c r="E1046" s="47" t="s">
        <v>44</v>
      </c>
      <c r="F1046" s="49" t="n">
        <v>283381</v>
      </c>
      <c r="G1046" s="49" t="n">
        <v>284802</v>
      </c>
      <c r="H1046" s="49" t="n">
        <v>169887</v>
      </c>
      <c r="I1046" s="49" t="n">
        <v>169528</v>
      </c>
      <c r="J1046" s="49" t="n">
        <v>40665</v>
      </c>
      <c r="K1046" s="49" t="n">
        <v>40748</v>
      </c>
      <c r="L1046" s="50" t="n">
        <v>12.9</v>
      </c>
      <c r="M1046" s="51" t="n">
        <f aca="false">G1046-F1046</f>
        <v>1421</v>
      </c>
      <c r="N1046" s="52" t="n">
        <f aca="false">IF(F1046=0,0,M1046/F1046)</f>
        <v>0.00501445051009066</v>
      </c>
      <c r="O1046" s="51" t="n">
        <f aca="false">G1046-I1046</f>
        <v>115274</v>
      </c>
      <c r="P1046" s="51" t="n">
        <f aca="false">F1046-H1046</f>
        <v>113494</v>
      </c>
      <c r="Q1046" s="51" t="n">
        <f aca="false">F1046-H1046-J1046</f>
        <v>72829</v>
      </c>
      <c r="R1046" s="51" t="n">
        <f aca="false">G1046-I1046-K1046</f>
        <v>74526</v>
      </c>
      <c r="S1046" s="51" t="n">
        <f aca="false">R1046-Q1046</f>
        <v>1697</v>
      </c>
      <c r="T1046" s="52" t="n">
        <f aca="false">IF(Q1046=0,0,S1046/Q1046)</f>
        <v>0.0233011575059386</v>
      </c>
      <c r="U1046" s="51" t="str">
        <f aca="false">IF(AND(Q1046&gt;0,T1046&lt;-0.15),"ADVERSE","")</f>
        <v/>
      </c>
    </row>
    <row r="1047" customFormat="false" ht="15" hidden="false" customHeight="false" outlineLevel="0" collapsed="false">
      <c r="A1047" s="47" t="s">
        <v>3</v>
      </c>
      <c r="B1047" s="47" t="s">
        <v>138</v>
      </c>
      <c r="C1047" s="48" t="n">
        <v>46023</v>
      </c>
      <c r="D1047" s="47" t="s">
        <v>37</v>
      </c>
      <c r="E1047" s="47" t="s">
        <v>44</v>
      </c>
      <c r="F1047" s="49" t="n">
        <v>273056</v>
      </c>
      <c r="G1047" s="49" t="n">
        <v>275752</v>
      </c>
      <c r="H1047" s="49" t="n">
        <v>163697</v>
      </c>
      <c r="I1047" s="49" t="n">
        <v>166340</v>
      </c>
      <c r="J1047" s="49" t="n">
        <v>39184</v>
      </c>
      <c r="K1047" s="49" t="n">
        <v>40238</v>
      </c>
      <c r="L1047" s="50" t="n">
        <v>13.2</v>
      </c>
      <c r="M1047" s="51" t="n">
        <f aca="false">G1047-F1047</f>
        <v>2696</v>
      </c>
      <c r="N1047" s="52" t="n">
        <f aca="false">IF(F1047=0,0,M1047/F1047)</f>
        <v>0.00987343255595922</v>
      </c>
      <c r="O1047" s="51" t="n">
        <f aca="false">G1047-I1047</f>
        <v>109412</v>
      </c>
      <c r="P1047" s="51" t="n">
        <f aca="false">F1047-H1047</f>
        <v>109359</v>
      </c>
      <c r="Q1047" s="51" t="n">
        <f aca="false">F1047-H1047-J1047</f>
        <v>70175</v>
      </c>
      <c r="R1047" s="51" t="n">
        <f aca="false">G1047-I1047-K1047</f>
        <v>69174</v>
      </c>
      <c r="S1047" s="51" t="n">
        <f aca="false">R1047-Q1047</f>
        <v>-1001</v>
      </c>
      <c r="T1047" s="52" t="n">
        <f aca="false">IF(Q1047=0,0,S1047/Q1047)</f>
        <v>-0.0142643391521197</v>
      </c>
      <c r="U1047" s="51" t="str">
        <f aca="false">IF(AND(Q1047&gt;0,T1047&lt;-0.15),"ADVERSE","")</f>
        <v/>
      </c>
    </row>
    <row r="1048" customFormat="false" ht="15" hidden="false" customHeight="false" outlineLevel="0" collapsed="false">
      <c r="A1048" s="47" t="s">
        <v>3</v>
      </c>
      <c r="B1048" s="47" t="s">
        <v>138</v>
      </c>
      <c r="C1048" s="48" t="n">
        <v>46054</v>
      </c>
      <c r="D1048" s="47" t="s">
        <v>37</v>
      </c>
      <c r="E1048" s="47" t="s">
        <v>44</v>
      </c>
      <c r="F1048" s="49" t="n">
        <v>280374</v>
      </c>
      <c r="G1048" s="49" t="n">
        <v>274386</v>
      </c>
      <c r="H1048" s="49" t="n">
        <v>168084</v>
      </c>
      <c r="I1048" s="49" t="n">
        <v>166413</v>
      </c>
      <c r="J1048" s="49" t="n">
        <v>40234</v>
      </c>
      <c r="K1048" s="49" t="n">
        <v>41074</v>
      </c>
      <c r="L1048" s="50" t="n">
        <v>13.2</v>
      </c>
      <c r="M1048" s="51" t="n">
        <f aca="false">G1048-F1048</f>
        <v>-5988</v>
      </c>
      <c r="N1048" s="52" t="n">
        <f aca="false">IF(F1048=0,0,M1048/F1048)</f>
        <v>-0.0213571871856877</v>
      </c>
      <c r="O1048" s="51" t="n">
        <f aca="false">G1048-I1048</f>
        <v>107973</v>
      </c>
      <c r="P1048" s="51" t="n">
        <f aca="false">F1048-H1048</f>
        <v>112290</v>
      </c>
      <c r="Q1048" s="51" t="n">
        <f aca="false">F1048-H1048-J1048</f>
        <v>72056</v>
      </c>
      <c r="R1048" s="51" t="n">
        <f aca="false">G1048-I1048-K1048</f>
        <v>66899</v>
      </c>
      <c r="S1048" s="51" t="n">
        <f aca="false">R1048-Q1048</f>
        <v>-5157</v>
      </c>
      <c r="T1048" s="52" t="n">
        <f aca="false">IF(Q1048=0,0,S1048/Q1048)</f>
        <v>-0.0715693349616965</v>
      </c>
      <c r="U1048" s="51" t="str">
        <f aca="false">IF(AND(Q1048&gt;0,T1048&lt;-0.15),"ADVERSE","")</f>
        <v/>
      </c>
    </row>
    <row r="1049" customFormat="false" ht="15" hidden="false" customHeight="false" outlineLevel="0" collapsed="false">
      <c r="A1049" s="47" t="s">
        <v>3</v>
      </c>
      <c r="B1049" s="47" t="s">
        <v>138</v>
      </c>
      <c r="C1049" s="48" t="n">
        <v>46082</v>
      </c>
      <c r="D1049" s="47" t="s">
        <v>37</v>
      </c>
      <c r="E1049" s="47" t="s">
        <v>44</v>
      </c>
      <c r="F1049" s="49" t="n">
        <v>303588</v>
      </c>
      <c r="G1049" s="49" t="n">
        <v>294547</v>
      </c>
      <c r="H1049" s="49" t="n">
        <v>182001</v>
      </c>
      <c r="I1049" s="49" t="n">
        <v>175174</v>
      </c>
      <c r="J1049" s="49" t="n">
        <v>43565</v>
      </c>
      <c r="K1049" s="49" t="n">
        <v>43941</v>
      </c>
      <c r="L1049" s="50" t="n">
        <v>13</v>
      </c>
      <c r="M1049" s="51" t="n">
        <f aca="false">G1049-F1049</f>
        <v>-9041</v>
      </c>
      <c r="N1049" s="52" t="n">
        <f aca="false">IF(F1049=0,0,M1049/F1049)</f>
        <v>-0.0297804919825553</v>
      </c>
      <c r="O1049" s="51" t="n">
        <f aca="false">G1049-I1049</f>
        <v>119373</v>
      </c>
      <c r="P1049" s="51" t="n">
        <f aca="false">F1049-H1049</f>
        <v>121587</v>
      </c>
      <c r="Q1049" s="51" t="n">
        <f aca="false">F1049-H1049-J1049</f>
        <v>78022</v>
      </c>
      <c r="R1049" s="51" t="n">
        <f aca="false">G1049-I1049-K1049</f>
        <v>75432</v>
      </c>
      <c r="S1049" s="51" t="n">
        <f aca="false">R1049-Q1049</f>
        <v>-2590</v>
      </c>
      <c r="T1049" s="52" t="n">
        <f aca="false">IF(Q1049=0,0,S1049/Q1049)</f>
        <v>-0.0331957652969675</v>
      </c>
      <c r="U1049" s="51" t="str">
        <f aca="false">IF(AND(Q1049&gt;0,T1049&lt;-0.15),"ADVERSE","")</f>
        <v/>
      </c>
    </row>
    <row r="1050" customFormat="false" ht="15" hidden="false" customHeight="false" outlineLevel="0" collapsed="false">
      <c r="A1050" s="47" t="s">
        <v>134</v>
      </c>
      <c r="B1050" s="47" t="s">
        <v>135</v>
      </c>
      <c r="C1050" s="48" t="n">
        <v>45017</v>
      </c>
      <c r="D1050" s="47" t="s">
        <v>37</v>
      </c>
      <c r="E1050" s="47" t="s">
        <v>45</v>
      </c>
      <c r="F1050" s="49" t="n">
        <v>113274</v>
      </c>
      <c r="G1050" s="49" t="n">
        <v>116991</v>
      </c>
      <c r="H1050" s="49" t="n">
        <v>67908</v>
      </c>
      <c r="I1050" s="49" t="n">
        <v>70799</v>
      </c>
      <c r="J1050" s="49" t="n">
        <v>16255</v>
      </c>
      <c r="K1050" s="49" t="n">
        <v>17361</v>
      </c>
      <c r="L1050" s="50" t="n">
        <v>5.8</v>
      </c>
      <c r="M1050" s="51" t="n">
        <f aca="false">G1050-F1050</f>
        <v>3717</v>
      </c>
      <c r="N1050" s="52" t="n">
        <f aca="false">IF(F1050=0,0,M1050/F1050)</f>
        <v>0.0328142380422692</v>
      </c>
      <c r="O1050" s="51" t="n">
        <f aca="false">G1050-I1050</f>
        <v>46192</v>
      </c>
      <c r="P1050" s="51" t="n">
        <f aca="false">F1050-H1050</f>
        <v>45366</v>
      </c>
      <c r="Q1050" s="51" t="n">
        <f aca="false">F1050-H1050-J1050</f>
        <v>29111</v>
      </c>
      <c r="R1050" s="51" t="n">
        <f aca="false">G1050-I1050-K1050</f>
        <v>28831</v>
      </c>
      <c r="S1050" s="51" t="n">
        <f aca="false">R1050-Q1050</f>
        <v>-280</v>
      </c>
      <c r="T1050" s="52" t="n">
        <f aca="false">IF(Q1050=0,0,S1050/Q1050)</f>
        <v>-0.00961835732197451</v>
      </c>
      <c r="U1050" s="51" t="str">
        <f aca="false">IF(AND(Q1050&gt;0,T1050&lt;-0.15),"ADVERSE","")</f>
        <v/>
      </c>
    </row>
    <row r="1051" customFormat="false" ht="15" hidden="false" customHeight="false" outlineLevel="0" collapsed="false">
      <c r="A1051" s="47" t="s">
        <v>134</v>
      </c>
      <c r="B1051" s="47" t="s">
        <v>135</v>
      </c>
      <c r="C1051" s="48" t="n">
        <v>45047</v>
      </c>
      <c r="D1051" s="47" t="s">
        <v>37</v>
      </c>
      <c r="E1051" s="47" t="s">
        <v>45</v>
      </c>
      <c r="F1051" s="49" t="n">
        <v>111449</v>
      </c>
      <c r="G1051" s="49" t="n">
        <v>118169</v>
      </c>
      <c r="H1051" s="49" t="n">
        <v>66814</v>
      </c>
      <c r="I1051" s="49" t="n">
        <v>70524</v>
      </c>
      <c r="J1051" s="49" t="n">
        <v>15993</v>
      </c>
      <c r="K1051" s="49" t="n">
        <v>17312</v>
      </c>
      <c r="L1051" s="50" t="n">
        <v>5.8</v>
      </c>
      <c r="M1051" s="51" t="n">
        <f aca="false">G1051-F1051</f>
        <v>6720</v>
      </c>
      <c r="N1051" s="52" t="n">
        <f aca="false">IF(F1051=0,0,M1051/F1051)</f>
        <v>0.0602966379240729</v>
      </c>
      <c r="O1051" s="51" t="n">
        <f aca="false">G1051-I1051</f>
        <v>47645</v>
      </c>
      <c r="P1051" s="51" t="n">
        <f aca="false">F1051-H1051</f>
        <v>44635</v>
      </c>
      <c r="Q1051" s="51" t="n">
        <f aca="false">F1051-H1051-J1051</f>
        <v>28642</v>
      </c>
      <c r="R1051" s="51" t="n">
        <f aca="false">G1051-I1051-K1051</f>
        <v>30333</v>
      </c>
      <c r="S1051" s="51" t="n">
        <f aca="false">R1051-Q1051</f>
        <v>1691</v>
      </c>
      <c r="T1051" s="52" t="n">
        <f aca="false">IF(Q1051=0,0,S1051/Q1051)</f>
        <v>0.059039173242092</v>
      </c>
      <c r="U1051" s="51" t="str">
        <f aca="false">IF(AND(Q1051&gt;0,T1051&lt;-0.15),"ADVERSE","")</f>
        <v/>
      </c>
    </row>
    <row r="1052" customFormat="false" ht="15" hidden="false" customHeight="false" outlineLevel="0" collapsed="false">
      <c r="A1052" s="47" t="s">
        <v>134</v>
      </c>
      <c r="B1052" s="47" t="s">
        <v>135</v>
      </c>
      <c r="C1052" s="48" t="n">
        <v>45078</v>
      </c>
      <c r="D1052" s="47" t="s">
        <v>37</v>
      </c>
      <c r="E1052" s="47" t="s">
        <v>45</v>
      </c>
      <c r="F1052" s="49" t="n">
        <v>115295</v>
      </c>
      <c r="G1052" s="49" t="n">
        <v>117146</v>
      </c>
      <c r="H1052" s="49" t="n">
        <v>69119</v>
      </c>
      <c r="I1052" s="49" t="n">
        <v>70264</v>
      </c>
      <c r="J1052" s="49" t="n">
        <v>16545</v>
      </c>
      <c r="K1052" s="49" t="n">
        <v>16229</v>
      </c>
      <c r="L1052" s="50" t="n">
        <v>5.8</v>
      </c>
      <c r="M1052" s="51" t="n">
        <f aca="false">G1052-F1052</f>
        <v>1851</v>
      </c>
      <c r="N1052" s="52" t="n">
        <f aca="false">IF(F1052=0,0,M1052/F1052)</f>
        <v>0.0160544689709007</v>
      </c>
      <c r="O1052" s="51" t="n">
        <f aca="false">G1052-I1052</f>
        <v>46882</v>
      </c>
      <c r="P1052" s="51" t="n">
        <f aca="false">F1052-H1052</f>
        <v>46176</v>
      </c>
      <c r="Q1052" s="51" t="n">
        <f aca="false">F1052-H1052-J1052</f>
        <v>29631</v>
      </c>
      <c r="R1052" s="51" t="n">
        <f aca="false">G1052-I1052-K1052</f>
        <v>30653</v>
      </c>
      <c r="S1052" s="51" t="n">
        <f aca="false">R1052-Q1052</f>
        <v>1022</v>
      </c>
      <c r="T1052" s="52" t="n">
        <f aca="false">IF(Q1052=0,0,S1052/Q1052)</f>
        <v>0.0344909047956532</v>
      </c>
      <c r="U1052" s="51" t="str">
        <f aca="false">IF(AND(Q1052&gt;0,T1052&lt;-0.15),"ADVERSE","")</f>
        <v/>
      </c>
    </row>
    <row r="1053" customFormat="false" ht="15" hidden="false" customHeight="false" outlineLevel="0" collapsed="false">
      <c r="A1053" s="47" t="s">
        <v>134</v>
      </c>
      <c r="B1053" s="47" t="s">
        <v>136</v>
      </c>
      <c r="C1053" s="48" t="n">
        <v>45108</v>
      </c>
      <c r="D1053" s="47" t="s">
        <v>37</v>
      </c>
      <c r="E1053" s="47" t="s">
        <v>45</v>
      </c>
      <c r="F1053" s="49" t="n">
        <v>116463</v>
      </c>
      <c r="G1053" s="49" t="n">
        <v>126750</v>
      </c>
      <c r="H1053" s="49" t="n">
        <v>69820</v>
      </c>
      <c r="I1053" s="49" t="n">
        <v>74770</v>
      </c>
      <c r="J1053" s="49" t="n">
        <v>16712</v>
      </c>
      <c r="K1053" s="49" t="n">
        <v>19205</v>
      </c>
      <c r="L1053" s="50" t="n">
        <v>5.8</v>
      </c>
      <c r="M1053" s="51" t="n">
        <f aca="false">G1053-F1053</f>
        <v>10287</v>
      </c>
      <c r="N1053" s="52" t="n">
        <f aca="false">IF(F1053=0,0,M1053/F1053)</f>
        <v>0.0883284820071611</v>
      </c>
      <c r="O1053" s="51" t="n">
        <f aca="false">G1053-I1053</f>
        <v>51980</v>
      </c>
      <c r="P1053" s="51" t="n">
        <f aca="false">F1053-H1053</f>
        <v>46643</v>
      </c>
      <c r="Q1053" s="51" t="n">
        <f aca="false">F1053-H1053-J1053</f>
        <v>29931</v>
      </c>
      <c r="R1053" s="51" t="n">
        <f aca="false">G1053-I1053-K1053</f>
        <v>32775</v>
      </c>
      <c r="S1053" s="51" t="n">
        <f aca="false">R1053-Q1053</f>
        <v>2844</v>
      </c>
      <c r="T1053" s="52" t="n">
        <f aca="false">IF(Q1053=0,0,S1053/Q1053)</f>
        <v>0.0950185426480906</v>
      </c>
      <c r="U1053" s="51" t="str">
        <f aca="false">IF(AND(Q1053&gt;0,T1053&lt;-0.15),"ADVERSE","")</f>
        <v/>
      </c>
    </row>
    <row r="1054" customFormat="false" ht="15" hidden="false" customHeight="false" outlineLevel="0" collapsed="false">
      <c r="A1054" s="47" t="s">
        <v>134</v>
      </c>
      <c r="B1054" s="47" t="s">
        <v>136</v>
      </c>
      <c r="C1054" s="48" t="n">
        <v>45139</v>
      </c>
      <c r="D1054" s="47" t="s">
        <v>37</v>
      </c>
      <c r="E1054" s="47" t="s">
        <v>45</v>
      </c>
      <c r="F1054" s="49" t="n">
        <v>112493</v>
      </c>
      <c r="G1054" s="49" t="n">
        <v>124258</v>
      </c>
      <c r="H1054" s="49" t="n">
        <v>67439</v>
      </c>
      <c r="I1054" s="49" t="n">
        <v>75606</v>
      </c>
      <c r="J1054" s="49" t="n">
        <v>16143</v>
      </c>
      <c r="K1054" s="49" t="n">
        <v>18278</v>
      </c>
      <c r="L1054" s="50" t="n">
        <v>5.7</v>
      </c>
      <c r="M1054" s="51" t="n">
        <f aca="false">G1054-F1054</f>
        <v>11765</v>
      </c>
      <c r="N1054" s="52" t="n">
        <f aca="false">IF(F1054=0,0,M1054/F1054)</f>
        <v>0.104584285244415</v>
      </c>
      <c r="O1054" s="51" t="n">
        <f aca="false">G1054-I1054</f>
        <v>48652</v>
      </c>
      <c r="P1054" s="51" t="n">
        <f aca="false">F1054-H1054</f>
        <v>45054</v>
      </c>
      <c r="Q1054" s="51" t="n">
        <f aca="false">F1054-H1054-J1054</f>
        <v>28911</v>
      </c>
      <c r="R1054" s="51" t="n">
        <f aca="false">G1054-I1054-K1054</f>
        <v>30374</v>
      </c>
      <c r="S1054" s="51" t="n">
        <f aca="false">R1054-Q1054</f>
        <v>1463</v>
      </c>
      <c r="T1054" s="52" t="n">
        <f aca="false">IF(Q1054=0,0,S1054/Q1054)</f>
        <v>0.0506035764933762</v>
      </c>
      <c r="U1054" s="51" t="str">
        <f aca="false">IF(AND(Q1054&gt;0,T1054&lt;-0.15),"ADVERSE","")</f>
        <v/>
      </c>
    </row>
    <row r="1055" customFormat="false" ht="15" hidden="false" customHeight="false" outlineLevel="0" collapsed="false">
      <c r="A1055" s="47" t="s">
        <v>134</v>
      </c>
      <c r="B1055" s="47" t="s">
        <v>136</v>
      </c>
      <c r="C1055" s="48" t="n">
        <v>45170</v>
      </c>
      <c r="D1055" s="47" t="s">
        <v>37</v>
      </c>
      <c r="E1055" s="47" t="s">
        <v>45</v>
      </c>
      <c r="F1055" s="49" t="n">
        <v>119587</v>
      </c>
      <c r="G1055" s="49" t="n">
        <v>122328</v>
      </c>
      <c r="H1055" s="49" t="n">
        <v>71692</v>
      </c>
      <c r="I1055" s="49" t="n">
        <v>74308</v>
      </c>
      <c r="J1055" s="49" t="n">
        <v>17161</v>
      </c>
      <c r="K1055" s="49" t="n">
        <v>17957</v>
      </c>
      <c r="L1055" s="50" t="n">
        <v>5.8</v>
      </c>
      <c r="M1055" s="51" t="n">
        <f aca="false">G1055-F1055</f>
        <v>2741</v>
      </c>
      <c r="N1055" s="52" t="n">
        <f aca="false">IF(F1055=0,0,M1055/F1055)</f>
        <v>0.0229205515649694</v>
      </c>
      <c r="O1055" s="51" t="n">
        <f aca="false">G1055-I1055</f>
        <v>48020</v>
      </c>
      <c r="P1055" s="51" t="n">
        <f aca="false">F1055-H1055</f>
        <v>47895</v>
      </c>
      <c r="Q1055" s="51" t="n">
        <f aca="false">F1055-H1055-J1055</f>
        <v>30734</v>
      </c>
      <c r="R1055" s="51" t="n">
        <f aca="false">G1055-I1055-K1055</f>
        <v>30063</v>
      </c>
      <c r="S1055" s="51" t="n">
        <f aca="false">R1055-Q1055</f>
        <v>-671</v>
      </c>
      <c r="T1055" s="52" t="n">
        <f aca="false">IF(Q1055=0,0,S1055/Q1055)</f>
        <v>-0.021832498210451</v>
      </c>
      <c r="U1055" s="51" t="str">
        <f aca="false">IF(AND(Q1055&gt;0,T1055&lt;-0.15),"ADVERSE","")</f>
        <v/>
      </c>
    </row>
    <row r="1056" customFormat="false" ht="15" hidden="false" customHeight="false" outlineLevel="0" collapsed="false">
      <c r="A1056" s="47" t="s">
        <v>134</v>
      </c>
      <c r="B1056" s="47" t="s">
        <v>137</v>
      </c>
      <c r="C1056" s="48" t="n">
        <v>45200</v>
      </c>
      <c r="D1056" s="47" t="s">
        <v>37</v>
      </c>
      <c r="E1056" s="47" t="s">
        <v>45</v>
      </c>
      <c r="F1056" s="49" t="n">
        <v>119785</v>
      </c>
      <c r="G1056" s="49" t="n">
        <v>119463</v>
      </c>
      <c r="H1056" s="49" t="n">
        <v>71811</v>
      </c>
      <c r="I1056" s="49" t="n">
        <v>71398</v>
      </c>
      <c r="J1056" s="49" t="n">
        <v>17189</v>
      </c>
      <c r="K1056" s="49" t="n">
        <v>18015</v>
      </c>
      <c r="L1056" s="50" t="n">
        <v>5.9</v>
      </c>
      <c r="M1056" s="51" t="n">
        <f aca="false">G1056-F1056</f>
        <v>-322</v>
      </c>
      <c r="N1056" s="52" t="n">
        <f aca="false">IF(F1056=0,0,M1056/F1056)</f>
        <v>-0.00268814960136912</v>
      </c>
      <c r="O1056" s="51" t="n">
        <f aca="false">G1056-I1056</f>
        <v>48065</v>
      </c>
      <c r="P1056" s="51" t="n">
        <f aca="false">F1056-H1056</f>
        <v>47974</v>
      </c>
      <c r="Q1056" s="51" t="n">
        <f aca="false">F1056-H1056-J1056</f>
        <v>30785</v>
      </c>
      <c r="R1056" s="51" t="n">
        <f aca="false">G1056-I1056-K1056</f>
        <v>30050</v>
      </c>
      <c r="S1056" s="51" t="n">
        <f aca="false">R1056-Q1056</f>
        <v>-735</v>
      </c>
      <c r="T1056" s="52" t="n">
        <f aca="false">IF(Q1056=0,0,S1056/Q1056)</f>
        <v>-0.0238752639272373</v>
      </c>
      <c r="U1056" s="51" t="str">
        <f aca="false">IF(AND(Q1056&gt;0,T1056&lt;-0.15),"ADVERSE","")</f>
        <v/>
      </c>
    </row>
    <row r="1057" customFormat="false" ht="15" hidden="false" customHeight="false" outlineLevel="0" collapsed="false">
      <c r="A1057" s="47" t="s">
        <v>134</v>
      </c>
      <c r="B1057" s="47" t="s">
        <v>137</v>
      </c>
      <c r="C1057" s="48" t="n">
        <v>45231</v>
      </c>
      <c r="D1057" s="47" t="s">
        <v>37</v>
      </c>
      <c r="E1057" s="47" t="s">
        <v>45</v>
      </c>
      <c r="F1057" s="49" t="n">
        <v>119844</v>
      </c>
      <c r="G1057" s="49" t="n">
        <v>131559</v>
      </c>
      <c r="H1057" s="49" t="n">
        <v>71846</v>
      </c>
      <c r="I1057" s="49" t="n">
        <v>77911</v>
      </c>
      <c r="J1057" s="49" t="n">
        <v>17198</v>
      </c>
      <c r="K1057" s="49" t="n">
        <v>19199</v>
      </c>
      <c r="L1057" s="50" t="n">
        <v>5.9</v>
      </c>
      <c r="M1057" s="51" t="n">
        <f aca="false">G1057-F1057</f>
        <v>11715</v>
      </c>
      <c r="N1057" s="52" t="n">
        <f aca="false">IF(F1057=0,0,M1057/F1057)</f>
        <v>0.0977520777010113</v>
      </c>
      <c r="O1057" s="51" t="n">
        <f aca="false">G1057-I1057</f>
        <v>53648</v>
      </c>
      <c r="P1057" s="51" t="n">
        <f aca="false">F1057-H1057</f>
        <v>47998</v>
      </c>
      <c r="Q1057" s="51" t="n">
        <f aca="false">F1057-H1057-J1057</f>
        <v>30800</v>
      </c>
      <c r="R1057" s="51" t="n">
        <f aca="false">G1057-I1057-K1057</f>
        <v>34449</v>
      </c>
      <c r="S1057" s="51" t="n">
        <f aca="false">R1057-Q1057</f>
        <v>3649</v>
      </c>
      <c r="T1057" s="52" t="n">
        <f aca="false">IF(Q1057=0,0,S1057/Q1057)</f>
        <v>0.118474025974026</v>
      </c>
      <c r="U1057" s="51" t="str">
        <f aca="false">IF(AND(Q1057&gt;0,T1057&lt;-0.15),"ADVERSE","")</f>
        <v/>
      </c>
    </row>
    <row r="1058" customFormat="false" ht="15" hidden="false" customHeight="false" outlineLevel="0" collapsed="false">
      <c r="A1058" s="47" t="s">
        <v>134</v>
      </c>
      <c r="B1058" s="47" t="s">
        <v>137</v>
      </c>
      <c r="C1058" s="48" t="n">
        <v>45261</v>
      </c>
      <c r="D1058" s="47" t="s">
        <v>37</v>
      </c>
      <c r="E1058" s="47" t="s">
        <v>45</v>
      </c>
      <c r="F1058" s="49" t="n">
        <v>120136</v>
      </c>
      <c r="G1058" s="49" t="n">
        <v>129137</v>
      </c>
      <c r="H1058" s="49" t="n">
        <v>72022</v>
      </c>
      <c r="I1058" s="49" t="n">
        <v>77629</v>
      </c>
      <c r="J1058" s="49" t="n">
        <v>17240</v>
      </c>
      <c r="K1058" s="49" t="n">
        <v>18214</v>
      </c>
      <c r="L1058" s="50" t="n">
        <v>6</v>
      </c>
      <c r="M1058" s="51" t="n">
        <f aca="false">G1058-F1058</f>
        <v>9001</v>
      </c>
      <c r="N1058" s="52" t="n">
        <f aca="false">IF(F1058=0,0,M1058/F1058)</f>
        <v>0.0749234201238596</v>
      </c>
      <c r="O1058" s="51" t="n">
        <f aca="false">G1058-I1058</f>
        <v>51508</v>
      </c>
      <c r="P1058" s="51" t="n">
        <f aca="false">F1058-H1058</f>
        <v>48114</v>
      </c>
      <c r="Q1058" s="51" t="n">
        <f aca="false">F1058-H1058-J1058</f>
        <v>30874</v>
      </c>
      <c r="R1058" s="51" t="n">
        <f aca="false">G1058-I1058-K1058</f>
        <v>33294</v>
      </c>
      <c r="S1058" s="51" t="n">
        <f aca="false">R1058-Q1058</f>
        <v>2420</v>
      </c>
      <c r="T1058" s="52" t="n">
        <f aca="false">IF(Q1058=0,0,S1058/Q1058)</f>
        <v>0.0783831055256851</v>
      </c>
      <c r="U1058" s="51" t="str">
        <f aca="false">IF(AND(Q1058&gt;0,T1058&lt;-0.15),"ADVERSE","")</f>
        <v/>
      </c>
    </row>
    <row r="1059" customFormat="false" ht="15" hidden="false" customHeight="false" outlineLevel="0" collapsed="false">
      <c r="A1059" s="47" t="s">
        <v>134</v>
      </c>
      <c r="B1059" s="47" t="s">
        <v>138</v>
      </c>
      <c r="C1059" s="48" t="n">
        <v>45292</v>
      </c>
      <c r="D1059" s="47" t="s">
        <v>37</v>
      </c>
      <c r="E1059" s="47" t="s">
        <v>45</v>
      </c>
      <c r="F1059" s="49" t="n">
        <v>116659</v>
      </c>
      <c r="G1059" s="49" t="n">
        <v>129570</v>
      </c>
      <c r="H1059" s="49" t="n">
        <v>69937</v>
      </c>
      <c r="I1059" s="49" t="n">
        <v>76558</v>
      </c>
      <c r="J1059" s="49" t="n">
        <v>16741</v>
      </c>
      <c r="K1059" s="49" t="n">
        <v>17658</v>
      </c>
      <c r="L1059" s="50" t="n">
        <v>5.9</v>
      </c>
      <c r="M1059" s="51" t="n">
        <f aca="false">G1059-F1059</f>
        <v>12911</v>
      </c>
      <c r="N1059" s="52" t="n">
        <f aca="false">IF(F1059=0,0,M1059/F1059)</f>
        <v>0.110672987082008</v>
      </c>
      <c r="O1059" s="51" t="n">
        <f aca="false">G1059-I1059</f>
        <v>53012</v>
      </c>
      <c r="P1059" s="51" t="n">
        <f aca="false">F1059-H1059</f>
        <v>46722</v>
      </c>
      <c r="Q1059" s="51" t="n">
        <f aca="false">F1059-H1059-J1059</f>
        <v>29981</v>
      </c>
      <c r="R1059" s="51" t="n">
        <f aca="false">G1059-I1059-K1059</f>
        <v>35354</v>
      </c>
      <c r="S1059" s="51" t="n">
        <f aca="false">R1059-Q1059</f>
        <v>5373</v>
      </c>
      <c r="T1059" s="52" t="n">
        <f aca="false">IF(Q1059=0,0,S1059/Q1059)</f>
        <v>0.179213501884527</v>
      </c>
      <c r="U1059" s="51" t="str">
        <f aca="false">IF(AND(Q1059&gt;0,T1059&lt;-0.15),"ADVERSE","")</f>
        <v/>
      </c>
    </row>
    <row r="1060" customFormat="false" ht="15" hidden="false" customHeight="false" outlineLevel="0" collapsed="false">
      <c r="A1060" s="47" t="s">
        <v>134</v>
      </c>
      <c r="B1060" s="47" t="s">
        <v>138</v>
      </c>
      <c r="C1060" s="48" t="n">
        <v>45323</v>
      </c>
      <c r="D1060" s="47" t="s">
        <v>37</v>
      </c>
      <c r="E1060" s="47" t="s">
        <v>45</v>
      </c>
      <c r="F1060" s="49" t="n">
        <v>117672</v>
      </c>
      <c r="G1060" s="49" t="n">
        <v>122316</v>
      </c>
      <c r="H1060" s="49" t="n">
        <v>70545</v>
      </c>
      <c r="I1060" s="49" t="n">
        <v>73053</v>
      </c>
      <c r="J1060" s="49" t="n">
        <v>16886</v>
      </c>
      <c r="K1060" s="49" t="n">
        <v>17464</v>
      </c>
      <c r="L1060" s="50" t="n">
        <v>6.1</v>
      </c>
      <c r="M1060" s="51" t="n">
        <f aca="false">G1060-F1060</f>
        <v>4644</v>
      </c>
      <c r="N1060" s="52" t="n">
        <f aca="false">IF(F1060=0,0,M1060/F1060)</f>
        <v>0.0394656332857434</v>
      </c>
      <c r="O1060" s="51" t="n">
        <f aca="false">G1060-I1060</f>
        <v>49263</v>
      </c>
      <c r="P1060" s="51" t="n">
        <f aca="false">F1060-H1060</f>
        <v>47127</v>
      </c>
      <c r="Q1060" s="51" t="n">
        <f aca="false">F1060-H1060-J1060</f>
        <v>30241</v>
      </c>
      <c r="R1060" s="51" t="n">
        <f aca="false">G1060-I1060-K1060</f>
        <v>31799</v>
      </c>
      <c r="S1060" s="51" t="n">
        <f aca="false">R1060-Q1060</f>
        <v>1558</v>
      </c>
      <c r="T1060" s="52" t="n">
        <f aca="false">IF(Q1060=0,0,S1060/Q1060)</f>
        <v>0.0515194603353064</v>
      </c>
      <c r="U1060" s="51" t="str">
        <f aca="false">IF(AND(Q1060&gt;0,T1060&lt;-0.15),"ADVERSE","")</f>
        <v/>
      </c>
    </row>
    <row r="1061" customFormat="false" ht="15" hidden="false" customHeight="false" outlineLevel="0" collapsed="false">
      <c r="A1061" s="47" t="s">
        <v>134</v>
      </c>
      <c r="B1061" s="47" t="s">
        <v>138</v>
      </c>
      <c r="C1061" s="48" t="n">
        <v>45352</v>
      </c>
      <c r="D1061" s="47" t="s">
        <v>37</v>
      </c>
      <c r="E1061" s="47" t="s">
        <v>45</v>
      </c>
      <c r="F1061" s="49" t="n">
        <v>128382</v>
      </c>
      <c r="G1061" s="49" t="n">
        <v>126194</v>
      </c>
      <c r="H1061" s="49" t="n">
        <v>76965</v>
      </c>
      <c r="I1061" s="49" t="n">
        <v>76899</v>
      </c>
      <c r="J1061" s="49" t="n">
        <v>18423</v>
      </c>
      <c r="K1061" s="49" t="n">
        <v>19513</v>
      </c>
      <c r="L1061" s="50" t="n">
        <v>5.9</v>
      </c>
      <c r="M1061" s="51" t="n">
        <f aca="false">G1061-F1061</f>
        <v>-2188</v>
      </c>
      <c r="N1061" s="52" t="n">
        <f aca="false">IF(F1061=0,0,M1061/F1061)</f>
        <v>-0.0170428876322226</v>
      </c>
      <c r="O1061" s="51" t="n">
        <f aca="false">G1061-I1061</f>
        <v>49295</v>
      </c>
      <c r="P1061" s="51" t="n">
        <f aca="false">F1061-H1061</f>
        <v>51417</v>
      </c>
      <c r="Q1061" s="51" t="n">
        <f aca="false">F1061-H1061-J1061</f>
        <v>32994</v>
      </c>
      <c r="R1061" s="51" t="n">
        <f aca="false">G1061-I1061-K1061</f>
        <v>29782</v>
      </c>
      <c r="S1061" s="51" t="n">
        <f aca="false">R1061-Q1061</f>
        <v>-3212</v>
      </c>
      <c r="T1061" s="52" t="n">
        <f aca="false">IF(Q1061=0,0,S1061/Q1061)</f>
        <v>-0.0973510335212463</v>
      </c>
      <c r="U1061" s="51" t="str">
        <f aca="false">IF(AND(Q1061&gt;0,T1061&lt;-0.15),"ADVERSE","")</f>
        <v/>
      </c>
    </row>
    <row r="1062" customFormat="false" ht="15" hidden="false" customHeight="false" outlineLevel="0" collapsed="false">
      <c r="A1062" s="47" t="s">
        <v>139</v>
      </c>
      <c r="B1062" s="47" t="s">
        <v>135</v>
      </c>
      <c r="C1062" s="48" t="n">
        <v>45383</v>
      </c>
      <c r="D1062" s="47" t="s">
        <v>37</v>
      </c>
      <c r="E1062" s="47" t="s">
        <v>45</v>
      </c>
      <c r="F1062" s="49" t="n">
        <v>124756</v>
      </c>
      <c r="G1062" s="49" t="n">
        <v>124380</v>
      </c>
      <c r="H1062" s="49" t="n">
        <v>74791</v>
      </c>
      <c r="I1062" s="49" t="n">
        <v>76016</v>
      </c>
      <c r="J1062" s="49" t="n">
        <v>17902</v>
      </c>
      <c r="K1062" s="49" t="n">
        <v>17532</v>
      </c>
      <c r="L1062" s="50" t="n">
        <v>5.9</v>
      </c>
      <c r="M1062" s="51" t="n">
        <f aca="false">G1062-F1062</f>
        <v>-376</v>
      </c>
      <c r="N1062" s="52" t="n">
        <f aca="false">IF(F1062=0,0,M1062/F1062)</f>
        <v>-0.00301388309981083</v>
      </c>
      <c r="O1062" s="51" t="n">
        <f aca="false">G1062-I1062</f>
        <v>48364</v>
      </c>
      <c r="P1062" s="51" t="n">
        <f aca="false">F1062-H1062</f>
        <v>49965</v>
      </c>
      <c r="Q1062" s="51" t="n">
        <f aca="false">F1062-H1062-J1062</f>
        <v>32063</v>
      </c>
      <c r="R1062" s="51" t="n">
        <f aca="false">G1062-I1062-K1062</f>
        <v>30832</v>
      </c>
      <c r="S1062" s="51" t="n">
        <f aca="false">R1062-Q1062</f>
        <v>-1231</v>
      </c>
      <c r="T1062" s="52" t="n">
        <f aca="false">IF(Q1062=0,0,S1062/Q1062)</f>
        <v>-0.0383931634594392</v>
      </c>
      <c r="U1062" s="51" t="str">
        <f aca="false">IF(AND(Q1062&gt;0,T1062&lt;-0.15),"ADVERSE","")</f>
        <v/>
      </c>
    </row>
    <row r="1063" customFormat="false" ht="15" hidden="false" customHeight="false" outlineLevel="0" collapsed="false">
      <c r="A1063" s="47" t="s">
        <v>139</v>
      </c>
      <c r="B1063" s="47" t="s">
        <v>135</v>
      </c>
      <c r="C1063" s="48" t="n">
        <v>45413</v>
      </c>
      <c r="D1063" s="47" t="s">
        <v>37</v>
      </c>
      <c r="E1063" s="47" t="s">
        <v>45</v>
      </c>
      <c r="F1063" s="49" t="n">
        <v>120972</v>
      </c>
      <c r="G1063" s="49" t="n">
        <v>125124</v>
      </c>
      <c r="H1063" s="49" t="n">
        <v>72523</v>
      </c>
      <c r="I1063" s="49" t="n">
        <v>74793</v>
      </c>
      <c r="J1063" s="49" t="n">
        <v>17359</v>
      </c>
      <c r="K1063" s="49" t="n">
        <v>18505</v>
      </c>
      <c r="L1063" s="50" t="n">
        <v>5.9</v>
      </c>
      <c r="M1063" s="51" t="n">
        <f aca="false">G1063-F1063</f>
        <v>4152</v>
      </c>
      <c r="N1063" s="52" t="n">
        <f aca="false">IF(F1063=0,0,M1063/F1063)</f>
        <v>0.0343219918658863</v>
      </c>
      <c r="O1063" s="51" t="n">
        <f aca="false">G1063-I1063</f>
        <v>50331</v>
      </c>
      <c r="P1063" s="51" t="n">
        <f aca="false">F1063-H1063</f>
        <v>48449</v>
      </c>
      <c r="Q1063" s="51" t="n">
        <f aca="false">F1063-H1063-J1063</f>
        <v>31090</v>
      </c>
      <c r="R1063" s="51" t="n">
        <f aca="false">G1063-I1063-K1063</f>
        <v>31826</v>
      </c>
      <c r="S1063" s="51" t="n">
        <f aca="false">R1063-Q1063</f>
        <v>736</v>
      </c>
      <c r="T1063" s="52" t="n">
        <f aca="false">IF(Q1063=0,0,S1063/Q1063)</f>
        <v>0.0236732068189128</v>
      </c>
      <c r="U1063" s="51" t="str">
        <f aca="false">IF(AND(Q1063&gt;0,T1063&lt;-0.15),"ADVERSE","")</f>
        <v/>
      </c>
    </row>
    <row r="1064" customFormat="false" ht="15" hidden="false" customHeight="false" outlineLevel="0" collapsed="false">
      <c r="A1064" s="47" t="s">
        <v>139</v>
      </c>
      <c r="B1064" s="47" t="s">
        <v>135</v>
      </c>
      <c r="C1064" s="48" t="n">
        <v>45444</v>
      </c>
      <c r="D1064" s="47" t="s">
        <v>37</v>
      </c>
      <c r="E1064" s="47" t="s">
        <v>45</v>
      </c>
      <c r="F1064" s="49" t="n">
        <v>125925</v>
      </c>
      <c r="G1064" s="49" t="n">
        <v>128866</v>
      </c>
      <c r="H1064" s="49" t="n">
        <v>75492</v>
      </c>
      <c r="I1064" s="49" t="n">
        <v>77227</v>
      </c>
      <c r="J1064" s="49" t="n">
        <v>18070</v>
      </c>
      <c r="K1064" s="49" t="n">
        <v>19428</v>
      </c>
      <c r="L1064" s="50" t="n">
        <v>6</v>
      </c>
      <c r="M1064" s="51" t="n">
        <f aca="false">G1064-F1064</f>
        <v>2941</v>
      </c>
      <c r="N1064" s="52" t="n">
        <f aca="false">IF(F1064=0,0,M1064/F1064)</f>
        <v>0.0233551717292039</v>
      </c>
      <c r="O1064" s="51" t="n">
        <f aca="false">G1064-I1064</f>
        <v>51639</v>
      </c>
      <c r="P1064" s="51" t="n">
        <f aca="false">F1064-H1064</f>
        <v>50433</v>
      </c>
      <c r="Q1064" s="51" t="n">
        <f aca="false">F1064-H1064-J1064</f>
        <v>32363</v>
      </c>
      <c r="R1064" s="51" t="n">
        <f aca="false">G1064-I1064-K1064</f>
        <v>32211</v>
      </c>
      <c r="S1064" s="51" t="n">
        <f aca="false">R1064-Q1064</f>
        <v>-152</v>
      </c>
      <c r="T1064" s="52" t="n">
        <f aca="false">IF(Q1064=0,0,S1064/Q1064)</f>
        <v>-0.00469672156474987</v>
      </c>
      <c r="U1064" s="51" t="str">
        <f aca="false">IF(AND(Q1064&gt;0,T1064&lt;-0.15),"ADVERSE","")</f>
        <v/>
      </c>
    </row>
    <row r="1065" customFormat="false" ht="15" hidden="false" customHeight="false" outlineLevel="0" collapsed="false">
      <c r="A1065" s="47" t="s">
        <v>139</v>
      </c>
      <c r="B1065" s="47" t="s">
        <v>136</v>
      </c>
      <c r="C1065" s="48" t="n">
        <v>45474</v>
      </c>
      <c r="D1065" s="47" t="s">
        <v>37</v>
      </c>
      <c r="E1065" s="47" t="s">
        <v>45</v>
      </c>
      <c r="F1065" s="49" t="n">
        <v>125130</v>
      </c>
      <c r="G1065" s="49" t="n">
        <v>128327</v>
      </c>
      <c r="H1065" s="49" t="n">
        <v>75015</v>
      </c>
      <c r="I1065" s="49" t="n">
        <v>74109</v>
      </c>
      <c r="J1065" s="49" t="n">
        <v>17956</v>
      </c>
      <c r="K1065" s="49" t="n">
        <v>17861</v>
      </c>
      <c r="L1065" s="50" t="n">
        <v>6.1</v>
      </c>
      <c r="M1065" s="51" t="n">
        <f aca="false">G1065-F1065</f>
        <v>3197</v>
      </c>
      <c r="N1065" s="52" t="n">
        <f aca="false">IF(F1065=0,0,M1065/F1065)</f>
        <v>0.025549428594262</v>
      </c>
      <c r="O1065" s="51" t="n">
        <f aca="false">G1065-I1065</f>
        <v>54218</v>
      </c>
      <c r="P1065" s="51" t="n">
        <f aca="false">F1065-H1065</f>
        <v>50115</v>
      </c>
      <c r="Q1065" s="51" t="n">
        <f aca="false">F1065-H1065-J1065</f>
        <v>32159</v>
      </c>
      <c r="R1065" s="51" t="n">
        <f aca="false">G1065-I1065-K1065</f>
        <v>36357</v>
      </c>
      <c r="S1065" s="51" t="n">
        <f aca="false">R1065-Q1065</f>
        <v>4198</v>
      </c>
      <c r="T1065" s="52" t="n">
        <f aca="false">IF(Q1065=0,0,S1065/Q1065)</f>
        <v>0.130538884915576</v>
      </c>
      <c r="U1065" s="51" t="str">
        <f aca="false">IF(AND(Q1065&gt;0,T1065&lt;-0.15),"ADVERSE","")</f>
        <v/>
      </c>
    </row>
    <row r="1066" customFormat="false" ht="15" hidden="false" customHeight="false" outlineLevel="0" collapsed="false">
      <c r="A1066" s="47" t="s">
        <v>139</v>
      </c>
      <c r="B1066" s="47" t="s">
        <v>136</v>
      </c>
      <c r="C1066" s="48" t="n">
        <v>45505</v>
      </c>
      <c r="D1066" s="47" t="s">
        <v>37</v>
      </c>
      <c r="E1066" s="47" t="s">
        <v>45</v>
      </c>
      <c r="F1066" s="49" t="n">
        <v>122773</v>
      </c>
      <c r="G1066" s="49" t="n">
        <v>124986</v>
      </c>
      <c r="H1066" s="49" t="n">
        <v>73603</v>
      </c>
      <c r="I1066" s="49" t="n">
        <v>74792</v>
      </c>
      <c r="J1066" s="49" t="n">
        <v>17618</v>
      </c>
      <c r="K1066" s="49" t="n">
        <v>18102</v>
      </c>
      <c r="L1066" s="50" t="n">
        <v>6.1</v>
      </c>
      <c r="M1066" s="51" t="n">
        <f aca="false">G1066-F1066</f>
        <v>2213</v>
      </c>
      <c r="N1066" s="52" t="n">
        <f aca="false">IF(F1066=0,0,M1066/F1066)</f>
        <v>0.0180251358197649</v>
      </c>
      <c r="O1066" s="51" t="n">
        <f aca="false">G1066-I1066</f>
        <v>50194</v>
      </c>
      <c r="P1066" s="51" t="n">
        <f aca="false">F1066-H1066</f>
        <v>49170</v>
      </c>
      <c r="Q1066" s="51" t="n">
        <f aca="false">F1066-H1066-J1066</f>
        <v>31552</v>
      </c>
      <c r="R1066" s="51" t="n">
        <f aca="false">G1066-I1066-K1066</f>
        <v>32092</v>
      </c>
      <c r="S1066" s="51" t="n">
        <f aca="false">R1066-Q1066</f>
        <v>540</v>
      </c>
      <c r="T1066" s="52" t="n">
        <f aca="false">IF(Q1066=0,0,S1066/Q1066)</f>
        <v>0.0171146044624746</v>
      </c>
      <c r="U1066" s="51" t="str">
        <f aca="false">IF(AND(Q1066&gt;0,T1066&lt;-0.15),"ADVERSE","")</f>
        <v/>
      </c>
    </row>
    <row r="1067" customFormat="false" ht="15" hidden="false" customHeight="false" outlineLevel="0" collapsed="false">
      <c r="A1067" s="47" t="s">
        <v>139</v>
      </c>
      <c r="B1067" s="47" t="s">
        <v>136</v>
      </c>
      <c r="C1067" s="48" t="n">
        <v>45536</v>
      </c>
      <c r="D1067" s="47" t="s">
        <v>37</v>
      </c>
      <c r="E1067" s="47" t="s">
        <v>45</v>
      </c>
      <c r="F1067" s="49" t="n">
        <v>124452</v>
      </c>
      <c r="G1067" s="49" t="n">
        <v>124702</v>
      </c>
      <c r="H1067" s="49" t="n">
        <v>74609</v>
      </c>
      <c r="I1067" s="49" t="n">
        <v>75513</v>
      </c>
      <c r="J1067" s="49" t="n">
        <v>17859</v>
      </c>
      <c r="K1067" s="49" t="n">
        <v>17149</v>
      </c>
      <c r="L1067" s="50" t="n">
        <v>6.3</v>
      </c>
      <c r="M1067" s="51" t="n">
        <f aca="false">G1067-F1067</f>
        <v>250</v>
      </c>
      <c r="N1067" s="52" t="n">
        <f aca="false">IF(F1067=0,0,M1067/F1067)</f>
        <v>0.00200880660817022</v>
      </c>
      <c r="O1067" s="51" t="n">
        <f aca="false">G1067-I1067</f>
        <v>49189</v>
      </c>
      <c r="P1067" s="51" t="n">
        <f aca="false">F1067-H1067</f>
        <v>49843</v>
      </c>
      <c r="Q1067" s="51" t="n">
        <f aca="false">F1067-H1067-J1067</f>
        <v>31984</v>
      </c>
      <c r="R1067" s="51" t="n">
        <f aca="false">G1067-I1067-K1067</f>
        <v>32040</v>
      </c>
      <c r="S1067" s="51" t="n">
        <f aca="false">R1067-Q1067</f>
        <v>56</v>
      </c>
      <c r="T1067" s="52" t="n">
        <f aca="false">IF(Q1067=0,0,S1067/Q1067)</f>
        <v>0.00175087543771886</v>
      </c>
      <c r="U1067" s="51" t="str">
        <f aca="false">IF(AND(Q1067&gt;0,T1067&lt;-0.15),"ADVERSE","")</f>
        <v/>
      </c>
    </row>
    <row r="1068" customFormat="false" ht="15" hidden="false" customHeight="false" outlineLevel="0" collapsed="false">
      <c r="A1068" s="47" t="s">
        <v>139</v>
      </c>
      <c r="B1068" s="47" t="s">
        <v>137</v>
      </c>
      <c r="C1068" s="48" t="n">
        <v>45566</v>
      </c>
      <c r="D1068" s="47" t="s">
        <v>37</v>
      </c>
      <c r="E1068" s="47" t="s">
        <v>45</v>
      </c>
      <c r="F1068" s="49" t="n">
        <v>130592</v>
      </c>
      <c r="G1068" s="49" t="n">
        <v>127651</v>
      </c>
      <c r="H1068" s="49" t="n">
        <v>78290</v>
      </c>
      <c r="I1068" s="49" t="n">
        <v>77595</v>
      </c>
      <c r="J1068" s="49" t="n">
        <v>18740</v>
      </c>
      <c r="K1068" s="49" t="n">
        <v>18201</v>
      </c>
      <c r="L1068" s="50" t="n">
        <v>6</v>
      </c>
      <c r="M1068" s="51" t="n">
        <f aca="false">G1068-F1068</f>
        <v>-2941</v>
      </c>
      <c r="N1068" s="52" t="n">
        <f aca="false">IF(F1068=0,0,M1068/F1068)</f>
        <v>-0.0225205219308993</v>
      </c>
      <c r="O1068" s="51" t="n">
        <f aca="false">G1068-I1068</f>
        <v>50056</v>
      </c>
      <c r="P1068" s="51" t="n">
        <f aca="false">F1068-H1068</f>
        <v>52302</v>
      </c>
      <c r="Q1068" s="51" t="n">
        <f aca="false">F1068-H1068-J1068</f>
        <v>33562</v>
      </c>
      <c r="R1068" s="51" t="n">
        <f aca="false">G1068-I1068-K1068</f>
        <v>31855</v>
      </c>
      <c r="S1068" s="51" t="n">
        <f aca="false">R1068-Q1068</f>
        <v>-1707</v>
      </c>
      <c r="T1068" s="52" t="n">
        <f aca="false">IF(Q1068=0,0,S1068/Q1068)</f>
        <v>-0.0508610929026876</v>
      </c>
      <c r="U1068" s="51" t="str">
        <f aca="false">IF(AND(Q1068&gt;0,T1068&lt;-0.15),"ADVERSE","")</f>
        <v/>
      </c>
    </row>
    <row r="1069" customFormat="false" ht="15" hidden="false" customHeight="false" outlineLevel="0" collapsed="false">
      <c r="A1069" s="47" t="s">
        <v>139</v>
      </c>
      <c r="B1069" s="47" t="s">
        <v>137</v>
      </c>
      <c r="C1069" s="48" t="n">
        <v>45597</v>
      </c>
      <c r="D1069" s="47" t="s">
        <v>37</v>
      </c>
      <c r="E1069" s="47" t="s">
        <v>45</v>
      </c>
      <c r="F1069" s="49" t="n">
        <v>131775</v>
      </c>
      <c r="G1069" s="49" t="n">
        <v>130942</v>
      </c>
      <c r="H1069" s="49" t="n">
        <v>78999</v>
      </c>
      <c r="I1069" s="49" t="n">
        <v>78603</v>
      </c>
      <c r="J1069" s="49" t="n">
        <v>18910</v>
      </c>
      <c r="K1069" s="49" t="n">
        <v>18887</v>
      </c>
      <c r="L1069" s="50" t="n">
        <v>6.2</v>
      </c>
      <c r="M1069" s="51" t="n">
        <f aca="false">G1069-F1069</f>
        <v>-833</v>
      </c>
      <c r="N1069" s="52" t="n">
        <f aca="false">IF(F1069=0,0,M1069/F1069)</f>
        <v>-0.00632138114209827</v>
      </c>
      <c r="O1069" s="51" t="n">
        <f aca="false">G1069-I1069</f>
        <v>52339</v>
      </c>
      <c r="P1069" s="51" t="n">
        <f aca="false">F1069-H1069</f>
        <v>52776</v>
      </c>
      <c r="Q1069" s="51" t="n">
        <f aca="false">F1069-H1069-J1069</f>
        <v>33866</v>
      </c>
      <c r="R1069" s="51" t="n">
        <f aca="false">G1069-I1069-K1069</f>
        <v>33452</v>
      </c>
      <c r="S1069" s="51" t="n">
        <f aca="false">R1069-Q1069</f>
        <v>-414</v>
      </c>
      <c r="T1069" s="52" t="n">
        <f aca="false">IF(Q1069=0,0,S1069/Q1069)</f>
        <v>-0.0122246500915372</v>
      </c>
      <c r="U1069" s="51" t="str">
        <f aca="false">IF(AND(Q1069&gt;0,T1069&lt;-0.15),"ADVERSE","")</f>
        <v/>
      </c>
    </row>
    <row r="1070" customFormat="false" ht="15" hidden="false" customHeight="false" outlineLevel="0" collapsed="false">
      <c r="A1070" s="47" t="s">
        <v>139</v>
      </c>
      <c r="B1070" s="47" t="s">
        <v>137</v>
      </c>
      <c r="C1070" s="48" t="n">
        <v>45627</v>
      </c>
      <c r="D1070" s="47" t="s">
        <v>37</v>
      </c>
      <c r="E1070" s="47" t="s">
        <v>45</v>
      </c>
      <c r="F1070" s="49" t="n">
        <v>127236</v>
      </c>
      <c r="G1070" s="49" t="n">
        <v>135469</v>
      </c>
      <c r="H1070" s="49" t="n">
        <v>76278</v>
      </c>
      <c r="I1070" s="49" t="n">
        <v>81638</v>
      </c>
      <c r="J1070" s="49" t="n">
        <v>18258</v>
      </c>
      <c r="K1070" s="49" t="n">
        <v>21610</v>
      </c>
      <c r="L1070" s="50" t="n">
        <v>6.2</v>
      </c>
      <c r="M1070" s="51" t="n">
        <f aca="false">G1070-F1070</f>
        <v>8233</v>
      </c>
      <c r="N1070" s="52" t="n">
        <f aca="false">IF(F1070=0,0,M1070/F1070)</f>
        <v>0.0647065295985413</v>
      </c>
      <c r="O1070" s="51" t="n">
        <f aca="false">G1070-I1070</f>
        <v>53831</v>
      </c>
      <c r="P1070" s="51" t="n">
        <f aca="false">F1070-H1070</f>
        <v>50958</v>
      </c>
      <c r="Q1070" s="51" t="n">
        <f aca="false">F1070-H1070-J1070</f>
        <v>32700</v>
      </c>
      <c r="R1070" s="51" t="n">
        <f aca="false">G1070-I1070-K1070</f>
        <v>32221</v>
      </c>
      <c r="S1070" s="51" t="n">
        <f aca="false">R1070-Q1070</f>
        <v>-479</v>
      </c>
      <c r="T1070" s="52" t="n">
        <f aca="false">IF(Q1070=0,0,S1070/Q1070)</f>
        <v>-0.0146483180428135</v>
      </c>
      <c r="U1070" s="51" t="str">
        <f aca="false">IF(AND(Q1070&gt;0,T1070&lt;-0.15),"ADVERSE","")</f>
        <v/>
      </c>
    </row>
    <row r="1071" customFormat="false" ht="15" hidden="false" customHeight="false" outlineLevel="0" collapsed="false">
      <c r="A1071" s="47" t="s">
        <v>139</v>
      </c>
      <c r="B1071" s="47" t="s">
        <v>138</v>
      </c>
      <c r="C1071" s="48" t="n">
        <v>45658</v>
      </c>
      <c r="D1071" s="47" t="s">
        <v>37</v>
      </c>
      <c r="E1071" s="47" t="s">
        <v>45</v>
      </c>
      <c r="F1071" s="49" t="n">
        <v>124915</v>
      </c>
      <c r="G1071" s="49" t="n">
        <v>130158</v>
      </c>
      <c r="H1071" s="49" t="n">
        <v>74886</v>
      </c>
      <c r="I1071" s="49" t="n">
        <v>77598</v>
      </c>
      <c r="J1071" s="49" t="n">
        <v>17925</v>
      </c>
      <c r="K1071" s="49" t="n">
        <v>18972</v>
      </c>
      <c r="L1071" s="50" t="n">
        <v>6.2</v>
      </c>
      <c r="M1071" s="51" t="n">
        <f aca="false">G1071-F1071</f>
        <v>5243</v>
      </c>
      <c r="N1071" s="52" t="n">
        <f aca="false">IF(F1071=0,0,M1071/F1071)</f>
        <v>0.0419725413281031</v>
      </c>
      <c r="O1071" s="51" t="n">
        <f aca="false">G1071-I1071</f>
        <v>52560</v>
      </c>
      <c r="P1071" s="51" t="n">
        <f aca="false">F1071-H1071</f>
        <v>50029</v>
      </c>
      <c r="Q1071" s="51" t="n">
        <f aca="false">F1071-H1071-J1071</f>
        <v>32104</v>
      </c>
      <c r="R1071" s="51" t="n">
        <f aca="false">G1071-I1071-K1071</f>
        <v>33588</v>
      </c>
      <c r="S1071" s="51" t="n">
        <f aca="false">R1071-Q1071</f>
        <v>1484</v>
      </c>
      <c r="T1071" s="52" t="n">
        <f aca="false">IF(Q1071=0,0,S1071/Q1071)</f>
        <v>0.0462247694991278</v>
      </c>
      <c r="U1071" s="51" t="str">
        <f aca="false">IF(AND(Q1071&gt;0,T1071&lt;-0.15),"ADVERSE","")</f>
        <v/>
      </c>
    </row>
    <row r="1072" customFormat="false" ht="15" hidden="false" customHeight="false" outlineLevel="0" collapsed="false">
      <c r="A1072" s="47" t="s">
        <v>139</v>
      </c>
      <c r="B1072" s="47" t="s">
        <v>138</v>
      </c>
      <c r="C1072" s="48" t="n">
        <v>45689</v>
      </c>
      <c r="D1072" s="47" t="s">
        <v>37</v>
      </c>
      <c r="E1072" s="47" t="s">
        <v>45</v>
      </c>
      <c r="F1072" s="49" t="n">
        <v>128945</v>
      </c>
      <c r="G1072" s="49" t="n">
        <v>124165</v>
      </c>
      <c r="H1072" s="49" t="n">
        <v>77303</v>
      </c>
      <c r="I1072" s="49" t="n">
        <v>74090</v>
      </c>
      <c r="J1072" s="49" t="n">
        <v>18504</v>
      </c>
      <c r="K1072" s="49" t="n">
        <v>18575</v>
      </c>
      <c r="L1072" s="50" t="n">
        <v>6.2</v>
      </c>
      <c r="M1072" s="51" t="n">
        <f aca="false">G1072-F1072</f>
        <v>-4780</v>
      </c>
      <c r="N1072" s="52" t="n">
        <f aca="false">IF(F1072=0,0,M1072/F1072)</f>
        <v>-0.0370700686339137</v>
      </c>
      <c r="O1072" s="51" t="n">
        <f aca="false">G1072-I1072</f>
        <v>50075</v>
      </c>
      <c r="P1072" s="51" t="n">
        <f aca="false">F1072-H1072</f>
        <v>51642</v>
      </c>
      <c r="Q1072" s="51" t="n">
        <f aca="false">F1072-H1072-J1072</f>
        <v>33138</v>
      </c>
      <c r="R1072" s="51" t="n">
        <f aca="false">G1072-I1072-K1072</f>
        <v>31500</v>
      </c>
      <c r="S1072" s="51" t="n">
        <f aca="false">R1072-Q1072</f>
        <v>-1638</v>
      </c>
      <c r="T1072" s="52" t="n">
        <f aca="false">IF(Q1072=0,0,S1072/Q1072)</f>
        <v>-0.0494296577946768</v>
      </c>
      <c r="U1072" s="51" t="str">
        <f aca="false">IF(AND(Q1072&gt;0,T1072&lt;-0.15),"ADVERSE","")</f>
        <v/>
      </c>
    </row>
    <row r="1073" customFormat="false" ht="15" hidden="false" customHeight="false" outlineLevel="0" collapsed="false">
      <c r="A1073" s="47" t="s">
        <v>139</v>
      </c>
      <c r="B1073" s="47" t="s">
        <v>138</v>
      </c>
      <c r="C1073" s="48" t="n">
        <v>45717</v>
      </c>
      <c r="D1073" s="47" t="s">
        <v>37</v>
      </c>
      <c r="E1073" s="47" t="s">
        <v>45</v>
      </c>
      <c r="F1073" s="49" t="n">
        <v>139033</v>
      </c>
      <c r="G1073" s="49" t="n">
        <v>146350</v>
      </c>
      <c r="H1073" s="49" t="n">
        <v>83350</v>
      </c>
      <c r="I1073" s="49" t="n">
        <v>86889</v>
      </c>
      <c r="J1073" s="49" t="n">
        <v>19951</v>
      </c>
      <c r="K1073" s="49" t="n">
        <v>22262</v>
      </c>
      <c r="L1073" s="50" t="n">
        <v>6.1</v>
      </c>
      <c r="M1073" s="51" t="n">
        <f aca="false">G1073-F1073</f>
        <v>7317</v>
      </c>
      <c r="N1073" s="52" t="n">
        <f aca="false">IF(F1073=0,0,M1073/F1073)</f>
        <v>0.0526277934015665</v>
      </c>
      <c r="O1073" s="51" t="n">
        <f aca="false">G1073-I1073</f>
        <v>59461</v>
      </c>
      <c r="P1073" s="51" t="n">
        <f aca="false">F1073-H1073</f>
        <v>55683</v>
      </c>
      <c r="Q1073" s="51" t="n">
        <f aca="false">F1073-H1073-J1073</f>
        <v>35732</v>
      </c>
      <c r="R1073" s="51" t="n">
        <f aca="false">G1073-I1073-K1073</f>
        <v>37199</v>
      </c>
      <c r="S1073" s="51" t="n">
        <f aca="false">R1073-Q1073</f>
        <v>1467</v>
      </c>
      <c r="T1073" s="52" t="n">
        <f aca="false">IF(Q1073=0,0,S1073/Q1073)</f>
        <v>0.0410556364043435</v>
      </c>
      <c r="U1073" s="51" t="str">
        <f aca="false">IF(AND(Q1073&gt;0,T1073&lt;-0.15),"ADVERSE","")</f>
        <v/>
      </c>
    </row>
    <row r="1074" customFormat="false" ht="15" hidden="false" customHeight="false" outlineLevel="0" collapsed="false">
      <c r="A1074" s="47" t="s">
        <v>3</v>
      </c>
      <c r="B1074" s="47" t="s">
        <v>135</v>
      </c>
      <c r="C1074" s="48" t="n">
        <v>45748</v>
      </c>
      <c r="D1074" s="47" t="s">
        <v>37</v>
      </c>
      <c r="E1074" s="47" t="s">
        <v>45</v>
      </c>
      <c r="F1074" s="49" t="n">
        <v>133142</v>
      </c>
      <c r="G1074" s="49" t="n">
        <v>130701</v>
      </c>
      <c r="H1074" s="49" t="n">
        <v>79819</v>
      </c>
      <c r="I1074" s="49" t="n">
        <v>79556</v>
      </c>
      <c r="J1074" s="49" t="n">
        <v>19106</v>
      </c>
      <c r="K1074" s="49" t="n">
        <v>19351</v>
      </c>
      <c r="L1074" s="50" t="n">
        <v>6.3</v>
      </c>
      <c r="M1074" s="51" t="n">
        <f aca="false">G1074-F1074</f>
        <v>-2441</v>
      </c>
      <c r="N1074" s="52" t="n">
        <f aca="false">IF(F1074=0,0,M1074/F1074)</f>
        <v>-0.0183338090159379</v>
      </c>
      <c r="O1074" s="51" t="n">
        <f aca="false">G1074-I1074</f>
        <v>51145</v>
      </c>
      <c r="P1074" s="51" t="n">
        <f aca="false">F1074-H1074</f>
        <v>53323</v>
      </c>
      <c r="Q1074" s="51" t="n">
        <f aca="false">F1074-H1074-J1074</f>
        <v>34217</v>
      </c>
      <c r="R1074" s="51" t="n">
        <f aca="false">G1074-I1074-K1074</f>
        <v>31794</v>
      </c>
      <c r="S1074" s="51" t="n">
        <f aca="false">R1074-Q1074</f>
        <v>-2423</v>
      </c>
      <c r="T1074" s="52" t="n">
        <f aca="false">IF(Q1074=0,0,S1074/Q1074)</f>
        <v>-0.0708127538942631</v>
      </c>
      <c r="U1074" s="51" t="str">
        <f aca="false">IF(AND(Q1074&gt;0,T1074&lt;-0.15),"ADVERSE","")</f>
        <v/>
      </c>
    </row>
    <row r="1075" customFormat="false" ht="15" hidden="false" customHeight="false" outlineLevel="0" collapsed="false">
      <c r="A1075" s="47" t="s">
        <v>3</v>
      </c>
      <c r="B1075" s="47" t="s">
        <v>135</v>
      </c>
      <c r="C1075" s="48" t="n">
        <v>45778</v>
      </c>
      <c r="D1075" s="47" t="s">
        <v>37</v>
      </c>
      <c r="E1075" s="47" t="s">
        <v>45</v>
      </c>
      <c r="F1075" s="49" t="n">
        <v>133201</v>
      </c>
      <c r="G1075" s="49" t="n">
        <v>139108</v>
      </c>
      <c r="H1075" s="49" t="n">
        <v>79854</v>
      </c>
      <c r="I1075" s="49" t="n">
        <v>82046</v>
      </c>
      <c r="J1075" s="49" t="n">
        <v>19114</v>
      </c>
      <c r="K1075" s="49" t="n">
        <v>19258</v>
      </c>
      <c r="L1075" s="50" t="n">
        <v>6.2</v>
      </c>
      <c r="M1075" s="51" t="n">
        <f aca="false">G1075-F1075</f>
        <v>5907</v>
      </c>
      <c r="N1075" s="52" t="n">
        <f aca="false">IF(F1075=0,0,M1075/F1075)</f>
        <v>0.0443465139150607</v>
      </c>
      <c r="O1075" s="51" t="n">
        <f aca="false">G1075-I1075</f>
        <v>57062</v>
      </c>
      <c r="P1075" s="51" t="n">
        <f aca="false">F1075-H1075</f>
        <v>53347</v>
      </c>
      <c r="Q1075" s="51" t="n">
        <f aca="false">F1075-H1075-J1075</f>
        <v>34233</v>
      </c>
      <c r="R1075" s="51" t="n">
        <f aca="false">G1075-I1075-K1075</f>
        <v>37804</v>
      </c>
      <c r="S1075" s="51" t="n">
        <f aca="false">R1075-Q1075</f>
        <v>3571</v>
      </c>
      <c r="T1075" s="52" t="n">
        <f aca="false">IF(Q1075=0,0,S1075/Q1075)</f>
        <v>0.104314550287734</v>
      </c>
      <c r="U1075" s="51" t="str">
        <f aca="false">IF(AND(Q1075&gt;0,T1075&lt;-0.15),"ADVERSE","")</f>
        <v/>
      </c>
    </row>
    <row r="1076" customFormat="false" ht="15" hidden="false" customHeight="false" outlineLevel="0" collapsed="false">
      <c r="A1076" s="47" t="s">
        <v>3</v>
      </c>
      <c r="B1076" s="47" t="s">
        <v>135</v>
      </c>
      <c r="C1076" s="48" t="n">
        <v>45809</v>
      </c>
      <c r="D1076" s="47" t="s">
        <v>37</v>
      </c>
      <c r="E1076" s="47" t="s">
        <v>45</v>
      </c>
      <c r="F1076" s="49" t="n">
        <v>136468</v>
      </c>
      <c r="G1076" s="49" t="n">
        <v>134754</v>
      </c>
      <c r="H1076" s="49" t="n">
        <v>81812</v>
      </c>
      <c r="I1076" s="49" t="n">
        <v>81248</v>
      </c>
      <c r="J1076" s="49" t="n">
        <v>19583</v>
      </c>
      <c r="K1076" s="49" t="n">
        <v>19740</v>
      </c>
      <c r="L1076" s="50" t="n">
        <v>6.4</v>
      </c>
      <c r="M1076" s="51" t="n">
        <f aca="false">G1076-F1076</f>
        <v>-1714</v>
      </c>
      <c r="N1076" s="52" t="n">
        <f aca="false">IF(F1076=0,0,M1076/F1076)</f>
        <v>-0.0125597209602251</v>
      </c>
      <c r="O1076" s="51" t="n">
        <f aca="false">G1076-I1076</f>
        <v>53506</v>
      </c>
      <c r="P1076" s="51" t="n">
        <f aca="false">F1076-H1076</f>
        <v>54656</v>
      </c>
      <c r="Q1076" s="51" t="n">
        <f aca="false">F1076-H1076-J1076</f>
        <v>35073</v>
      </c>
      <c r="R1076" s="51" t="n">
        <f aca="false">G1076-I1076-K1076</f>
        <v>33766</v>
      </c>
      <c r="S1076" s="51" t="n">
        <f aca="false">R1076-Q1076</f>
        <v>-1307</v>
      </c>
      <c r="T1076" s="52" t="n">
        <f aca="false">IF(Q1076=0,0,S1076/Q1076)</f>
        <v>-0.0372651327231774</v>
      </c>
      <c r="U1076" s="51" t="str">
        <f aca="false">IF(AND(Q1076&gt;0,T1076&lt;-0.15),"ADVERSE","")</f>
        <v/>
      </c>
    </row>
    <row r="1077" customFormat="false" ht="15" hidden="false" customHeight="false" outlineLevel="0" collapsed="false">
      <c r="A1077" s="47" t="s">
        <v>3</v>
      </c>
      <c r="B1077" s="47" t="s">
        <v>136</v>
      </c>
      <c r="C1077" s="48" t="n">
        <v>45839</v>
      </c>
      <c r="D1077" s="47" t="s">
        <v>37</v>
      </c>
      <c r="E1077" s="47" t="s">
        <v>45</v>
      </c>
      <c r="F1077" s="49" t="n">
        <v>139256</v>
      </c>
      <c r="G1077" s="49" t="n">
        <v>144933</v>
      </c>
      <c r="H1077" s="49" t="n">
        <v>83484</v>
      </c>
      <c r="I1077" s="49" t="n">
        <v>86014</v>
      </c>
      <c r="J1077" s="49" t="n">
        <v>19983</v>
      </c>
      <c r="K1077" s="49" t="n">
        <v>20616</v>
      </c>
      <c r="L1077" s="50" t="n">
        <v>6.3</v>
      </c>
      <c r="M1077" s="51" t="n">
        <f aca="false">G1077-F1077</f>
        <v>5677</v>
      </c>
      <c r="N1077" s="52" t="n">
        <f aca="false">IF(F1077=0,0,M1077/F1077)</f>
        <v>0.0407666456023439</v>
      </c>
      <c r="O1077" s="51" t="n">
        <f aca="false">G1077-I1077</f>
        <v>58919</v>
      </c>
      <c r="P1077" s="51" t="n">
        <f aca="false">F1077-H1077</f>
        <v>55772</v>
      </c>
      <c r="Q1077" s="51" t="n">
        <f aca="false">F1077-H1077-J1077</f>
        <v>35789</v>
      </c>
      <c r="R1077" s="51" t="n">
        <f aca="false">G1077-I1077-K1077</f>
        <v>38303</v>
      </c>
      <c r="S1077" s="51" t="n">
        <f aca="false">R1077-Q1077</f>
        <v>2514</v>
      </c>
      <c r="T1077" s="52" t="n">
        <f aca="false">IF(Q1077=0,0,S1077/Q1077)</f>
        <v>0.070245047360921</v>
      </c>
      <c r="U1077" s="51" t="str">
        <f aca="false">IF(AND(Q1077&gt;0,T1077&lt;-0.15),"ADVERSE","")</f>
        <v/>
      </c>
    </row>
    <row r="1078" customFormat="false" ht="15" hidden="false" customHeight="false" outlineLevel="0" collapsed="false">
      <c r="A1078" s="47" t="s">
        <v>3</v>
      </c>
      <c r="B1078" s="47" t="s">
        <v>136</v>
      </c>
      <c r="C1078" s="48" t="n">
        <v>45870</v>
      </c>
      <c r="D1078" s="47" t="s">
        <v>37</v>
      </c>
      <c r="E1078" s="47" t="s">
        <v>45</v>
      </c>
      <c r="F1078" s="49" t="n">
        <v>132258</v>
      </c>
      <c r="G1078" s="49" t="n">
        <v>131765</v>
      </c>
      <c r="H1078" s="49" t="n">
        <v>79289</v>
      </c>
      <c r="I1078" s="49" t="n">
        <v>80199</v>
      </c>
      <c r="J1078" s="49" t="n">
        <v>18979</v>
      </c>
      <c r="K1078" s="49" t="n">
        <v>18133</v>
      </c>
      <c r="L1078" s="50" t="n">
        <v>6.4</v>
      </c>
      <c r="M1078" s="51" t="n">
        <f aca="false">G1078-F1078</f>
        <v>-493</v>
      </c>
      <c r="N1078" s="52" t="n">
        <f aca="false">IF(F1078=0,0,M1078/F1078)</f>
        <v>-0.00372756279393307</v>
      </c>
      <c r="O1078" s="51" t="n">
        <f aca="false">G1078-I1078</f>
        <v>51566</v>
      </c>
      <c r="P1078" s="51" t="n">
        <f aca="false">F1078-H1078</f>
        <v>52969</v>
      </c>
      <c r="Q1078" s="51" t="n">
        <f aca="false">F1078-H1078-J1078</f>
        <v>33990</v>
      </c>
      <c r="R1078" s="51" t="n">
        <f aca="false">G1078-I1078-K1078</f>
        <v>33433</v>
      </c>
      <c r="S1078" s="51" t="n">
        <f aca="false">R1078-Q1078</f>
        <v>-557</v>
      </c>
      <c r="T1078" s="52" t="n">
        <f aca="false">IF(Q1078=0,0,S1078/Q1078)</f>
        <v>-0.0163871726978523</v>
      </c>
      <c r="U1078" s="51" t="str">
        <f aca="false">IF(AND(Q1078&gt;0,T1078&lt;-0.15),"ADVERSE","")</f>
        <v/>
      </c>
    </row>
    <row r="1079" customFormat="false" ht="15" hidden="false" customHeight="false" outlineLevel="0" collapsed="false">
      <c r="A1079" s="47" t="s">
        <v>3</v>
      </c>
      <c r="B1079" s="47" t="s">
        <v>136</v>
      </c>
      <c r="C1079" s="48" t="n">
        <v>45901</v>
      </c>
      <c r="D1079" s="47" t="s">
        <v>37</v>
      </c>
      <c r="E1079" s="47" t="s">
        <v>45</v>
      </c>
      <c r="F1079" s="49" t="n">
        <v>138790</v>
      </c>
      <c r="G1079" s="49" t="n">
        <v>139550</v>
      </c>
      <c r="H1079" s="49" t="n">
        <v>83204</v>
      </c>
      <c r="I1079" s="49" t="n">
        <v>83956</v>
      </c>
      <c r="J1079" s="49" t="n">
        <v>19916</v>
      </c>
      <c r="K1079" s="49" t="n">
        <v>20298</v>
      </c>
      <c r="L1079" s="50" t="n">
        <v>6.6</v>
      </c>
      <c r="M1079" s="51" t="n">
        <f aca="false">G1079-F1079</f>
        <v>760</v>
      </c>
      <c r="N1079" s="52" t="n">
        <f aca="false">IF(F1079=0,0,M1079/F1079)</f>
        <v>0.00547589883997406</v>
      </c>
      <c r="O1079" s="51" t="n">
        <f aca="false">G1079-I1079</f>
        <v>55594</v>
      </c>
      <c r="P1079" s="51" t="n">
        <f aca="false">F1079-H1079</f>
        <v>55586</v>
      </c>
      <c r="Q1079" s="51" t="n">
        <f aca="false">F1079-H1079-J1079</f>
        <v>35670</v>
      </c>
      <c r="R1079" s="51" t="n">
        <f aca="false">G1079-I1079-K1079</f>
        <v>35296</v>
      </c>
      <c r="S1079" s="51" t="n">
        <f aca="false">R1079-Q1079</f>
        <v>-374</v>
      </c>
      <c r="T1079" s="52" t="n">
        <f aca="false">IF(Q1079=0,0,S1079/Q1079)</f>
        <v>-0.0104850014017382</v>
      </c>
      <c r="U1079" s="51" t="str">
        <f aca="false">IF(AND(Q1079&gt;0,T1079&lt;-0.15),"ADVERSE","")</f>
        <v/>
      </c>
    </row>
    <row r="1080" customFormat="false" ht="15" hidden="false" customHeight="false" outlineLevel="0" collapsed="false">
      <c r="A1080" s="47" t="s">
        <v>3</v>
      </c>
      <c r="B1080" s="47" t="s">
        <v>137</v>
      </c>
      <c r="C1080" s="48" t="n">
        <v>45931</v>
      </c>
      <c r="D1080" s="47" t="s">
        <v>37</v>
      </c>
      <c r="E1080" s="47" t="s">
        <v>45</v>
      </c>
      <c r="F1080" s="49" t="n">
        <v>141016</v>
      </c>
      <c r="G1080" s="49" t="n">
        <v>143995</v>
      </c>
      <c r="H1080" s="49" t="n">
        <v>84539</v>
      </c>
      <c r="I1080" s="49" t="n">
        <v>87128</v>
      </c>
      <c r="J1080" s="49" t="n">
        <v>20236</v>
      </c>
      <c r="K1080" s="49" t="n">
        <v>19965</v>
      </c>
      <c r="L1080" s="50" t="n">
        <v>6.5</v>
      </c>
      <c r="M1080" s="51" t="n">
        <f aca="false">G1080-F1080</f>
        <v>2979</v>
      </c>
      <c r="N1080" s="52" t="n">
        <f aca="false">IF(F1080=0,0,M1080/F1080)</f>
        <v>0.0211252623815737</v>
      </c>
      <c r="O1080" s="51" t="n">
        <f aca="false">G1080-I1080</f>
        <v>56867</v>
      </c>
      <c r="P1080" s="51" t="n">
        <f aca="false">F1080-H1080</f>
        <v>56477</v>
      </c>
      <c r="Q1080" s="51" t="n">
        <f aca="false">F1080-H1080-J1080</f>
        <v>36241</v>
      </c>
      <c r="R1080" s="51" t="n">
        <f aca="false">G1080-I1080-K1080</f>
        <v>36902</v>
      </c>
      <c r="S1080" s="51" t="n">
        <f aca="false">R1080-Q1080</f>
        <v>661</v>
      </c>
      <c r="T1080" s="52" t="n">
        <f aca="false">IF(Q1080=0,0,S1080/Q1080)</f>
        <v>0.0182390110648161</v>
      </c>
      <c r="U1080" s="51" t="str">
        <f aca="false">IF(AND(Q1080&gt;0,T1080&lt;-0.15),"ADVERSE","")</f>
        <v/>
      </c>
    </row>
    <row r="1081" customFormat="false" ht="15" hidden="false" customHeight="false" outlineLevel="0" collapsed="false">
      <c r="A1081" s="47" t="s">
        <v>3</v>
      </c>
      <c r="B1081" s="47" t="s">
        <v>137</v>
      </c>
      <c r="C1081" s="48" t="n">
        <v>45962</v>
      </c>
      <c r="D1081" s="47" t="s">
        <v>37</v>
      </c>
      <c r="E1081" s="47" t="s">
        <v>45</v>
      </c>
      <c r="F1081" s="49" t="n">
        <v>146112</v>
      </c>
      <c r="G1081" s="49" t="n">
        <v>143422</v>
      </c>
      <c r="H1081" s="49" t="n">
        <v>87594</v>
      </c>
      <c r="I1081" s="49" t="n">
        <v>86281</v>
      </c>
      <c r="J1081" s="49" t="n">
        <v>20967</v>
      </c>
      <c r="K1081" s="49" t="n">
        <v>20668</v>
      </c>
      <c r="L1081" s="50" t="n">
        <v>6.4</v>
      </c>
      <c r="M1081" s="51" t="n">
        <f aca="false">G1081-F1081</f>
        <v>-2690</v>
      </c>
      <c r="N1081" s="52" t="n">
        <f aca="false">IF(F1081=0,0,M1081/F1081)</f>
        <v>-0.0184105343845817</v>
      </c>
      <c r="O1081" s="51" t="n">
        <f aca="false">G1081-I1081</f>
        <v>57141</v>
      </c>
      <c r="P1081" s="51" t="n">
        <f aca="false">F1081-H1081</f>
        <v>58518</v>
      </c>
      <c r="Q1081" s="51" t="n">
        <f aca="false">F1081-H1081-J1081</f>
        <v>37551</v>
      </c>
      <c r="R1081" s="51" t="n">
        <f aca="false">G1081-I1081-K1081</f>
        <v>36473</v>
      </c>
      <c r="S1081" s="51" t="n">
        <f aca="false">R1081-Q1081</f>
        <v>-1078</v>
      </c>
      <c r="T1081" s="52" t="n">
        <f aca="false">IF(Q1081=0,0,S1081/Q1081)</f>
        <v>-0.0287076242976219</v>
      </c>
      <c r="U1081" s="51" t="str">
        <f aca="false">IF(AND(Q1081&gt;0,T1081&lt;-0.15),"ADVERSE","")</f>
        <v/>
      </c>
    </row>
    <row r="1082" customFormat="false" ht="15" hidden="false" customHeight="false" outlineLevel="0" collapsed="false">
      <c r="A1082" s="47" t="s">
        <v>3</v>
      </c>
      <c r="B1082" s="47" t="s">
        <v>137</v>
      </c>
      <c r="C1082" s="48" t="n">
        <v>45992</v>
      </c>
      <c r="D1082" s="47" t="s">
        <v>37</v>
      </c>
      <c r="E1082" s="47" t="s">
        <v>45</v>
      </c>
      <c r="F1082" s="49" t="n">
        <v>141297</v>
      </c>
      <c r="G1082" s="49" t="n">
        <v>140549</v>
      </c>
      <c r="H1082" s="49" t="n">
        <v>84707</v>
      </c>
      <c r="I1082" s="49" t="n">
        <v>84930</v>
      </c>
      <c r="J1082" s="49" t="n">
        <v>20276</v>
      </c>
      <c r="K1082" s="49" t="n">
        <v>21457</v>
      </c>
      <c r="L1082" s="50" t="n">
        <v>6.5</v>
      </c>
      <c r="M1082" s="51" t="n">
        <f aca="false">G1082-F1082</f>
        <v>-748</v>
      </c>
      <c r="N1082" s="52" t="n">
        <f aca="false">IF(F1082=0,0,M1082/F1082)</f>
        <v>-0.00529381373985293</v>
      </c>
      <c r="O1082" s="51" t="n">
        <f aca="false">G1082-I1082</f>
        <v>55619</v>
      </c>
      <c r="P1082" s="51" t="n">
        <f aca="false">F1082-H1082</f>
        <v>56590</v>
      </c>
      <c r="Q1082" s="51" t="n">
        <f aca="false">F1082-H1082-J1082</f>
        <v>36314</v>
      </c>
      <c r="R1082" s="51" t="n">
        <f aca="false">G1082-I1082-K1082</f>
        <v>34162</v>
      </c>
      <c r="S1082" s="51" t="n">
        <f aca="false">R1082-Q1082</f>
        <v>-2152</v>
      </c>
      <c r="T1082" s="52" t="n">
        <f aca="false">IF(Q1082=0,0,S1082/Q1082)</f>
        <v>-0.0592608911163739</v>
      </c>
      <c r="U1082" s="51" t="str">
        <f aca="false">IF(AND(Q1082&gt;0,T1082&lt;-0.15),"ADVERSE","")</f>
        <v/>
      </c>
    </row>
    <row r="1083" customFormat="false" ht="15" hidden="false" customHeight="false" outlineLevel="0" collapsed="false">
      <c r="A1083" s="47" t="s">
        <v>3</v>
      </c>
      <c r="B1083" s="47" t="s">
        <v>138</v>
      </c>
      <c r="C1083" s="48" t="n">
        <v>46023</v>
      </c>
      <c r="D1083" s="47" t="s">
        <v>37</v>
      </c>
      <c r="E1083" s="47" t="s">
        <v>45</v>
      </c>
      <c r="F1083" s="49" t="n">
        <v>136604</v>
      </c>
      <c r="G1083" s="49" t="n">
        <v>127271</v>
      </c>
      <c r="H1083" s="49" t="n">
        <v>81894</v>
      </c>
      <c r="I1083" s="49" t="n">
        <v>76546</v>
      </c>
      <c r="J1083" s="49" t="n">
        <v>19603</v>
      </c>
      <c r="K1083" s="49" t="n">
        <v>18858</v>
      </c>
      <c r="L1083" s="50" t="n">
        <v>6.4</v>
      </c>
      <c r="M1083" s="51" t="n">
        <f aca="false">G1083-F1083</f>
        <v>-9333</v>
      </c>
      <c r="N1083" s="52" t="n">
        <f aca="false">IF(F1083=0,0,M1083/F1083)</f>
        <v>-0.0683215718426986</v>
      </c>
      <c r="O1083" s="51" t="n">
        <f aca="false">G1083-I1083</f>
        <v>50725</v>
      </c>
      <c r="P1083" s="51" t="n">
        <f aca="false">F1083-H1083</f>
        <v>54710</v>
      </c>
      <c r="Q1083" s="51" t="n">
        <f aca="false">F1083-H1083-J1083</f>
        <v>35107</v>
      </c>
      <c r="R1083" s="51" t="n">
        <f aca="false">G1083-I1083-K1083</f>
        <v>31867</v>
      </c>
      <c r="S1083" s="51" t="n">
        <f aca="false">R1083-Q1083</f>
        <v>-3240</v>
      </c>
      <c r="T1083" s="52" t="n">
        <f aca="false">IF(Q1083=0,0,S1083/Q1083)</f>
        <v>-0.0922892870367733</v>
      </c>
      <c r="U1083" s="51" t="str">
        <f aca="false">IF(AND(Q1083&gt;0,T1083&lt;-0.15),"ADVERSE","")</f>
        <v/>
      </c>
    </row>
    <row r="1084" customFormat="false" ht="15" hidden="false" customHeight="false" outlineLevel="0" collapsed="false">
      <c r="A1084" s="47" t="s">
        <v>3</v>
      </c>
      <c r="B1084" s="47" t="s">
        <v>138</v>
      </c>
      <c r="C1084" s="48" t="n">
        <v>46054</v>
      </c>
      <c r="D1084" s="47" t="s">
        <v>37</v>
      </c>
      <c r="E1084" s="47" t="s">
        <v>45</v>
      </c>
      <c r="F1084" s="49" t="n">
        <v>139025</v>
      </c>
      <c r="G1084" s="49" t="n">
        <v>141614</v>
      </c>
      <c r="H1084" s="49" t="n">
        <v>83345</v>
      </c>
      <c r="I1084" s="49" t="n">
        <v>86091</v>
      </c>
      <c r="J1084" s="49" t="n">
        <v>19950</v>
      </c>
      <c r="K1084" s="49" t="n">
        <v>21317</v>
      </c>
      <c r="L1084" s="50" t="n">
        <v>6.5</v>
      </c>
      <c r="M1084" s="51" t="n">
        <f aca="false">G1084-F1084</f>
        <v>2589</v>
      </c>
      <c r="N1084" s="52" t="n">
        <f aca="false">IF(F1084=0,0,M1084/F1084)</f>
        <v>0.0186225499010969</v>
      </c>
      <c r="O1084" s="51" t="n">
        <f aca="false">G1084-I1084</f>
        <v>55523</v>
      </c>
      <c r="P1084" s="51" t="n">
        <f aca="false">F1084-H1084</f>
        <v>55680</v>
      </c>
      <c r="Q1084" s="51" t="n">
        <f aca="false">F1084-H1084-J1084</f>
        <v>35730</v>
      </c>
      <c r="R1084" s="51" t="n">
        <f aca="false">G1084-I1084-K1084</f>
        <v>34206</v>
      </c>
      <c r="S1084" s="51" t="n">
        <f aca="false">R1084-Q1084</f>
        <v>-1524</v>
      </c>
      <c r="T1084" s="52" t="n">
        <f aca="false">IF(Q1084=0,0,S1084/Q1084)</f>
        <v>-0.0426532325776658</v>
      </c>
      <c r="U1084" s="51" t="str">
        <f aca="false">IF(AND(Q1084&gt;0,T1084&lt;-0.15),"ADVERSE","")</f>
        <v/>
      </c>
    </row>
    <row r="1085" customFormat="false" ht="15" hidden="false" customHeight="false" outlineLevel="0" collapsed="false">
      <c r="A1085" s="47" t="s">
        <v>3</v>
      </c>
      <c r="B1085" s="47" t="s">
        <v>138</v>
      </c>
      <c r="C1085" s="48" t="n">
        <v>46082</v>
      </c>
      <c r="D1085" s="47" t="s">
        <v>37</v>
      </c>
      <c r="E1085" s="47" t="s">
        <v>45</v>
      </c>
      <c r="F1085" s="49" t="n">
        <v>153711</v>
      </c>
      <c r="G1085" s="49" t="n">
        <v>151566</v>
      </c>
      <c r="H1085" s="49" t="n">
        <v>92150</v>
      </c>
      <c r="I1085" s="49" t="n">
        <v>91201</v>
      </c>
      <c r="J1085" s="49" t="n">
        <v>22057</v>
      </c>
      <c r="K1085" s="49" t="n">
        <v>22637</v>
      </c>
      <c r="L1085" s="50" t="n">
        <v>6.5</v>
      </c>
      <c r="M1085" s="51" t="n">
        <f aca="false">G1085-F1085</f>
        <v>-2145</v>
      </c>
      <c r="N1085" s="52" t="n">
        <f aca="false">IF(F1085=0,0,M1085/F1085)</f>
        <v>-0.0139547592560064</v>
      </c>
      <c r="O1085" s="51" t="n">
        <f aca="false">G1085-I1085</f>
        <v>60365</v>
      </c>
      <c r="P1085" s="51" t="n">
        <f aca="false">F1085-H1085</f>
        <v>61561</v>
      </c>
      <c r="Q1085" s="51" t="n">
        <f aca="false">F1085-H1085-J1085</f>
        <v>39504</v>
      </c>
      <c r="R1085" s="51" t="n">
        <f aca="false">G1085-I1085-K1085</f>
        <v>37728</v>
      </c>
      <c r="S1085" s="51" t="n">
        <f aca="false">R1085-Q1085</f>
        <v>-1776</v>
      </c>
      <c r="T1085" s="52" t="n">
        <f aca="false">IF(Q1085=0,0,S1085/Q1085)</f>
        <v>-0.0449574726609964</v>
      </c>
      <c r="U1085" s="51" t="str">
        <f aca="false">IF(AND(Q1085&gt;0,T1085&lt;-0.15),"ADVERSE","")</f>
        <v/>
      </c>
    </row>
  </sheetData>
  <autoFilter ref="A5:U1085"/>
  <mergeCells count="2">
    <mergeCell ref="B1:U1"/>
    <mergeCell ref="B2:U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56"/>
    <col collapsed="false" customWidth="true" hidden="false" outlineLevel="0" max="4" min="4" style="0" width="48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/>
      <c r="B1" s="2" t="s">
        <v>140</v>
      </c>
      <c r="C1" s="2"/>
      <c r="D1" s="2"/>
      <c r="E1" s="2"/>
    </row>
    <row r="2" customFormat="false" ht="15" hidden="false" customHeight="false" outlineLevel="0" collapsed="false">
      <c r="B2" s="3" t="s">
        <v>141</v>
      </c>
      <c r="C2" s="3"/>
      <c r="D2" s="3"/>
      <c r="E2" s="3"/>
    </row>
    <row r="4" customFormat="false" ht="30" hidden="false" customHeight="true" outlineLevel="0" collapsed="false">
      <c r="B4" s="13" t="s">
        <v>142</v>
      </c>
      <c r="C4" s="14" t="s">
        <v>143</v>
      </c>
      <c r="D4" s="14" t="s">
        <v>144</v>
      </c>
      <c r="E4" s="14" t="s">
        <v>145</v>
      </c>
    </row>
    <row r="5" customFormat="false" ht="43.5" hidden="false" customHeight="true" outlineLevel="0" collapsed="false">
      <c r="B5" s="53" t="s">
        <v>17</v>
      </c>
      <c r="C5" s="54" t="s">
        <v>146</v>
      </c>
      <c r="D5" s="54" t="s">
        <v>147</v>
      </c>
      <c r="E5" s="55" t="s">
        <v>148</v>
      </c>
    </row>
    <row r="6" customFormat="false" ht="43.5" hidden="false" customHeight="true" outlineLevel="0" collapsed="false">
      <c r="B6" s="53" t="s">
        <v>149</v>
      </c>
      <c r="C6" s="54" t="s">
        <v>150</v>
      </c>
      <c r="D6" s="54" t="s">
        <v>151</v>
      </c>
      <c r="E6" s="55" t="s">
        <v>152</v>
      </c>
    </row>
    <row r="7" customFormat="false" ht="43.5" hidden="false" customHeight="true" outlineLevel="0" collapsed="false">
      <c r="B7" s="53" t="s">
        <v>153</v>
      </c>
      <c r="C7" s="54" t="s">
        <v>154</v>
      </c>
      <c r="D7" s="54" t="s">
        <v>155</v>
      </c>
      <c r="E7" s="55" t="s">
        <v>156</v>
      </c>
    </row>
    <row r="8" customFormat="false" ht="43.5" hidden="false" customHeight="true" outlineLevel="0" collapsed="false">
      <c r="B8" s="53" t="s">
        <v>157</v>
      </c>
      <c r="C8" s="54" t="s">
        <v>158</v>
      </c>
      <c r="D8" s="54" t="s">
        <v>159</v>
      </c>
      <c r="E8" s="55" t="s">
        <v>160</v>
      </c>
    </row>
    <row r="9" customFormat="false" ht="43.5" hidden="false" customHeight="true" outlineLevel="0" collapsed="false">
      <c r="B9" s="53" t="s">
        <v>161</v>
      </c>
      <c r="C9" s="54" t="s">
        <v>162</v>
      </c>
      <c r="D9" s="54" t="s">
        <v>163</v>
      </c>
      <c r="E9" s="55" t="s">
        <v>164</v>
      </c>
    </row>
    <row r="10" customFormat="false" ht="43.5" hidden="false" customHeight="true" outlineLevel="0" collapsed="false">
      <c r="B10" s="53" t="s">
        <v>165</v>
      </c>
      <c r="C10" s="54" t="s">
        <v>166</v>
      </c>
      <c r="D10" s="54" t="s">
        <v>167</v>
      </c>
      <c r="E10" s="55" t="s">
        <v>168</v>
      </c>
    </row>
    <row r="11" customFormat="false" ht="43.5" hidden="false" customHeight="true" outlineLevel="0" collapsed="false">
      <c r="B11" s="53" t="s">
        <v>169</v>
      </c>
      <c r="C11" s="54" t="s">
        <v>170</v>
      </c>
      <c r="D11" s="54" t="s">
        <v>171</v>
      </c>
      <c r="E11" s="55" t="s">
        <v>172</v>
      </c>
    </row>
    <row r="12" customFormat="false" ht="43.5" hidden="false" customHeight="true" outlineLevel="0" collapsed="false">
      <c r="B12" s="53" t="s">
        <v>173</v>
      </c>
      <c r="C12" s="54" t="s">
        <v>174</v>
      </c>
      <c r="D12" s="54" t="s">
        <v>175</v>
      </c>
      <c r="E12" s="55" t="s">
        <v>176</v>
      </c>
    </row>
    <row r="13" customFormat="false" ht="43.5" hidden="false" customHeight="true" outlineLevel="0" collapsed="false">
      <c r="B13" s="53" t="s">
        <v>177</v>
      </c>
      <c r="C13" s="54" t="s">
        <v>178</v>
      </c>
      <c r="D13" s="54" t="s">
        <v>179</v>
      </c>
      <c r="E13" s="55" t="s">
        <v>180</v>
      </c>
    </row>
    <row r="14" customFormat="false" ht="43.5" hidden="false" customHeight="true" outlineLevel="0" collapsed="false">
      <c r="B14" s="53" t="s">
        <v>66</v>
      </c>
      <c r="C14" s="54" t="s">
        <v>181</v>
      </c>
      <c r="D14" s="54" t="s">
        <v>182</v>
      </c>
      <c r="E14" s="55" t="s">
        <v>180</v>
      </c>
    </row>
    <row r="15" customFormat="false" ht="43.5" hidden="false" customHeight="true" outlineLevel="0" collapsed="false">
      <c r="B15" s="53" t="s">
        <v>67</v>
      </c>
      <c r="C15" s="54" t="s">
        <v>183</v>
      </c>
      <c r="D15" s="54" t="s">
        <v>184</v>
      </c>
      <c r="E15" s="55" t="s">
        <v>180</v>
      </c>
    </row>
  </sheetData>
  <mergeCells count="2">
    <mergeCell ref="B1:E1"/>
    <mergeCell ref="B2:E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/>
      <c r="B1" s="2" t="s">
        <v>185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186</v>
      </c>
      <c r="C2" s="3"/>
      <c r="D2" s="3"/>
      <c r="E2" s="3"/>
      <c r="F2" s="3"/>
      <c r="G2" s="3"/>
    </row>
    <row r="4" customFormat="false" ht="15" hidden="false" customHeight="false" outlineLevel="0" collapsed="false">
      <c r="B4" s="4" t="s">
        <v>187</v>
      </c>
      <c r="C4" s="56" t="str">
        <f aca="false">IF(COUNTIF(F8:F16,"FAIL")=0,"ALL CHECKS PASS","CHECK FAILURES")</f>
        <v>ALL CHECKS PASS</v>
      </c>
    </row>
    <row r="7" customFormat="false" ht="30" hidden="false" customHeight="true" outlineLevel="0" collapsed="false">
      <c r="B7" s="13" t="s">
        <v>81</v>
      </c>
      <c r="C7" s="14" t="s">
        <v>188</v>
      </c>
      <c r="D7" s="14" t="s">
        <v>189</v>
      </c>
      <c r="E7" s="14" t="s">
        <v>190</v>
      </c>
      <c r="F7" s="14" t="s">
        <v>191</v>
      </c>
    </row>
    <row r="8" customFormat="false" ht="15" hidden="false" customHeight="false" outlineLevel="0" collapsed="false">
      <c r="B8" s="20" t="s">
        <v>192</v>
      </c>
      <c r="C8" s="27" t="n">
        <f aca="false">COUNTA(Data!$A$6:$A$1085)</f>
        <v>1080</v>
      </c>
      <c r="D8" s="57" t="n">
        <v>1080</v>
      </c>
      <c r="E8" s="58" t="n">
        <f aca="false">C8-D8</f>
        <v>0</v>
      </c>
      <c r="F8" s="56" t="str">
        <f aca="false">IF(ABS(E8)&lt;=1,"PASS","FAIL")</f>
        <v>PASS</v>
      </c>
    </row>
    <row r="9" customFormat="false" ht="15" hidden="false" customHeight="false" outlineLevel="0" collapsed="false">
      <c r="B9" s="20" t="s">
        <v>193</v>
      </c>
      <c r="C9" s="15" t="n">
        <f aca="false">Exec_Summary!C26</f>
        <v>171736155</v>
      </c>
      <c r="D9" s="15" t="n">
        <f aca="false">Exec_Summary!C10</f>
        <v>171736155</v>
      </c>
      <c r="E9" s="58" t="n">
        <f aca="false">C9-D9</f>
        <v>0</v>
      </c>
      <c r="F9" s="56" t="str">
        <f aca="false">IF(ABS(E9)&lt;=1,"PASS","FAIL")</f>
        <v>PASS</v>
      </c>
    </row>
    <row r="10" customFormat="false" ht="15" hidden="false" customHeight="false" outlineLevel="0" collapsed="false">
      <c r="B10" s="20" t="s">
        <v>194</v>
      </c>
      <c r="C10" s="15" t="n">
        <f aca="false">Exec_Summary!C36</f>
        <v>171736155</v>
      </c>
      <c r="D10" s="15" t="n">
        <f aca="false">Exec_Summary!C10</f>
        <v>171736155</v>
      </c>
      <c r="E10" s="58" t="n">
        <f aca="false">C10-D10</f>
        <v>0</v>
      </c>
      <c r="F10" s="56" t="str">
        <f aca="false">IF(ABS(E10)&lt;=1,"PASS","FAIL")</f>
        <v>PASS</v>
      </c>
    </row>
    <row r="11" customFormat="false" ht="15" hidden="false" customHeight="false" outlineLevel="0" collapsed="false">
      <c r="B11" s="20" t="s">
        <v>195</v>
      </c>
      <c r="C11" s="15" t="n">
        <f aca="false">Heatmap!I26</f>
        <v>171736155</v>
      </c>
      <c r="D11" s="15" t="n">
        <f aca="false">Exec_Summary!C10</f>
        <v>171736155</v>
      </c>
      <c r="E11" s="58" t="n">
        <f aca="false">C11-D11</f>
        <v>0</v>
      </c>
      <c r="F11" s="56" t="str">
        <f aca="false">IF(ABS(E11)&lt;=1,"PASS","FAIL")</f>
        <v>PASS</v>
      </c>
    </row>
    <row r="12" customFormat="false" ht="15" hidden="false" customHeight="false" outlineLevel="0" collapsed="false">
      <c r="B12" s="20" t="s">
        <v>196</v>
      </c>
      <c r="C12" s="15" t="n">
        <f aca="false">Bridge!C10</f>
        <v>39558377</v>
      </c>
      <c r="D12" s="15" t="n">
        <f aca="false">Exec_Summary!C12</f>
        <v>39558377</v>
      </c>
      <c r="E12" s="58" t="n">
        <f aca="false">C12-D12</f>
        <v>0</v>
      </c>
      <c r="F12" s="56" t="str">
        <f aca="false">IF(ABS(E12)&lt;=1,"PASS","FAIL")</f>
        <v>PASS</v>
      </c>
    </row>
    <row r="13" customFormat="false" ht="15" hidden="false" customHeight="false" outlineLevel="0" collapsed="false">
      <c r="B13" s="20" t="s">
        <v>197</v>
      </c>
      <c r="C13" s="59" t="n">
        <f aca="false">Bridge!N20</f>
        <v>0</v>
      </c>
      <c r="D13" s="60" t="n">
        <v>0</v>
      </c>
      <c r="E13" s="58" t="n">
        <f aca="false">C13-D13</f>
        <v>0</v>
      </c>
      <c r="F13" s="56" t="str">
        <f aca="false">IF(ABS(E13)&lt;=1,"PASS","FAIL")</f>
        <v>PASS</v>
      </c>
    </row>
    <row r="14" customFormat="false" ht="15" hidden="false" customHeight="false" outlineLevel="0" collapsed="false">
      <c r="B14" s="20" t="s">
        <v>198</v>
      </c>
      <c r="C14" s="15" t="n">
        <f aca="false">Monthly_Trend!D18</f>
        <v>171736155</v>
      </c>
      <c r="D14" s="15" t="n">
        <f aca="false">Exec_Summary!C10</f>
        <v>171736155</v>
      </c>
      <c r="E14" s="58" t="n">
        <f aca="false">C14-D14</f>
        <v>0</v>
      </c>
      <c r="F14" s="56" t="str">
        <f aca="false">IF(ABS(E14)&lt;=1,"PASS","FAIL")</f>
        <v>PASS</v>
      </c>
    </row>
    <row r="15" customFormat="false" ht="15" hidden="false" customHeight="false" outlineLevel="0" collapsed="false">
      <c r="B15" s="20" t="s">
        <v>199</v>
      </c>
      <c r="C15" s="15" t="n">
        <f aca="false">SUM(SUMIFS(Data!$G$6:$G$1085,Data!$A$6:$A$1085,"FY24"),SUMIFS(Data!$G$6:$G$1085,Data!$A$6:$A$1085,"FY25"),SUMIFS(Data!$G$6:$G$1085,Data!$A$6:$A$1085,"FY26"))</f>
        <v>479717730</v>
      </c>
      <c r="D15" s="15" t="n">
        <f aca="false">SUM(Data!$G$6:$G$1085)</f>
        <v>479717730</v>
      </c>
      <c r="E15" s="58" t="n">
        <f aca="false">C15-D15</f>
        <v>0</v>
      </c>
      <c r="F15" s="56" t="str">
        <f aca="false">IF(ABS(E15)&lt;=1,"PASS","FAIL")</f>
        <v>PASS</v>
      </c>
    </row>
    <row r="16" customFormat="false" ht="15" hidden="false" customHeight="false" outlineLevel="0" collapsed="false">
      <c r="B16" s="20" t="s">
        <v>200</v>
      </c>
      <c r="C16" s="15" t="n">
        <f aca="false">Exec_Summary!C10</f>
        <v>171736155</v>
      </c>
      <c r="D16" s="15" t="n">
        <f aca="false">INDEX(C21:E21,MATCH(Exec_Summary!C4,C20:E20,0))</f>
        <v>171736155</v>
      </c>
      <c r="E16" s="58" t="n">
        <f aca="false">C16-D16</f>
        <v>0</v>
      </c>
      <c r="F16" s="56" t="str">
        <f aca="false">IF(ABS(E16)&lt;=25,"PASS","FAIL")</f>
        <v>PASS</v>
      </c>
    </row>
    <row r="19" customFormat="false" ht="15" hidden="false" customHeight="false" outlineLevel="0" collapsed="false">
      <c r="B19" s="11" t="s">
        <v>201</v>
      </c>
      <c r="C19" s="12"/>
      <c r="D19" s="12"/>
      <c r="E19" s="12"/>
      <c r="F19" s="12"/>
      <c r="G19" s="12"/>
    </row>
    <row r="20" customFormat="false" ht="30" hidden="false" customHeight="true" outlineLevel="0" collapsed="false">
      <c r="B20" s="13" t="s">
        <v>202</v>
      </c>
      <c r="C20" s="14" t="s">
        <v>134</v>
      </c>
      <c r="D20" s="14" t="s">
        <v>139</v>
      </c>
      <c r="E20" s="14" t="s">
        <v>3</v>
      </c>
    </row>
    <row r="21" customFormat="false" ht="15" hidden="false" customHeight="false" outlineLevel="0" collapsed="false">
      <c r="B21" s="20" t="s">
        <v>203</v>
      </c>
      <c r="C21" s="61" t="n">
        <v>148005508</v>
      </c>
      <c r="D21" s="61" t="n">
        <v>159976068</v>
      </c>
      <c r="E21" s="61" t="n">
        <v>171736155</v>
      </c>
    </row>
  </sheetData>
  <mergeCells count="2">
    <mergeCell ref="B1:G1"/>
    <mergeCell ref="B2:G2"/>
  </mergeCells>
  <conditionalFormatting sqref="C4">
    <cfRule type="expression" priority="2" aboveAverage="0" equalAverage="0" bottom="0" percent="0" rank="0" text="" dxfId="2">
      <formula>C4="ALL CHECKS PASS"</formula>
    </cfRule>
    <cfRule type="expression" priority="3" aboveAverage="0" equalAverage="0" bottom="0" percent="0" rank="0" text="" dxfId="4">
      <formula>C4&lt;&gt;"ALL CHECKS PASS"</formula>
    </cfRule>
  </conditionalFormatting>
  <conditionalFormatting sqref="F8:F16">
    <cfRule type="cellIs" priority="4" operator="equal" aboveAverage="0" equalAverage="0" bottom="0" percent="0" rank="0" text="" dxfId="2">
      <formula>"PASS"</formula>
    </cfRule>
    <cfRule type="cellIs" priority="5" operator="equal" aboveAverage="0" equalAverage="0" bottom="0" percent="0" rank="0" text="" dxfId="4">
      <formula>"FAIL"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2026-10-13T08:00:46Z</dcterms:created>
  <dc:creator>openpyxl</dc:creator>
  <dc:description/>
  <dc:language>en-US</dc:language>
  <cp:lastModifiedBy/>
  <dcterms:modified xsi:type="dcterms:W3CDTF">2026-10-13T08:00:49Z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