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Adjustments_Ledger" sheetId="2" state="visible" r:id="rId4"/>
    <sheet name="02_Tax_Computati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<sst xmlns="http://schemas.openxmlformats.org/spreadsheetml/2006/main" count="5484" uniqueCount="1468">
  <si>
    <t xml:space="preserve">UAE Corporate Tax Computation Model</t>
  </si>
  <si>
    <t xml:space="preserve">FY2025 (Jan–Dec) — taxable income build-up from accounting profit, per Federal Decree-Law No. 47 of 2022</t>
  </si>
  <si>
    <t xml:space="preserve">Purpose: demonstration / training project — synthetic entity, not a real employer's tax filing.</t>
  </si>
  <si>
    <t xml:space="preserve">Applies standard UAE CT rates: 0% on taxable income up to AED 375,000, 9% above that threshold.</t>
  </si>
  <si>
    <t xml:space="preserve">Sheet guide:</t>
  </si>
  <si>
    <t xml:space="preserve">  01_Adjustments_Ledger   1,090 transaction-level adjusting items (disallowed expenses, exempt income, etc.)</t>
  </si>
  <si>
    <t xml:space="preserve">  02_Tax_Computation      Accounting profit -&gt; adjustments -&gt; taxable income -&gt; tax payable.</t>
  </si>
  <si>
    <t xml:space="preserve">AdjID</t>
  </si>
  <si>
    <t xml:space="preserve">Date</t>
  </si>
  <si>
    <t xml:space="preserve">Description</t>
  </si>
  <si>
    <t xml:space="preserve">TaxTreatment</t>
  </si>
  <si>
    <t xml:space="preserve">AccountingAmount_AED</t>
  </si>
  <si>
    <t xml:space="preserve">AdjustmentDirection</t>
  </si>
  <si>
    <t xml:space="preserve">CT-9001</t>
  </si>
  <si>
    <t xml:space="preserve">2025-01-04</t>
  </si>
  <si>
    <t xml:space="preserve">Client Entertainment</t>
  </si>
  <si>
    <t xml:space="preserve">Disallowed 50%</t>
  </si>
  <si>
    <t xml:space="preserve">Add</t>
  </si>
  <si>
    <t xml:space="preserve">CT-9002</t>
  </si>
  <si>
    <t xml:space="preserve">2025-01-27</t>
  </si>
  <si>
    <t xml:space="preserve">Exempt Dividend Income</t>
  </si>
  <si>
    <t xml:space="preserve">Exempt Income</t>
  </si>
  <si>
    <t xml:space="preserve">CT-9003</t>
  </si>
  <si>
    <t xml:space="preserve">2025-01-03</t>
  </si>
  <si>
    <t xml:space="preserve">Related Party Management Fee</t>
  </si>
  <si>
    <t xml:space="preserve">Transfer Pricing Adj.</t>
  </si>
  <si>
    <t xml:space="preserve">CT-9004</t>
  </si>
  <si>
    <t xml:space="preserve">2025-01-05</t>
  </si>
  <si>
    <t xml:space="preserve">CT-9005</t>
  </si>
  <si>
    <t xml:space="preserve">2025-01-25</t>
  </si>
  <si>
    <t xml:space="preserve">CT-9006</t>
  </si>
  <si>
    <t xml:space="preserve">2025-01-20</t>
  </si>
  <si>
    <t xml:space="preserve">Donations - Non Qualifying</t>
  </si>
  <si>
    <t xml:space="preserve">Fully Disallowed</t>
  </si>
  <si>
    <t xml:space="preserve">CT-9007</t>
  </si>
  <si>
    <t xml:space="preserve">2025-01-07</t>
  </si>
  <si>
    <t xml:space="preserve">Interest Income - Related Party</t>
  </si>
  <si>
    <t xml:space="preserve">Related Party Adj.</t>
  </si>
  <si>
    <t xml:space="preserve">Deduct</t>
  </si>
  <si>
    <t xml:space="preserve">CT-9008</t>
  </si>
  <si>
    <t xml:space="preserve">2025-01-12</t>
  </si>
  <si>
    <t xml:space="preserve">Entertainment Expense</t>
  </si>
  <si>
    <t xml:space="preserve">CT-9009</t>
  </si>
  <si>
    <t xml:space="preserve">2025-01-17</t>
  </si>
  <si>
    <t xml:space="preserve">CT-9010</t>
  </si>
  <si>
    <t xml:space="preserve">Bad Debts Written Off (realized)</t>
  </si>
  <si>
    <t xml:space="preserve">CT-9011</t>
  </si>
  <si>
    <t xml:space="preserve">CT-9012</t>
  </si>
  <si>
    <t xml:space="preserve">2025-01-10</t>
  </si>
  <si>
    <t xml:space="preserve">CT-9013</t>
  </si>
  <si>
    <t xml:space="preserve">2025-01-14</t>
  </si>
  <si>
    <t xml:space="preserve">CT-9014</t>
  </si>
  <si>
    <t xml:space="preserve">CT-9015</t>
  </si>
  <si>
    <t xml:space="preserve">2025-01-28</t>
  </si>
  <si>
    <t xml:space="preserve">UAE Government Grant Income</t>
  </si>
  <si>
    <t xml:space="preserve">CT-9016</t>
  </si>
  <si>
    <t xml:space="preserve">2025-01-19</t>
  </si>
  <si>
    <t xml:space="preserve">CT-9017</t>
  </si>
  <si>
    <t xml:space="preserve">CT-9018</t>
  </si>
  <si>
    <t xml:space="preserve">CT-9019</t>
  </si>
  <si>
    <t xml:space="preserve">CT-9020</t>
  </si>
  <si>
    <t xml:space="preserve">2025-01-06</t>
  </si>
  <si>
    <t xml:space="preserve">Depreciation - Tax (per schedule)</t>
  </si>
  <si>
    <t xml:space="preserve">CT-9021</t>
  </si>
  <si>
    <t xml:space="preserve">CT-9022</t>
  </si>
  <si>
    <t xml:space="preserve">2025-01-26</t>
  </si>
  <si>
    <t xml:space="preserve">CT-9023</t>
  </si>
  <si>
    <t xml:space="preserve">Provision for Doubtful Debts (unrealized)</t>
  </si>
  <si>
    <t xml:space="preserve">Add Back</t>
  </si>
  <si>
    <t xml:space="preserve">CT-9024</t>
  </si>
  <si>
    <t xml:space="preserve">CT-9025</t>
  </si>
  <si>
    <t xml:space="preserve">2025-01-18</t>
  </si>
  <si>
    <t xml:space="preserve">CT-9026</t>
  </si>
  <si>
    <t xml:space="preserve">2025-01-24</t>
  </si>
  <si>
    <t xml:space="preserve">CT-9027</t>
  </si>
  <si>
    <t xml:space="preserve">CT-9028</t>
  </si>
  <si>
    <t xml:space="preserve">CT-9029</t>
  </si>
  <si>
    <t xml:space="preserve">2025-01-09</t>
  </si>
  <si>
    <t xml:space="preserve">CT-9030</t>
  </si>
  <si>
    <t xml:space="preserve">CT-9031</t>
  </si>
  <si>
    <t xml:space="preserve">CT-9032</t>
  </si>
  <si>
    <t xml:space="preserve">CT-9033</t>
  </si>
  <si>
    <t xml:space="preserve">2025-01-13</t>
  </si>
  <si>
    <t xml:space="preserve">CT-9034</t>
  </si>
  <si>
    <t xml:space="preserve">CT-9035</t>
  </si>
  <si>
    <t xml:space="preserve">CT-9036</t>
  </si>
  <si>
    <t xml:space="preserve">CT-9037</t>
  </si>
  <si>
    <t xml:space="preserve">CT-9038</t>
  </si>
  <si>
    <t xml:space="preserve">CT-9039</t>
  </si>
  <si>
    <t xml:space="preserve">CT-9040</t>
  </si>
  <si>
    <t xml:space="preserve">CT-9041</t>
  </si>
  <si>
    <t xml:space="preserve">2025-01-02</t>
  </si>
  <si>
    <t xml:space="preserve">CT-9042</t>
  </si>
  <si>
    <t xml:space="preserve">CT-9043</t>
  </si>
  <si>
    <t xml:space="preserve">Depreciation - Accounting</t>
  </si>
  <si>
    <t xml:space="preserve">CT-9044</t>
  </si>
  <si>
    <t xml:space="preserve">2025-01-01</t>
  </si>
  <si>
    <t xml:space="preserve">CT-9045</t>
  </si>
  <si>
    <t xml:space="preserve">2025-01-15</t>
  </si>
  <si>
    <t xml:space="preserve">CT-9046</t>
  </si>
  <si>
    <t xml:space="preserve">CT-9047</t>
  </si>
  <si>
    <t xml:space="preserve">Fines &amp; Penalties</t>
  </si>
  <si>
    <t xml:space="preserve">CT-9048</t>
  </si>
  <si>
    <t xml:space="preserve">CT-9049</t>
  </si>
  <si>
    <t xml:space="preserve">CT-9050</t>
  </si>
  <si>
    <t xml:space="preserve">CT-9051</t>
  </si>
  <si>
    <t xml:space="preserve">CT-9052</t>
  </si>
  <si>
    <t xml:space="preserve">CT-9053</t>
  </si>
  <si>
    <t xml:space="preserve">2025-01-21</t>
  </si>
  <si>
    <t xml:space="preserve">CT-9054</t>
  </si>
  <si>
    <t xml:space="preserve">CT-9055</t>
  </si>
  <si>
    <t xml:space="preserve">CT-9056</t>
  </si>
  <si>
    <t xml:space="preserve">CT-9057</t>
  </si>
  <si>
    <t xml:space="preserve">2025-01-22</t>
  </si>
  <si>
    <t xml:space="preserve">CT-9058</t>
  </si>
  <si>
    <t xml:space="preserve">CT-9059</t>
  </si>
  <si>
    <t xml:space="preserve">CT-9060</t>
  </si>
  <si>
    <t xml:space="preserve">CT-9061</t>
  </si>
  <si>
    <t xml:space="preserve">CT-9062</t>
  </si>
  <si>
    <t xml:space="preserve">CT-9063</t>
  </si>
  <si>
    <t xml:space="preserve">CT-9064</t>
  </si>
  <si>
    <t xml:space="preserve">CT-9065</t>
  </si>
  <si>
    <t xml:space="preserve">CT-9066</t>
  </si>
  <si>
    <t xml:space="preserve">CT-9067</t>
  </si>
  <si>
    <t xml:space="preserve">CT-9068</t>
  </si>
  <si>
    <t xml:space="preserve">2025-01-16</t>
  </si>
  <si>
    <t xml:space="preserve">CT-9069</t>
  </si>
  <si>
    <t xml:space="preserve">CT-9070</t>
  </si>
  <si>
    <t xml:space="preserve">CT-9071</t>
  </si>
  <si>
    <t xml:space="preserve">CT-9072</t>
  </si>
  <si>
    <t xml:space="preserve">2025-01-23</t>
  </si>
  <si>
    <t xml:space="preserve">CT-9073</t>
  </si>
  <si>
    <t xml:space="preserve">CT-9074</t>
  </si>
  <si>
    <t xml:space="preserve">2025-01-11</t>
  </si>
  <si>
    <t xml:space="preserve">CT-9075</t>
  </si>
  <si>
    <t xml:space="preserve">CT-9076</t>
  </si>
  <si>
    <t xml:space="preserve">CT-9077</t>
  </si>
  <si>
    <t xml:space="preserve">CT-9078</t>
  </si>
  <si>
    <t xml:space="preserve">CT-9079</t>
  </si>
  <si>
    <t xml:space="preserve">CT-9080</t>
  </si>
  <si>
    <t xml:space="preserve">CT-9081</t>
  </si>
  <si>
    <t xml:space="preserve">CT-9082</t>
  </si>
  <si>
    <t xml:space="preserve">CT-9083</t>
  </si>
  <si>
    <t xml:space="preserve">CT-9084</t>
  </si>
  <si>
    <t xml:space="preserve">CT-9085</t>
  </si>
  <si>
    <t xml:space="preserve">CT-9086</t>
  </si>
  <si>
    <t xml:space="preserve">CT-9087</t>
  </si>
  <si>
    <t xml:space="preserve">CT-9088</t>
  </si>
  <si>
    <t xml:space="preserve">CT-9089</t>
  </si>
  <si>
    <t xml:space="preserve">CT-9090</t>
  </si>
  <si>
    <t xml:space="preserve">CT-9091</t>
  </si>
  <si>
    <t xml:space="preserve">CT-9092</t>
  </si>
  <si>
    <t xml:space="preserve">CT-9093</t>
  </si>
  <si>
    <t xml:space="preserve">CT-9094</t>
  </si>
  <si>
    <t xml:space="preserve">CT-9095</t>
  </si>
  <si>
    <t xml:space="preserve">2025-02-16</t>
  </si>
  <si>
    <t xml:space="preserve">CT-9096</t>
  </si>
  <si>
    <t xml:space="preserve">2025-02-23</t>
  </si>
  <si>
    <t xml:space="preserve">CT-9097</t>
  </si>
  <si>
    <t xml:space="preserve">2025-02-21</t>
  </si>
  <si>
    <t xml:space="preserve">CT-9098</t>
  </si>
  <si>
    <t xml:space="preserve">CT-9099</t>
  </si>
  <si>
    <t xml:space="preserve">2025-02-05</t>
  </si>
  <si>
    <t xml:space="preserve">CT-9100</t>
  </si>
  <si>
    <t xml:space="preserve">2025-02-02</t>
  </si>
  <si>
    <t xml:space="preserve">CT-9101</t>
  </si>
  <si>
    <t xml:space="preserve">2025-02-04</t>
  </si>
  <si>
    <t xml:space="preserve">CT-9102</t>
  </si>
  <si>
    <t xml:space="preserve">CT-9103</t>
  </si>
  <si>
    <t xml:space="preserve">CT-9104</t>
  </si>
  <si>
    <t xml:space="preserve">2025-02-28</t>
  </si>
  <si>
    <t xml:space="preserve">CT-9105</t>
  </si>
  <si>
    <t xml:space="preserve">2025-02-17</t>
  </si>
  <si>
    <t xml:space="preserve">CT-9106</t>
  </si>
  <si>
    <t xml:space="preserve">CT-9107</t>
  </si>
  <si>
    <t xml:space="preserve">2025-02-26</t>
  </si>
  <si>
    <t xml:space="preserve">CT-9108</t>
  </si>
  <si>
    <t xml:space="preserve">CT-9109</t>
  </si>
  <si>
    <t xml:space="preserve">2025-02-14</t>
  </si>
  <si>
    <t xml:space="preserve">CT-9110</t>
  </si>
  <si>
    <t xml:space="preserve">CT-9111</t>
  </si>
  <si>
    <t xml:space="preserve">CT-9112</t>
  </si>
  <si>
    <t xml:space="preserve">2025-02-12</t>
  </si>
  <si>
    <t xml:space="preserve">CT-9113</t>
  </si>
  <si>
    <t xml:space="preserve">2025-02-10</t>
  </si>
  <si>
    <t xml:space="preserve">CT-9114</t>
  </si>
  <si>
    <t xml:space="preserve">CT-9115</t>
  </si>
  <si>
    <t xml:space="preserve">CT-9116</t>
  </si>
  <si>
    <t xml:space="preserve">2025-02-18</t>
  </si>
  <si>
    <t xml:space="preserve">CT-9117</t>
  </si>
  <si>
    <t xml:space="preserve">2025-02-25</t>
  </si>
  <si>
    <t xml:space="preserve">CT-9118</t>
  </si>
  <si>
    <t xml:space="preserve">CT-9119</t>
  </si>
  <si>
    <t xml:space="preserve">2025-02-24</t>
  </si>
  <si>
    <t xml:space="preserve">CT-9120</t>
  </si>
  <si>
    <t xml:space="preserve">2025-02-11</t>
  </si>
  <si>
    <t xml:space="preserve">CT-9121</t>
  </si>
  <si>
    <t xml:space="preserve">2025-02-03</t>
  </si>
  <si>
    <t xml:space="preserve">CT-9122</t>
  </si>
  <si>
    <t xml:space="preserve">2025-02-22</t>
  </si>
  <si>
    <t xml:space="preserve">CT-9123</t>
  </si>
  <si>
    <t xml:space="preserve">CT-9124</t>
  </si>
  <si>
    <t xml:space="preserve">2025-02-08</t>
  </si>
  <si>
    <t xml:space="preserve">CT-9125</t>
  </si>
  <si>
    <t xml:space="preserve">CT-9126</t>
  </si>
  <si>
    <t xml:space="preserve">2025-02-06</t>
  </si>
  <si>
    <t xml:space="preserve">CT-9127</t>
  </si>
  <si>
    <t xml:space="preserve">CT-9128</t>
  </si>
  <si>
    <t xml:space="preserve">2025-02-15</t>
  </si>
  <si>
    <t xml:space="preserve">CT-9129</t>
  </si>
  <si>
    <t xml:space="preserve">2025-02-13</t>
  </si>
  <si>
    <t xml:space="preserve">CT-9130</t>
  </si>
  <si>
    <t xml:space="preserve">CT-9131</t>
  </si>
  <si>
    <t xml:space="preserve">CT-9132</t>
  </si>
  <si>
    <t xml:space="preserve">CT-9133</t>
  </si>
  <si>
    <t xml:space="preserve">CT-9134</t>
  </si>
  <si>
    <t xml:space="preserve">CT-9135</t>
  </si>
  <si>
    <t xml:space="preserve">CT-9136</t>
  </si>
  <si>
    <t xml:space="preserve">2025-02-07</t>
  </si>
  <si>
    <t xml:space="preserve">CT-9137</t>
  </si>
  <si>
    <t xml:space="preserve">CT-9138</t>
  </si>
  <si>
    <t xml:space="preserve">CT-9139</t>
  </si>
  <si>
    <t xml:space="preserve">CT-9140</t>
  </si>
  <si>
    <t xml:space="preserve">CT-9141</t>
  </si>
  <si>
    <t xml:space="preserve">CT-9142</t>
  </si>
  <si>
    <t xml:space="preserve">CT-9143</t>
  </si>
  <si>
    <t xml:space="preserve">2025-02-09</t>
  </si>
  <si>
    <t xml:space="preserve">CT-9144</t>
  </si>
  <si>
    <t xml:space="preserve">2025-02-27</t>
  </si>
  <si>
    <t xml:space="preserve">CT-9145</t>
  </si>
  <si>
    <t xml:space="preserve">CT-9146</t>
  </si>
  <si>
    <t xml:space="preserve">CT-9147</t>
  </si>
  <si>
    <t xml:space="preserve">CT-9148</t>
  </si>
  <si>
    <t xml:space="preserve">CT-9149</t>
  </si>
  <si>
    <t xml:space="preserve">CT-9150</t>
  </si>
  <si>
    <t xml:space="preserve">CT-9151</t>
  </si>
  <si>
    <t xml:space="preserve">2025-02-20</t>
  </si>
  <si>
    <t xml:space="preserve">CT-9152</t>
  </si>
  <si>
    <t xml:space="preserve">CT-9153</t>
  </si>
  <si>
    <t xml:space="preserve">CT-9154</t>
  </si>
  <si>
    <t xml:space="preserve">CT-9155</t>
  </si>
  <si>
    <t xml:space="preserve">CT-9156</t>
  </si>
  <si>
    <t xml:space="preserve">CT-9157</t>
  </si>
  <si>
    <t xml:space="preserve">2025-02-01</t>
  </si>
  <si>
    <t xml:space="preserve">CT-9158</t>
  </si>
  <si>
    <t xml:space="preserve">CT-9159</t>
  </si>
  <si>
    <t xml:space="preserve">CT-9160</t>
  </si>
  <si>
    <t xml:space="preserve">CT-9161</t>
  </si>
  <si>
    <t xml:space="preserve">CT-9162</t>
  </si>
  <si>
    <t xml:space="preserve">CT-9163</t>
  </si>
  <si>
    <t xml:space="preserve">CT-9164</t>
  </si>
  <si>
    <t xml:space="preserve">CT-9165</t>
  </si>
  <si>
    <t xml:space="preserve">CT-9166</t>
  </si>
  <si>
    <t xml:space="preserve">CT-9167</t>
  </si>
  <si>
    <t xml:space="preserve">2025-02-19</t>
  </si>
  <si>
    <t xml:space="preserve">CT-9168</t>
  </si>
  <si>
    <t xml:space="preserve">CT-9169</t>
  </si>
  <si>
    <t xml:space="preserve">CT-9170</t>
  </si>
  <si>
    <t xml:space="preserve">CT-9171</t>
  </si>
  <si>
    <t xml:space="preserve">CT-9172</t>
  </si>
  <si>
    <t xml:space="preserve">CT-9173</t>
  </si>
  <si>
    <t xml:space="preserve">CT-9174</t>
  </si>
  <si>
    <t xml:space="preserve">CT-9175</t>
  </si>
  <si>
    <t xml:space="preserve">CT-9176</t>
  </si>
  <si>
    <t xml:space="preserve">CT-9177</t>
  </si>
  <si>
    <t xml:space="preserve">CT-9178</t>
  </si>
  <si>
    <t xml:space="preserve">CT-9179</t>
  </si>
  <si>
    <t xml:space="preserve">CT-9180</t>
  </si>
  <si>
    <t xml:space="preserve">CT-9181</t>
  </si>
  <si>
    <t xml:space="preserve">CT-9182</t>
  </si>
  <si>
    <t xml:space="preserve">CT-9183</t>
  </si>
  <si>
    <t xml:space="preserve">CT-9184</t>
  </si>
  <si>
    <t xml:space="preserve">CT-9185</t>
  </si>
  <si>
    <t xml:space="preserve">CT-9186</t>
  </si>
  <si>
    <t xml:space="preserve">CT-9187</t>
  </si>
  <si>
    <t xml:space="preserve">CT-9188</t>
  </si>
  <si>
    <t xml:space="preserve">CT-9189</t>
  </si>
  <si>
    <t xml:space="preserve">CT-9190</t>
  </si>
  <si>
    <t xml:space="preserve">CT-9191</t>
  </si>
  <si>
    <t xml:space="preserve">2025-03-18</t>
  </si>
  <si>
    <t xml:space="preserve">CT-9192</t>
  </si>
  <si>
    <t xml:space="preserve">2025-03-05</t>
  </si>
  <si>
    <t xml:space="preserve">CT-9193</t>
  </si>
  <si>
    <t xml:space="preserve">2025-03-26</t>
  </si>
  <si>
    <t xml:space="preserve">CT-9194</t>
  </si>
  <si>
    <t xml:space="preserve">2025-03-07</t>
  </si>
  <si>
    <t xml:space="preserve">CT-9195</t>
  </si>
  <si>
    <t xml:space="preserve">2025-03-24</t>
  </si>
  <si>
    <t xml:space="preserve">CT-9196</t>
  </si>
  <si>
    <t xml:space="preserve">2025-03-27</t>
  </si>
  <si>
    <t xml:space="preserve">CT-9197</t>
  </si>
  <si>
    <t xml:space="preserve">2025-03-22</t>
  </si>
  <si>
    <t xml:space="preserve">CT-9198</t>
  </si>
  <si>
    <t xml:space="preserve">2025-03-13</t>
  </si>
  <si>
    <t xml:space="preserve">CT-9199</t>
  </si>
  <si>
    <t xml:space="preserve">2025-03-02</t>
  </si>
  <si>
    <t xml:space="preserve">CT-9200</t>
  </si>
  <si>
    <t xml:space="preserve">2025-03-08</t>
  </si>
  <si>
    <t xml:space="preserve">CT-9201</t>
  </si>
  <si>
    <t xml:space="preserve">2025-03-09</t>
  </si>
  <si>
    <t xml:space="preserve">CT-9202</t>
  </si>
  <si>
    <t xml:space="preserve">CT-9203</t>
  </si>
  <si>
    <t xml:space="preserve">CT-9204</t>
  </si>
  <si>
    <t xml:space="preserve">CT-9205</t>
  </si>
  <si>
    <t xml:space="preserve">2025-03-17</t>
  </si>
  <si>
    <t xml:space="preserve">CT-9206</t>
  </si>
  <si>
    <t xml:space="preserve">2025-03-28</t>
  </si>
  <si>
    <t xml:space="preserve">CT-9207</t>
  </si>
  <si>
    <t xml:space="preserve">CT-9208</t>
  </si>
  <si>
    <t xml:space="preserve">2025-03-01</t>
  </si>
  <si>
    <t xml:space="preserve">CT-9209</t>
  </si>
  <si>
    <t xml:space="preserve">2025-03-15</t>
  </si>
  <si>
    <t xml:space="preserve">CT-9210</t>
  </si>
  <si>
    <t xml:space="preserve">2025-03-16</t>
  </si>
  <si>
    <t xml:space="preserve">CT-9211</t>
  </si>
  <si>
    <t xml:space="preserve">CT-9212</t>
  </si>
  <si>
    <t xml:space="preserve">CT-9213</t>
  </si>
  <si>
    <t xml:space="preserve">CT-9214</t>
  </si>
  <si>
    <t xml:space="preserve">2025-03-14</t>
  </si>
  <si>
    <t xml:space="preserve">CT-9215</t>
  </si>
  <si>
    <t xml:space="preserve">2025-03-12</t>
  </si>
  <si>
    <t xml:space="preserve">CT-9216</t>
  </si>
  <si>
    <t xml:space="preserve">CT-9217</t>
  </si>
  <si>
    <t xml:space="preserve">2025-03-23</t>
  </si>
  <si>
    <t xml:space="preserve">CT-9218</t>
  </si>
  <si>
    <t xml:space="preserve">CT-9219</t>
  </si>
  <si>
    <t xml:space="preserve">CT-9220</t>
  </si>
  <si>
    <t xml:space="preserve">CT-9221</t>
  </si>
  <si>
    <t xml:space="preserve">CT-9222</t>
  </si>
  <si>
    <t xml:space="preserve">CT-9223</t>
  </si>
  <si>
    <t xml:space="preserve">CT-9224</t>
  </si>
  <si>
    <t xml:space="preserve">CT-9225</t>
  </si>
  <si>
    <t xml:space="preserve">CT-9226</t>
  </si>
  <si>
    <t xml:space="preserve">CT-9227</t>
  </si>
  <si>
    <t xml:space="preserve">CT-9228</t>
  </si>
  <si>
    <t xml:space="preserve">2025-03-25</t>
  </si>
  <si>
    <t xml:space="preserve">CT-9229</t>
  </si>
  <si>
    <t xml:space="preserve">CT-9230</t>
  </si>
  <si>
    <t xml:space="preserve">CT-9231</t>
  </si>
  <si>
    <t xml:space="preserve">CT-9232</t>
  </si>
  <si>
    <t xml:space="preserve">2025-03-21</t>
  </si>
  <si>
    <t xml:space="preserve">CT-9233</t>
  </si>
  <si>
    <t xml:space="preserve">2025-03-06</t>
  </si>
  <si>
    <t xml:space="preserve">CT-9234</t>
  </si>
  <si>
    <t xml:space="preserve">CT-9235</t>
  </si>
  <si>
    <t xml:space="preserve">2025-03-20</t>
  </si>
  <si>
    <t xml:space="preserve">CT-9236</t>
  </si>
  <si>
    <t xml:space="preserve">CT-9237</t>
  </si>
  <si>
    <t xml:space="preserve">2025-03-04</t>
  </si>
  <si>
    <t xml:space="preserve">CT-9238</t>
  </si>
  <si>
    <t xml:space="preserve">CT-9239</t>
  </si>
  <si>
    <t xml:space="preserve">CT-9240</t>
  </si>
  <si>
    <t xml:space="preserve">2025-03-10</t>
  </si>
  <si>
    <t xml:space="preserve">CT-9241</t>
  </si>
  <si>
    <t xml:space="preserve">CT-9242</t>
  </si>
  <si>
    <t xml:space="preserve">CT-9243</t>
  </si>
  <si>
    <t xml:space="preserve">CT-9244</t>
  </si>
  <si>
    <t xml:space="preserve">2025-03-03</t>
  </si>
  <si>
    <t xml:space="preserve">CT-9245</t>
  </si>
  <si>
    <t xml:space="preserve">CT-9246</t>
  </si>
  <si>
    <t xml:space="preserve">CT-9247</t>
  </si>
  <si>
    <t xml:space="preserve">CT-9248</t>
  </si>
  <si>
    <t xml:space="preserve">CT-9249</t>
  </si>
  <si>
    <t xml:space="preserve">CT-9250</t>
  </si>
  <si>
    <t xml:space="preserve">CT-9251</t>
  </si>
  <si>
    <t xml:space="preserve">CT-9252</t>
  </si>
  <si>
    <t xml:space="preserve">CT-9253</t>
  </si>
  <si>
    <t xml:space="preserve">CT-9254</t>
  </si>
  <si>
    <t xml:space="preserve">CT-9255</t>
  </si>
  <si>
    <t xml:space="preserve">2025-03-19</t>
  </si>
  <si>
    <t xml:space="preserve">CT-9256</t>
  </si>
  <si>
    <t xml:space="preserve">CT-9257</t>
  </si>
  <si>
    <t xml:space="preserve">CT-9258</t>
  </si>
  <si>
    <t xml:space="preserve">CT-9259</t>
  </si>
  <si>
    <t xml:space="preserve">CT-9260</t>
  </si>
  <si>
    <t xml:space="preserve">CT-9261</t>
  </si>
  <si>
    <t xml:space="preserve">CT-9262</t>
  </si>
  <si>
    <t xml:space="preserve">CT-9263</t>
  </si>
  <si>
    <t xml:space="preserve">CT-9264</t>
  </si>
  <si>
    <t xml:space="preserve">CT-9265</t>
  </si>
  <si>
    <t xml:space="preserve">CT-9266</t>
  </si>
  <si>
    <t xml:space="preserve">CT-9267</t>
  </si>
  <si>
    <t xml:space="preserve">CT-9268</t>
  </si>
  <si>
    <t xml:space="preserve">CT-9269</t>
  </si>
  <si>
    <t xml:space="preserve">CT-9270</t>
  </si>
  <si>
    <t xml:space="preserve">CT-9271</t>
  </si>
  <si>
    <t xml:space="preserve">CT-9272</t>
  </si>
  <si>
    <t xml:space="preserve">CT-9273</t>
  </si>
  <si>
    <t xml:space="preserve">CT-9274</t>
  </si>
  <si>
    <t xml:space="preserve">CT-9275</t>
  </si>
  <si>
    <t xml:space="preserve">CT-9276</t>
  </si>
  <si>
    <t xml:space="preserve">CT-9277</t>
  </si>
  <si>
    <t xml:space="preserve">CT-9278</t>
  </si>
  <si>
    <t xml:space="preserve">CT-9279</t>
  </si>
  <si>
    <t xml:space="preserve">CT-9280</t>
  </si>
  <si>
    <t xml:space="preserve">CT-9281</t>
  </si>
  <si>
    <t xml:space="preserve">2025-04-16</t>
  </si>
  <si>
    <t xml:space="preserve">CT-9282</t>
  </si>
  <si>
    <t xml:space="preserve">2025-04-07</t>
  </si>
  <si>
    <t xml:space="preserve">CT-9283</t>
  </si>
  <si>
    <t xml:space="preserve">2025-04-28</t>
  </si>
  <si>
    <t xml:space="preserve">CT-9284</t>
  </si>
  <si>
    <t xml:space="preserve">CT-9285</t>
  </si>
  <si>
    <t xml:space="preserve">CT-9286</t>
  </si>
  <si>
    <t xml:space="preserve">2025-04-27</t>
  </si>
  <si>
    <t xml:space="preserve">CT-9287</t>
  </si>
  <si>
    <t xml:space="preserve">2025-04-26</t>
  </si>
  <si>
    <t xml:space="preserve">CT-9288</t>
  </si>
  <si>
    <t xml:space="preserve">CT-9289</t>
  </si>
  <si>
    <t xml:space="preserve">2025-04-17</t>
  </si>
  <si>
    <t xml:space="preserve">CT-9290</t>
  </si>
  <si>
    <t xml:space="preserve">2025-04-13</t>
  </si>
  <si>
    <t xml:space="preserve">CT-9291</t>
  </si>
  <si>
    <t xml:space="preserve">CT-9292</t>
  </si>
  <si>
    <t xml:space="preserve">2025-04-15</t>
  </si>
  <si>
    <t xml:space="preserve">CT-9293</t>
  </si>
  <si>
    <t xml:space="preserve">2025-04-12</t>
  </si>
  <si>
    <t xml:space="preserve">CT-9294</t>
  </si>
  <si>
    <t xml:space="preserve">2025-04-08</t>
  </si>
  <si>
    <t xml:space="preserve">CT-9295</t>
  </si>
  <si>
    <t xml:space="preserve">2025-04-09</t>
  </si>
  <si>
    <t xml:space="preserve">CT-9296</t>
  </si>
  <si>
    <t xml:space="preserve">2025-04-23</t>
  </si>
  <si>
    <t xml:space="preserve">CT-9297</t>
  </si>
  <si>
    <t xml:space="preserve">2025-04-01</t>
  </si>
  <si>
    <t xml:space="preserve">CT-9298</t>
  </si>
  <si>
    <t xml:space="preserve">CT-9299</t>
  </si>
  <si>
    <t xml:space="preserve">CT-9300</t>
  </si>
  <si>
    <t xml:space="preserve">2025-04-22</t>
  </si>
  <si>
    <t xml:space="preserve">CT-9301</t>
  </si>
  <si>
    <t xml:space="preserve">CT-9302</t>
  </si>
  <si>
    <t xml:space="preserve">2025-04-21</t>
  </si>
  <si>
    <t xml:space="preserve">CT-9303</t>
  </si>
  <si>
    <t xml:space="preserve">CT-9304</t>
  </si>
  <si>
    <t xml:space="preserve">CT-9305</t>
  </si>
  <si>
    <t xml:space="preserve">CT-9306</t>
  </si>
  <si>
    <t xml:space="preserve">CT-9307</t>
  </si>
  <si>
    <t xml:space="preserve">CT-9308</t>
  </si>
  <si>
    <t xml:space="preserve">2025-04-24</t>
  </si>
  <si>
    <t xml:space="preserve">CT-9309</t>
  </si>
  <si>
    <t xml:space="preserve">CT-9310</t>
  </si>
  <si>
    <t xml:space="preserve">CT-9311</t>
  </si>
  <si>
    <t xml:space="preserve">2025-04-14</t>
  </si>
  <si>
    <t xml:space="preserve">CT-9312</t>
  </si>
  <si>
    <t xml:space="preserve">CT-9313</t>
  </si>
  <si>
    <t xml:space="preserve">CT-9314</t>
  </si>
  <si>
    <t xml:space="preserve">CT-9315</t>
  </si>
  <si>
    <t xml:space="preserve">CT-9316</t>
  </si>
  <si>
    <t xml:space="preserve">CT-9317</t>
  </si>
  <si>
    <t xml:space="preserve">CT-9318</t>
  </si>
  <si>
    <t xml:space="preserve">CT-9319</t>
  </si>
  <si>
    <t xml:space="preserve">2025-04-11</t>
  </si>
  <si>
    <t xml:space="preserve">CT-9320</t>
  </si>
  <si>
    <t xml:space="preserve">CT-9321</t>
  </si>
  <si>
    <t xml:space="preserve">CT-9322</t>
  </si>
  <si>
    <t xml:space="preserve">CT-9323</t>
  </si>
  <si>
    <t xml:space="preserve">CT-9324</t>
  </si>
  <si>
    <t xml:space="preserve">CT-9325</t>
  </si>
  <si>
    <t xml:space="preserve">CT-9326</t>
  </si>
  <si>
    <t xml:space="preserve">CT-9327</t>
  </si>
  <si>
    <t xml:space="preserve">CT-9328</t>
  </si>
  <si>
    <t xml:space="preserve">CT-9329</t>
  </si>
  <si>
    <t xml:space="preserve">CT-9330</t>
  </si>
  <si>
    <t xml:space="preserve">CT-9331</t>
  </si>
  <si>
    <t xml:space="preserve">2025-04-05</t>
  </si>
  <si>
    <t xml:space="preserve">CT-9332</t>
  </si>
  <si>
    <t xml:space="preserve">2025-04-25</t>
  </si>
  <si>
    <t xml:space="preserve">CT-9333</t>
  </si>
  <si>
    <t xml:space="preserve">CT-9334</t>
  </si>
  <si>
    <t xml:space="preserve">2025-04-03</t>
  </si>
  <si>
    <t xml:space="preserve">CT-9335</t>
  </si>
  <si>
    <t xml:space="preserve">CT-9336</t>
  </si>
  <si>
    <t xml:space="preserve">CT-9337</t>
  </si>
  <si>
    <t xml:space="preserve">CT-9338</t>
  </si>
  <si>
    <t xml:space="preserve">CT-9339</t>
  </si>
  <si>
    <t xml:space="preserve">CT-9340</t>
  </si>
  <si>
    <t xml:space="preserve">CT-9341</t>
  </si>
  <si>
    <t xml:space="preserve">CT-9342</t>
  </si>
  <si>
    <t xml:space="preserve">CT-9343</t>
  </si>
  <si>
    <t xml:space="preserve">CT-9344</t>
  </si>
  <si>
    <t xml:space="preserve">CT-9345</t>
  </si>
  <si>
    <t xml:space="preserve">CT-9346</t>
  </si>
  <si>
    <t xml:space="preserve">CT-9347</t>
  </si>
  <si>
    <t xml:space="preserve">CT-9348</t>
  </si>
  <si>
    <t xml:space="preserve">CT-9349</t>
  </si>
  <si>
    <t xml:space="preserve">CT-9350</t>
  </si>
  <si>
    <t xml:space="preserve">CT-9351</t>
  </si>
  <si>
    <t xml:space="preserve">CT-9352</t>
  </si>
  <si>
    <t xml:space="preserve">CT-9353</t>
  </si>
  <si>
    <t xml:space="preserve">CT-9354</t>
  </si>
  <si>
    <t xml:space="preserve">CT-9355</t>
  </si>
  <si>
    <t xml:space="preserve">CT-9356</t>
  </si>
  <si>
    <t xml:space="preserve">2025-04-04</t>
  </si>
  <si>
    <t xml:space="preserve">CT-9357</t>
  </si>
  <si>
    <t xml:space="preserve">CT-9358</t>
  </si>
  <si>
    <t xml:space="preserve">CT-9359</t>
  </si>
  <si>
    <t xml:space="preserve">CT-9360</t>
  </si>
  <si>
    <t xml:space="preserve">CT-9361</t>
  </si>
  <si>
    <t xml:space="preserve">2025-04-19</t>
  </si>
  <si>
    <t xml:space="preserve">CT-9362</t>
  </si>
  <si>
    <t xml:space="preserve">CT-9363</t>
  </si>
  <si>
    <t xml:space="preserve">CT-9364</t>
  </si>
  <si>
    <t xml:space="preserve">CT-9365</t>
  </si>
  <si>
    <t xml:space="preserve">CT-9366</t>
  </si>
  <si>
    <t xml:space="preserve">CT-9367</t>
  </si>
  <si>
    <t xml:space="preserve">CT-9368</t>
  </si>
  <si>
    <t xml:space="preserve">CT-9369</t>
  </si>
  <si>
    <t xml:space="preserve">CT-9370</t>
  </si>
  <si>
    <t xml:space="preserve">CT-9371</t>
  </si>
  <si>
    <t xml:space="preserve">CT-9372</t>
  </si>
  <si>
    <t xml:space="preserve">CT-9373</t>
  </si>
  <si>
    <t xml:space="preserve">2025-05-10</t>
  </si>
  <si>
    <t xml:space="preserve">CT-9374</t>
  </si>
  <si>
    <t xml:space="preserve">2025-05-09</t>
  </si>
  <si>
    <t xml:space="preserve">CT-9375</t>
  </si>
  <si>
    <t xml:space="preserve">2025-05-26</t>
  </si>
  <si>
    <t xml:space="preserve">CT-9376</t>
  </si>
  <si>
    <t xml:space="preserve">2025-05-17</t>
  </si>
  <si>
    <t xml:space="preserve">CT-9377</t>
  </si>
  <si>
    <t xml:space="preserve">2025-05-14</t>
  </si>
  <si>
    <t xml:space="preserve">CT-9378</t>
  </si>
  <si>
    <t xml:space="preserve">2025-05-23</t>
  </si>
  <si>
    <t xml:space="preserve">CT-9379</t>
  </si>
  <si>
    <t xml:space="preserve">CT-9380</t>
  </si>
  <si>
    <t xml:space="preserve">2025-05-16</t>
  </si>
  <si>
    <t xml:space="preserve">CT-9381</t>
  </si>
  <si>
    <t xml:space="preserve">2025-05-20</t>
  </si>
  <si>
    <t xml:space="preserve">CT-9382</t>
  </si>
  <si>
    <t xml:space="preserve">2025-05-28</t>
  </si>
  <si>
    <t xml:space="preserve">CT-9383</t>
  </si>
  <si>
    <t xml:space="preserve">2025-05-27</t>
  </si>
  <si>
    <t xml:space="preserve">CT-9384</t>
  </si>
  <si>
    <t xml:space="preserve">2025-05-22</t>
  </si>
  <si>
    <t xml:space="preserve">CT-9385</t>
  </si>
  <si>
    <t xml:space="preserve">CT-9386</t>
  </si>
  <si>
    <t xml:space="preserve">2025-05-03</t>
  </si>
  <si>
    <t xml:space="preserve">CT-9387</t>
  </si>
  <si>
    <t xml:space="preserve">CT-9388</t>
  </si>
  <si>
    <t xml:space="preserve">CT-9389</t>
  </si>
  <si>
    <t xml:space="preserve">CT-9390</t>
  </si>
  <si>
    <t xml:space="preserve">CT-9391</t>
  </si>
  <si>
    <t xml:space="preserve">2025-05-24</t>
  </si>
  <si>
    <t xml:space="preserve">CT-9392</t>
  </si>
  <si>
    <t xml:space="preserve">2025-05-07</t>
  </si>
  <si>
    <t xml:space="preserve">CT-9393</t>
  </si>
  <si>
    <t xml:space="preserve">2025-05-02</t>
  </si>
  <si>
    <t xml:space="preserve">CT-9394</t>
  </si>
  <si>
    <t xml:space="preserve">2025-05-12</t>
  </si>
  <si>
    <t xml:space="preserve">CT-9395</t>
  </si>
  <si>
    <t xml:space="preserve">CT-9396</t>
  </si>
  <si>
    <t xml:space="preserve">CT-9397</t>
  </si>
  <si>
    <t xml:space="preserve">2025-05-04</t>
  </si>
  <si>
    <t xml:space="preserve">CT-9398</t>
  </si>
  <si>
    <t xml:space="preserve">CT-9399</t>
  </si>
  <si>
    <t xml:space="preserve">2025-05-05</t>
  </si>
  <si>
    <t xml:space="preserve">CT-9400</t>
  </si>
  <si>
    <t xml:space="preserve">CT-9401</t>
  </si>
  <si>
    <t xml:space="preserve">CT-9402</t>
  </si>
  <si>
    <t xml:space="preserve">CT-9403</t>
  </si>
  <si>
    <t xml:space="preserve">CT-9404</t>
  </si>
  <si>
    <t xml:space="preserve">2025-05-01</t>
  </si>
  <si>
    <t xml:space="preserve">CT-9405</t>
  </si>
  <si>
    <t xml:space="preserve">CT-9406</t>
  </si>
  <si>
    <t xml:space="preserve">CT-9407</t>
  </si>
  <si>
    <t xml:space="preserve">CT-9408</t>
  </si>
  <si>
    <t xml:space="preserve">CT-9409</t>
  </si>
  <si>
    <t xml:space="preserve">2025-05-06</t>
  </si>
  <si>
    <t xml:space="preserve">CT-9410</t>
  </si>
  <si>
    <t xml:space="preserve">CT-9411</t>
  </si>
  <si>
    <t xml:space="preserve">CT-9412</t>
  </si>
  <si>
    <t xml:space="preserve">2025-05-11</t>
  </si>
  <si>
    <t xml:space="preserve">CT-9413</t>
  </si>
  <si>
    <t xml:space="preserve">CT-9414</t>
  </si>
  <si>
    <t xml:space="preserve">2025-05-18</t>
  </si>
  <si>
    <t xml:space="preserve">CT-9415</t>
  </si>
  <si>
    <t xml:space="preserve">2025-05-25</t>
  </si>
  <si>
    <t xml:space="preserve">CT-9416</t>
  </si>
  <si>
    <t xml:space="preserve">CT-9417</t>
  </si>
  <si>
    <t xml:space="preserve">CT-9418</t>
  </si>
  <si>
    <t xml:space="preserve">CT-9419</t>
  </si>
  <si>
    <t xml:space="preserve">2025-05-08</t>
  </si>
  <si>
    <t xml:space="preserve">CT-9420</t>
  </si>
  <si>
    <t xml:space="preserve">CT-9421</t>
  </si>
  <si>
    <t xml:space="preserve">CT-9422</t>
  </si>
  <si>
    <t xml:space="preserve">CT-9423</t>
  </si>
  <si>
    <t xml:space="preserve">CT-9424</t>
  </si>
  <si>
    <t xml:space="preserve">CT-9425</t>
  </si>
  <si>
    <t xml:space="preserve">CT-9426</t>
  </si>
  <si>
    <t xml:space="preserve">CT-9427</t>
  </si>
  <si>
    <t xml:space="preserve">CT-9428</t>
  </si>
  <si>
    <t xml:space="preserve">CT-9429</t>
  </si>
  <si>
    <t xml:space="preserve">CT-9430</t>
  </si>
  <si>
    <t xml:space="preserve">CT-9431</t>
  </si>
  <si>
    <t xml:space="preserve">CT-9432</t>
  </si>
  <si>
    <t xml:space="preserve">CT-9433</t>
  </si>
  <si>
    <t xml:space="preserve">CT-9434</t>
  </si>
  <si>
    <t xml:space="preserve">CT-9435</t>
  </si>
  <si>
    <t xml:space="preserve">2025-05-15</t>
  </si>
  <si>
    <t xml:space="preserve">CT-9436</t>
  </si>
  <si>
    <t xml:space="preserve">CT-9437</t>
  </si>
  <si>
    <t xml:space="preserve">CT-9438</t>
  </si>
  <si>
    <t xml:space="preserve">2025-05-19</t>
  </si>
  <si>
    <t xml:space="preserve">CT-9439</t>
  </si>
  <si>
    <t xml:space="preserve">CT-9440</t>
  </si>
  <si>
    <t xml:space="preserve">CT-9441</t>
  </si>
  <si>
    <t xml:space="preserve">CT-9442</t>
  </si>
  <si>
    <t xml:space="preserve">CT-9443</t>
  </si>
  <si>
    <t xml:space="preserve">2025-05-13</t>
  </si>
  <si>
    <t xml:space="preserve">CT-9444</t>
  </si>
  <si>
    <t xml:space="preserve">CT-9445</t>
  </si>
  <si>
    <t xml:space="preserve">CT-9446</t>
  </si>
  <si>
    <t xml:space="preserve">CT-9447</t>
  </si>
  <si>
    <t xml:space="preserve">CT-9448</t>
  </si>
  <si>
    <t xml:space="preserve">CT-9449</t>
  </si>
  <si>
    <t xml:space="preserve">CT-9450</t>
  </si>
  <si>
    <t xml:space="preserve">CT-9451</t>
  </si>
  <si>
    <t xml:space="preserve">CT-9452</t>
  </si>
  <si>
    <t xml:space="preserve">CT-9453</t>
  </si>
  <si>
    <t xml:space="preserve">CT-9454</t>
  </si>
  <si>
    <t xml:space="preserve">CT-9455</t>
  </si>
  <si>
    <t xml:space="preserve">CT-9456</t>
  </si>
  <si>
    <t xml:space="preserve">CT-9457</t>
  </si>
  <si>
    <t xml:space="preserve">CT-9458</t>
  </si>
  <si>
    <t xml:space="preserve">CT-9459</t>
  </si>
  <si>
    <t xml:space="preserve">CT-9460</t>
  </si>
  <si>
    <t xml:space="preserve">2025-06-25</t>
  </si>
  <si>
    <t xml:space="preserve">CT-9461</t>
  </si>
  <si>
    <t xml:space="preserve">2025-06-16</t>
  </si>
  <si>
    <t xml:space="preserve">CT-9462</t>
  </si>
  <si>
    <t xml:space="preserve">2025-06-28</t>
  </si>
  <si>
    <t xml:space="preserve">CT-9463</t>
  </si>
  <si>
    <t xml:space="preserve">2025-06-23</t>
  </si>
  <si>
    <t xml:space="preserve">CT-9464</t>
  </si>
  <si>
    <t xml:space="preserve">2025-06-17</t>
  </si>
  <si>
    <t xml:space="preserve">CT-9465</t>
  </si>
  <si>
    <t xml:space="preserve">2025-06-10</t>
  </si>
  <si>
    <t xml:space="preserve">CT-9466</t>
  </si>
  <si>
    <t xml:space="preserve">2025-06-26</t>
  </si>
  <si>
    <t xml:space="preserve">CT-9467</t>
  </si>
  <si>
    <t xml:space="preserve">CT-9468</t>
  </si>
  <si>
    <t xml:space="preserve">CT-9469</t>
  </si>
  <si>
    <t xml:space="preserve">CT-9470</t>
  </si>
  <si>
    <t xml:space="preserve">2025-06-20</t>
  </si>
  <si>
    <t xml:space="preserve">CT-9471</t>
  </si>
  <si>
    <t xml:space="preserve">CT-9472</t>
  </si>
  <si>
    <t xml:space="preserve">2025-06-14</t>
  </si>
  <si>
    <t xml:space="preserve">CT-9473</t>
  </si>
  <si>
    <t xml:space="preserve">2025-06-24</t>
  </si>
  <si>
    <t xml:space="preserve">CT-9474</t>
  </si>
  <si>
    <t xml:space="preserve">2025-06-05</t>
  </si>
  <si>
    <t xml:space="preserve">CT-9475</t>
  </si>
  <si>
    <t xml:space="preserve">2025-06-11</t>
  </si>
  <si>
    <t xml:space="preserve">CT-9476</t>
  </si>
  <si>
    <t xml:space="preserve">CT-9477</t>
  </si>
  <si>
    <t xml:space="preserve">2025-06-12</t>
  </si>
  <si>
    <t xml:space="preserve">CT-9478</t>
  </si>
  <si>
    <t xml:space="preserve">2025-06-01</t>
  </si>
  <si>
    <t xml:space="preserve">CT-9479</t>
  </si>
  <si>
    <t xml:space="preserve">CT-9480</t>
  </si>
  <si>
    <t xml:space="preserve">CT-9481</t>
  </si>
  <si>
    <t xml:space="preserve">2025-06-04</t>
  </si>
  <si>
    <t xml:space="preserve">CT-9482</t>
  </si>
  <si>
    <t xml:space="preserve">CT-9483</t>
  </si>
  <si>
    <t xml:space="preserve">CT-9484</t>
  </si>
  <si>
    <t xml:space="preserve">CT-9485</t>
  </si>
  <si>
    <t xml:space="preserve">2025-06-27</t>
  </si>
  <si>
    <t xml:space="preserve">CT-9486</t>
  </si>
  <si>
    <t xml:space="preserve">CT-9487</t>
  </si>
  <si>
    <t xml:space="preserve">CT-9488</t>
  </si>
  <si>
    <t xml:space="preserve">2025-06-21</t>
  </si>
  <si>
    <t xml:space="preserve">CT-9489</t>
  </si>
  <si>
    <t xml:space="preserve">CT-9490</t>
  </si>
  <si>
    <t xml:space="preserve">2025-06-08</t>
  </si>
  <si>
    <t xml:space="preserve">CT-9491</t>
  </si>
  <si>
    <t xml:space="preserve">CT-9492</t>
  </si>
  <si>
    <t xml:space="preserve">CT-9493</t>
  </si>
  <si>
    <t xml:space="preserve">CT-9494</t>
  </si>
  <si>
    <t xml:space="preserve">2025-06-22</t>
  </si>
  <si>
    <t xml:space="preserve">CT-9495</t>
  </si>
  <si>
    <t xml:space="preserve">CT-9496</t>
  </si>
  <si>
    <t xml:space="preserve">CT-9497</t>
  </si>
  <si>
    <t xml:space="preserve">2025-06-02</t>
  </si>
  <si>
    <t xml:space="preserve">CT-9498</t>
  </si>
  <si>
    <t xml:space="preserve">CT-9499</t>
  </si>
  <si>
    <t xml:space="preserve">CT-9500</t>
  </si>
  <si>
    <t xml:space="preserve">CT-9501</t>
  </si>
  <si>
    <t xml:space="preserve">CT-9502</t>
  </si>
  <si>
    <t xml:space="preserve">2025-06-03</t>
  </si>
  <si>
    <t xml:space="preserve">CT-9503</t>
  </si>
  <si>
    <t xml:space="preserve">CT-9504</t>
  </si>
  <si>
    <t xml:space="preserve">CT-9505</t>
  </si>
  <si>
    <t xml:space="preserve">CT-9506</t>
  </si>
  <si>
    <t xml:space="preserve">CT-9507</t>
  </si>
  <si>
    <t xml:space="preserve">2025-06-13</t>
  </si>
  <si>
    <t xml:space="preserve">CT-9508</t>
  </si>
  <si>
    <t xml:space="preserve">CT-9509</t>
  </si>
  <si>
    <t xml:space="preserve">CT-9510</t>
  </si>
  <si>
    <t xml:space="preserve">CT-9511</t>
  </si>
  <si>
    <t xml:space="preserve">CT-9512</t>
  </si>
  <si>
    <t xml:space="preserve">CT-9513</t>
  </si>
  <si>
    <t xml:space="preserve">CT-9514</t>
  </si>
  <si>
    <t xml:space="preserve">CT-9515</t>
  </si>
  <si>
    <t xml:space="preserve">CT-9516</t>
  </si>
  <si>
    <t xml:space="preserve">CT-9517</t>
  </si>
  <si>
    <t xml:space="preserve">2025-06-06</t>
  </si>
  <si>
    <t xml:space="preserve">CT-9518</t>
  </si>
  <si>
    <t xml:space="preserve">CT-9519</t>
  </si>
  <si>
    <t xml:space="preserve">CT-9520</t>
  </si>
  <si>
    <t xml:space="preserve">CT-9521</t>
  </si>
  <si>
    <t xml:space="preserve">CT-9522</t>
  </si>
  <si>
    <t xml:space="preserve">CT-9523</t>
  </si>
  <si>
    <t xml:space="preserve">CT-9524</t>
  </si>
  <si>
    <t xml:space="preserve">2025-06-18</t>
  </si>
  <si>
    <t xml:space="preserve">CT-9525</t>
  </si>
  <si>
    <t xml:space="preserve">CT-9526</t>
  </si>
  <si>
    <t xml:space="preserve">CT-9527</t>
  </si>
  <si>
    <t xml:space="preserve">2025-06-07</t>
  </si>
  <si>
    <t xml:space="preserve">CT-9528</t>
  </si>
  <si>
    <t xml:space="preserve">2025-06-15</t>
  </si>
  <si>
    <t xml:space="preserve">CT-9529</t>
  </si>
  <si>
    <t xml:space="preserve">CT-9530</t>
  </si>
  <si>
    <t xml:space="preserve">CT-9531</t>
  </si>
  <si>
    <t xml:space="preserve">2025-06-09</t>
  </si>
  <si>
    <t xml:space="preserve">CT-9532</t>
  </si>
  <si>
    <t xml:space="preserve">CT-9533</t>
  </si>
  <si>
    <t xml:space="preserve">CT-9534</t>
  </si>
  <si>
    <t xml:space="preserve">CT-9535</t>
  </si>
  <si>
    <t xml:space="preserve">CT-9536</t>
  </si>
  <si>
    <t xml:space="preserve">CT-9537</t>
  </si>
  <si>
    <t xml:space="preserve">CT-9538</t>
  </si>
  <si>
    <t xml:space="preserve">CT-9539</t>
  </si>
  <si>
    <t xml:space="preserve">CT-9540</t>
  </si>
  <si>
    <t xml:space="preserve">CT-9541</t>
  </si>
  <si>
    <t xml:space="preserve">CT-9542</t>
  </si>
  <si>
    <t xml:space="preserve">CT-9543</t>
  </si>
  <si>
    <t xml:space="preserve">CT-9544</t>
  </si>
  <si>
    <t xml:space="preserve">CT-9545</t>
  </si>
  <si>
    <t xml:space="preserve">CT-9546</t>
  </si>
  <si>
    <t xml:space="preserve">CT-9547</t>
  </si>
  <si>
    <t xml:space="preserve">CT-9548</t>
  </si>
  <si>
    <t xml:space="preserve">CT-9549</t>
  </si>
  <si>
    <t xml:space="preserve">CT-9550</t>
  </si>
  <si>
    <t xml:space="preserve">CT-9551</t>
  </si>
  <si>
    <t xml:space="preserve">CT-9552</t>
  </si>
  <si>
    <t xml:space="preserve">CT-9553</t>
  </si>
  <si>
    <t xml:space="preserve">CT-9554</t>
  </si>
  <si>
    <t xml:space="preserve">CT-9555</t>
  </si>
  <si>
    <t xml:space="preserve">CT-9556</t>
  </si>
  <si>
    <t xml:space="preserve">2025-07-19</t>
  </si>
  <si>
    <t xml:space="preserve">CT-9557</t>
  </si>
  <si>
    <t xml:space="preserve">CT-9558</t>
  </si>
  <si>
    <t xml:space="preserve">2025-07-22</t>
  </si>
  <si>
    <t xml:space="preserve">CT-9559</t>
  </si>
  <si>
    <t xml:space="preserve">2025-07-04</t>
  </si>
  <si>
    <t xml:space="preserve">CT-9560</t>
  </si>
  <si>
    <t xml:space="preserve">2025-07-06</t>
  </si>
  <si>
    <t xml:space="preserve">CT-9561</t>
  </si>
  <si>
    <t xml:space="preserve">2025-07-26</t>
  </si>
  <si>
    <t xml:space="preserve">CT-9562</t>
  </si>
  <si>
    <t xml:space="preserve">2025-07-25</t>
  </si>
  <si>
    <t xml:space="preserve">CT-9563</t>
  </si>
  <si>
    <t xml:space="preserve">2025-07-21</t>
  </si>
  <si>
    <t xml:space="preserve">CT-9564</t>
  </si>
  <si>
    <t xml:space="preserve">2025-07-18</t>
  </si>
  <si>
    <t xml:space="preserve">CT-9565</t>
  </si>
  <si>
    <t xml:space="preserve">2025-07-02</t>
  </si>
  <si>
    <t xml:space="preserve">CT-9566</t>
  </si>
  <si>
    <t xml:space="preserve">2025-07-08</t>
  </si>
  <si>
    <t xml:space="preserve">CT-9567</t>
  </si>
  <si>
    <t xml:space="preserve">CT-9568</t>
  </si>
  <si>
    <t xml:space="preserve">2025-07-13</t>
  </si>
  <si>
    <t xml:space="preserve">CT-9569</t>
  </si>
  <si>
    <t xml:space="preserve">2025-07-07</t>
  </si>
  <si>
    <t xml:space="preserve">CT-9570</t>
  </si>
  <si>
    <t xml:space="preserve">2025-07-10</t>
  </si>
  <si>
    <t xml:space="preserve">CT-9571</t>
  </si>
  <si>
    <t xml:space="preserve">2025-07-17</t>
  </si>
  <si>
    <t xml:space="preserve">CT-9572</t>
  </si>
  <si>
    <t xml:space="preserve">CT-9573</t>
  </si>
  <si>
    <t xml:space="preserve">CT-9574</t>
  </si>
  <si>
    <t xml:space="preserve">CT-9575</t>
  </si>
  <si>
    <t xml:space="preserve">2025-07-11</t>
  </si>
  <si>
    <t xml:space="preserve">CT-9576</t>
  </si>
  <si>
    <t xml:space="preserve">CT-9577</t>
  </si>
  <si>
    <t xml:space="preserve">CT-9578</t>
  </si>
  <si>
    <t xml:space="preserve">2025-07-15</t>
  </si>
  <si>
    <t xml:space="preserve">CT-9579</t>
  </si>
  <si>
    <t xml:space="preserve">CT-9580</t>
  </si>
  <si>
    <t xml:space="preserve">2025-07-12</t>
  </si>
  <si>
    <t xml:space="preserve">CT-9581</t>
  </si>
  <si>
    <t xml:space="preserve">2025-07-24</t>
  </si>
  <si>
    <t xml:space="preserve">CT-9582</t>
  </si>
  <si>
    <t xml:space="preserve">CT-9583</t>
  </si>
  <si>
    <t xml:space="preserve">2025-07-14</t>
  </si>
  <si>
    <t xml:space="preserve">CT-9584</t>
  </si>
  <si>
    <t xml:space="preserve">2025-07-20</t>
  </si>
  <si>
    <t xml:space="preserve">CT-9585</t>
  </si>
  <si>
    <t xml:space="preserve">CT-9586</t>
  </si>
  <si>
    <t xml:space="preserve">CT-9587</t>
  </si>
  <si>
    <t xml:space="preserve">2025-07-09</t>
  </si>
  <si>
    <t xml:space="preserve">CT-9588</t>
  </si>
  <si>
    <t xml:space="preserve">CT-9589</t>
  </si>
  <si>
    <t xml:space="preserve">CT-9590</t>
  </si>
  <si>
    <t xml:space="preserve">CT-9591</t>
  </si>
  <si>
    <t xml:space="preserve">CT-9592</t>
  </si>
  <si>
    <t xml:space="preserve">2025-07-28</t>
  </si>
  <si>
    <t xml:space="preserve">CT-9593</t>
  </si>
  <si>
    <t xml:space="preserve">CT-9594</t>
  </si>
  <si>
    <t xml:space="preserve">CT-9595</t>
  </si>
  <si>
    <t xml:space="preserve">CT-9596</t>
  </si>
  <si>
    <t xml:space="preserve">CT-9597</t>
  </si>
  <si>
    <t xml:space="preserve">CT-9598</t>
  </si>
  <si>
    <t xml:space="preserve">CT-9599</t>
  </si>
  <si>
    <t xml:space="preserve">CT-9600</t>
  </si>
  <si>
    <t xml:space="preserve">CT-9601</t>
  </si>
  <si>
    <t xml:space="preserve">CT-9602</t>
  </si>
  <si>
    <t xml:space="preserve">2025-07-23</t>
  </si>
  <si>
    <t xml:space="preserve">CT-9603</t>
  </si>
  <si>
    <t xml:space="preserve">2025-07-16</t>
  </si>
  <si>
    <t xml:space="preserve">CT-9604</t>
  </si>
  <si>
    <t xml:space="preserve">CT-9605</t>
  </si>
  <si>
    <t xml:space="preserve">CT-9606</t>
  </si>
  <si>
    <t xml:space="preserve">CT-9607</t>
  </si>
  <si>
    <t xml:space="preserve">CT-9608</t>
  </si>
  <si>
    <t xml:space="preserve">CT-9609</t>
  </si>
  <si>
    <t xml:space="preserve">CT-9610</t>
  </si>
  <si>
    <t xml:space="preserve">2025-07-03</t>
  </si>
  <si>
    <t xml:space="preserve">CT-9611</t>
  </si>
  <si>
    <t xml:space="preserve">CT-9612</t>
  </si>
  <si>
    <t xml:space="preserve">2025-07-05</t>
  </si>
  <si>
    <t xml:space="preserve">CT-9613</t>
  </si>
  <si>
    <t xml:space="preserve">CT-9614</t>
  </si>
  <si>
    <t xml:space="preserve">2025-07-27</t>
  </si>
  <si>
    <t xml:space="preserve">CT-9615</t>
  </si>
  <si>
    <t xml:space="preserve">CT-9616</t>
  </si>
  <si>
    <t xml:space="preserve">CT-9617</t>
  </si>
  <si>
    <t xml:space="preserve">2025-07-01</t>
  </si>
  <si>
    <t xml:space="preserve">CT-9618</t>
  </si>
  <si>
    <t xml:space="preserve">CT-9619</t>
  </si>
  <si>
    <t xml:space="preserve">CT-9620</t>
  </si>
  <si>
    <t xml:space="preserve">CT-9621</t>
  </si>
  <si>
    <t xml:space="preserve">CT-9622</t>
  </si>
  <si>
    <t xml:space="preserve">CT-9623</t>
  </si>
  <si>
    <t xml:space="preserve">CT-9624</t>
  </si>
  <si>
    <t xml:space="preserve">CT-9625</t>
  </si>
  <si>
    <t xml:space="preserve">CT-9626</t>
  </si>
  <si>
    <t xml:space="preserve">CT-9627</t>
  </si>
  <si>
    <t xml:space="preserve">CT-9628</t>
  </si>
  <si>
    <t xml:space="preserve">CT-9629</t>
  </si>
  <si>
    <t xml:space="preserve">CT-9630</t>
  </si>
  <si>
    <t xml:space="preserve">CT-9631</t>
  </si>
  <si>
    <t xml:space="preserve">CT-9632</t>
  </si>
  <si>
    <t xml:space="preserve">CT-9633</t>
  </si>
  <si>
    <t xml:space="preserve">CT-9634</t>
  </si>
  <si>
    <t xml:space="preserve">CT-9635</t>
  </si>
  <si>
    <t xml:space="preserve">CT-9636</t>
  </si>
  <si>
    <t xml:space="preserve">CT-9637</t>
  </si>
  <si>
    <t xml:space="preserve">CT-9638</t>
  </si>
  <si>
    <t xml:space="preserve">CT-9639</t>
  </si>
  <si>
    <t xml:space="preserve">CT-9640</t>
  </si>
  <si>
    <t xml:space="preserve">CT-9641</t>
  </si>
  <si>
    <t xml:space="preserve">CT-9642</t>
  </si>
  <si>
    <t xml:space="preserve">CT-9643</t>
  </si>
  <si>
    <t xml:space="preserve">CT-9644</t>
  </si>
  <si>
    <t xml:space="preserve">CT-9645</t>
  </si>
  <si>
    <t xml:space="preserve">CT-9646</t>
  </si>
  <si>
    <t xml:space="preserve">CT-9647</t>
  </si>
  <si>
    <t xml:space="preserve">CT-9648</t>
  </si>
  <si>
    <t xml:space="preserve">CT-9649</t>
  </si>
  <si>
    <t xml:space="preserve">2025-08-14</t>
  </si>
  <si>
    <t xml:space="preserve">CT-9650</t>
  </si>
  <si>
    <t xml:space="preserve">2025-08-15</t>
  </si>
  <si>
    <t xml:space="preserve">CT-9651</t>
  </si>
  <si>
    <t xml:space="preserve">2025-08-06</t>
  </si>
  <si>
    <t xml:space="preserve">CT-9652</t>
  </si>
  <si>
    <t xml:space="preserve">2025-08-03</t>
  </si>
  <si>
    <t xml:space="preserve">CT-9653</t>
  </si>
  <si>
    <t xml:space="preserve">2025-08-23</t>
  </si>
  <si>
    <t xml:space="preserve">CT-9654</t>
  </si>
  <si>
    <t xml:space="preserve">CT-9655</t>
  </si>
  <si>
    <t xml:space="preserve">2025-08-26</t>
  </si>
  <si>
    <t xml:space="preserve">CT-9656</t>
  </si>
  <si>
    <t xml:space="preserve">2025-08-08</t>
  </si>
  <si>
    <t xml:space="preserve">CT-9657</t>
  </si>
  <si>
    <t xml:space="preserve">2025-08-01</t>
  </si>
  <si>
    <t xml:space="preserve">CT-9658</t>
  </si>
  <si>
    <t xml:space="preserve">2025-08-09</t>
  </si>
  <si>
    <t xml:space="preserve">CT-9659</t>
  </si>
  <si>
    <t xml:space="preserve">2025-08-19</t>
  </si>
  <si>
    <t xml:space="preserve">CT-9660</t>
  </si>
  <si>
    <t xml:space="preserve">CT-9661</t>
  </si>
  <si>
    <t xml:space="preserve">2025-08-27</t>
  </si>
  <si>
    <t xml:space="preserve">CT-9662</t>
  </si>
  <si>
    <t xml:space="preserve">CT-9663</t>
  </si>
  <si>
    <t xml:space="preserve">2025-08-28</t>
  </si>
  <si>
    <t xml:space="preserve">CT-9664</t>
  </si>
  <si>
    <t xml:space="preserve">CT-9665</t>
  </si>
  <si>
    <t xml:space="preserve">CT-9666</t>
  </si>
  <si>
    <t xml:space="preserve">CT-9667</t>
  </si>
  <si>
    <t xml:space="preserve">2025-08-11</t>
  </si>
  <si>
    <t xml:space="preserve">CT-9668</t>
  </si>
  <si>
    <t xml:space="preserve">CT-9669</t>
  </si>
  <si>
    <t xml:space="preserve">CT-9670</t>
  </si>
  <si>
    <t xml:space="preserve">2025-08-10</t>
  </si>
  <si>
    <t xml:space="preserve">CT-9671</t>
  </si>
  <si>
    <t xml:space="preserve">2025-08-21</t>
  </si>
  <si>
    <t xml:space="preserve">CT-9672</t>
  </si>
  <si>
    <t xml:space="preserve">CT-9673</t>
  </si>
  <si>
    <t xml:space="preserve">2025-08-25</t>
  </si>
  <si>
    <t xml:space="preserve">CT-9674</t>
  </si>
  <si>
    <t xml:space="preserve">2025-08-20</t>
  </si>
  <si>
    <t xml:space="preserve">CT-9675</t>
  </si>
  <si>
    <t xml:space="preserve">2025-08-13</t>
  </si>
  <si>
    <t xml:space="preserve">CT-9676</t>
  </si>
  <si>
    <t xml:space="preserve">CT-9677</t>
  </si>
  <si>
    <t xml:space="preserve">CT-9678</t>
  </si>
  <si>
    <t xml:space="preserve">CT-9679</t>
  </si>
  <si>
    <t xml:space="preserve">2025-08-07</t>
  </si>
  <si>
    <t xml:space="preserve">CT-9680</t>
  </si>
  <si>
    <t xml:space="preserve">2025-08-02</t>
  </si>
  <si>
    <t xml:space="preserve">CT-9681</t>
  </si>
  <si>
    <t xml:space="preserve">2025-08-18</t>
  </si>
  <si>
    <t xml:space="preserve">CT-9682</t>
  </si>
  <si>
    <t xml:space="preserve">CT-9683</t>
  </si>
  <si>
    <t xml:space="preserve">CT-9684</t>
  </si>
  <si>
    <t xml:space="preserve">2025-08-05</t>
  </si>
  <si>
    <t xml:space="preserve">CT-9685</t>
  </si>
  <si>
    <t xml:space="preserve">CT-9686</t>
  </si>
  <si>
    <t xml:space="preserve">CT-9687</t>
  </si>
  <si>
    <t xml:space="preserve">CT-9688</t>
  </si>
  <si>
    <t xml:space="preserve">CT-9689</t>
  </si>
  <si>
    <t xml:space="preserve">2025-08-22</t>
  </si>
  <si>
    <t xml:space="preserve">CT-9690</t>
  </si>
  <si>
    <t xml:space="preserve">CT-9691</t>
  </si>
  <si>
    <t xml:space="preserve">CT-9692</t>
  </si>
  <si>
    <t xml:space="preserve">CT-9693</t>
  </si>
  <si>
    <t xml:space="preserve">2025-08-17</t>
  </si>
  <si>
    <t xml:space="preserve">CT-9694</t>
  </si>
  <si>
    <t xml:space="preserve">CT-9695</t>
  </si>
  <si>
    <t xml:space="preserve">2025-08-12</t>
  </si>
  <si>
    <t xml:space="preserve">CT-9696</t>
  </si>
  <si>
    <t xml:space="preserve">2025-08-24</t>
  </si>
  <si>
    <t xml:space="preserve">CT-9697</t>
  </si>
  <si>
    <t xml:space="preserve">CT-9698</t>
  </si>
  <si>
    <t xml:space="preserve">CT-9699</t>
  </si>
  <si>
    <t xml:space="preserve">CT-9700</t>
  </si>
  <si>
    <t xml:space="preserve">CT-9701</t>
  </si>
  <si>
    <t xml:space="preserve">CT-9702</t>
  </si>
  <si>
    <t xml:space="preserve">CT-9703</t>
  </si>
  <si>
    <t xml:space="preserve">CT-9704</t>
  </si>
  <si>
    <t xml:space="preserve">CT-9705</t>
  </si>
  <si>
    <t xml:space="preserve">CT-9706</t>
  </si>
  <si>
    <t xml:space="preserve">CT-9707</t>
  </si>
  <si>
    <t xml:space="preserve">CT-9708</t>
  </si>
  <si>
    <t xml:space="preserve">CT-9709</t>
  </si>
  <si>
    <t xml:space="preserve">CT-9710</t>
  </si>
  <si>
    <t xml:space="preserve">CT-9711</t>
  </si>
  <si>
    <t xml:space="preserve">CT-9712</t>
  </si>
  <si>
    <t xml:space="preserve">CT-9713</t>
  </si>
  <si>
    <t xml:space="preserve">CT-9714</t>
  </si>
  <si>
    <t xml:space="preserve">CT-9715</t>
  </si>
  <si>
    <t xml:space="preserve">CT-9716</t>
  </si>
  <si>
    <t xml:space="preserve">CT-9717</t>
  </si>
  <si>
    <t xml:space="preserve">CT-9718</t>
  </si>
  <si>
    <t xml:space="preserve">2025-08-04</t>
  </si>
  <si>
    <t xml:space="preserve">CT-9719</t>
  </si>
  <si>
    <t xml:space="preserve">CT-9720</t>
  </si>
  <si>
    <t xml:space="preserve">CT-9721</t>
  </si>
  <si>
    <t xml:space="preserve">CT-9722</t>
  </si>
  <si>
    <t xml:space="preserve">CT-9723</t>
  </si>
  <si>
    <t xml:space="preserve">CT-9724</t>
  </si>
  <si>
    <t xml:space="preserve">CT-9725</t>
  </si>
  <si>
    <t xml:space="preserve">CT-9726</t>
  </si>
  <si>
    <t xml:space="preserve">CT-9727</t>
  </si>
  <si>
    <t xml:space="preserve">CT-9728</t>
  </si>
  <si>
    <t xml:space="preserve">CT-9729</t>
  </si>
  <si>
    <t xml:space="preserve">CT-9730</t>
  </si>
  <si>
    <t xml:space="preserve">CT-9731</t>
  </si>
  <si>
    <t xml:space="preserve">CT-9732</t>
  </si>
  <si>
    <t xml:space="preserve">CT-9733</t>
  </si>
  <si>
    <t xml:space="preserve">CT-9734</t>
  </si>
  <si>
    <t xml:space="preserve">CT-9735</t>
  </si>
  <si>
    <t xml:space="preserve">2025-08-16</t>
  </si>
  <si>
    <t xml:space="preserve">CT-9736</t>
  </si>
  <si>
    <t xml:space="preserve">CT-9737</t>
  </si>
  <si>
    <t xml:space="preserve">CT-9738</t>
  </si>
  <si>
    <t xml:space="preserve">CT-9739</t>
  </si>
  <si>
    <t xml:space="preserve">2025-09-11</t>
  </si>
  <si>
    <t xml:space="preserve">CT-9740</t>
  </si>
  <si>
    <t xml:space="preserve">2025-09-25</t>
  </si>
  <si>
    <t xml:space="preserve">CT-9741</t>
  </si>
  <si>
    <t xml:space="preserve">2025-09-13</t>
  </si>
  <si>
    <t xml:space="preserve">CT-9742</t>
  </si>
  <si>
    <t xml:space="preserve">2025-09-16</t>
  </si>
  <si>
    <t xml:space="preserve">CT-9743</t>
  </si>
  <si>
    <t xml:space="preserve">CT-9744</t>
  </si>
  <si>
    <t xml:space="preserve">2025-09-23</t>
  </si>
  <si>
    <t xml:space="preserve">CT-9745</t>
  </si>
  <si>
    <t xml:space="preserve">2025-09-19</t>
  </si>
  <si>
    <t xml:space="preserve">CT-9746</t>
  </si>
  <si>
    <t xml:space="preserve">2025-09-12</t>
  </si>
  <si>
    <t xml:space="preserve">CT-9747</t>
  </si>
  <si>
    <t xml:space="preserve">CT-9748</t>
  </si>
  <si>
    <t xml:space="preserve">2025-09-24</t>
  </si>
  <si>
    <t xml:space="preserve">CT-9749</t>
  </si>
  <si>
    <t xml:space="preserve">2025-09-22</t>
  </si>
  <si>
    <t xml:space="preserve">CT-9750</t>
  </si>
  <si>
    <t xml:space="preserve">CT-9751</t>
  </si>
  <si>
    <t xml:space="preserve">2025-09-20</t>
  </si>
  <si>
    <t xml:space="preserve">CT-9752</t>
  </si>
  <si>
    <t xml:space="preserve">2025-09-02</t>
  </si>
  <si>
    <t xml:space="preserve">CT-9753</t>
  </si>
  <si>
    <t xml:space="preserve">2025-09-14</t>
  </si>
  <si>
    <t xml:space="preserve">CT-9754</t>
  </si>
  <si>
    <t xml:space="preserve">2025-09-26</t>
  </si>
  <si>
    <t xml:space="preserve">CT-9755</t>
  </si>
  <si>
    <t xml:space="preserve">2025-09-21</t>
  </si>
  <si>
    <t xml:space="preserve">CT-9756</t>
  </si>
  <si>
    <t xml:space="preserve">2025-09-18</t>
  </si>
  <si>
    <t xml:space="preserve">CT-9757</t>
  </si>
  <si>
    <t xml:space="preserve">CT-9758</t>
  </si>
  <si>
    <t xml:space="preserve">CT-9759</t>
  </si>
  <si>
    <t xml:space="preserve">2025-09-10</t>
  </si>
  <si>
    <t xml:space="preserve">CT-9760</t>
  </si>
  <si>
    <t xml:space="preserve">2025-09-08</t>
  </si>
  <si>
    <t xml:space="preserve">CT-9761</t>
  </si>
  <si>
    <t xml:space="preserve">CT-9762</t>
  </si>
  <si>
    <t xml:space="preserve">CT-9763</t>
  </si>
  <si>
    <t xml:space="preserve">2025-09-07</t>
  </si>
  <si>
    <t xml:space="preserve">CT-9764</t>
  </si>
  <si>
    <t xml:space="preserve">CT-9765</t>
  </si>
  <si>
    <t xml:space="preserve">CT-9766</t>
  </si>
  <si>
    <t xml:space="preserve">2025-09-05</t>
  </si>
  <si>
    <t xml:space="preserve">CT-9767</t>
  </si>
  <si>
    <t xml:space="preserve">CT-9768</t>
  </si>
  <si>
    <t xml:space="preserve">CT-9769</t>
  </si>
  <si>
    <t xml:space="preserve">CT-9770</t>
  </si>
  <si>
    <t xml:space="preserve">CT-9771</t>
  </si>
  <si>
    <t xml:space="preserve">2025-09-03</t>
  </si>
  <si>
    <t xml:space="preserve">CT-9772</t>
  </si>
  <si>
    <t xml:space="preserve">CT-9773</t>
  </si>
  <si>
    <t xml:space="preserve">CT-9774</t>
  </si>
  <si>
    <t xml:space="preserve">CT-9775</t>
  </si>
  <si>
    <t xml:space="preserve">CT-9776</t>
  </si>
  <si>
    <t xml:space="preserve">CT-9777</t>
  </si>
  <si>
    <t xml:space="preserve">CT-9778</t>
  </si>
  <si>
    <t xml:space="preserve">CT-9779</t>
  </si>
  <si>
    <t xml:space="preserve">CT-9780</t>
  </si>
  <si>
    <t xml:space="preserve">CT-9781</t>
  </si>
  <si>
    <t xml:space="preserve">CT-9782</t>
  </si>
  <si>
    <t xml:space="preserve">CT-9783</t>
  </si>
  <si>
    <t xml:space="preserve">CT-9784</t>
  </si>
  <si>
    <t xml:space="preserve">2025-09-17</t>
  </si>
  <si>
    <t xml:space="preserve">CT-9785</t>
  </si>
  <si>
    <t xml:space="preserve">CT-9786</t>
  </si>
  <si>
    <t xml:space="preserve">2025-09-28</t>
  </si>
  <si>
    <t xml:space="preserve">CT-9787</t>
  </si>
  <si>
    <t xml:space="preserve">CT-9788</t>
  </si>
  <si>
    <t xml:space="preserve">2025-09-15</t>
  </si>
  <si>
    <t xml:space="preserve">CT-9789</t>
  </si>
  <si>
    <t xml:space="preserve">2025-09-06</t>
  </si>
  <si>
    <t xml:space="preserve">CT-9790</t>
  </si>
  <si>
    <t xml:space="preserve">CT-9791</t>
  </si>
  <si>
    <t xml:space="preserve">CT-9792</t>
  </si>
  <si>
    <t xml:space="preserve">2025-09-01</t>
  </si>
  <si>
    <t xml:space="preserve">CT-9793</t>
  </si>
  <si>
    <t xml:space="preserve">2025-09-09</t>
  </si>
  <si>
    <t xml:space="preserve">CT-9794</t>
  </si>
  <si>
    <t xml:space="preserve">CT-9795</t>
  </si>
  <si>
    <t xml:space="preserve">CT-9796</t>
  </si>
  <si>
    <t xml:space="preserve">CT-9797</t>
  </si>
  <si>
    <t xml:space="preserve">CT-9798</t>
  </si>
  <si>
    <t xml:space="preserve">CT-9799</t>
  </si>
  <si>
    <t xml:space="preserve">CT-9800</t>
  </si>
  <si>
    <t xml:space="preserve">CT-9801</t>
  </si>
  <si>
    <t xml:space="preserve">CT-9802</t>
  </si>
  <si>
    <t xml:space="preserve">CT-9803</t>
  </si>
  <si>
    <t xml:space="preserve">CT-9804</t>
  </si>
  <si>
    <t xml:space="preserve">CT-9805</t>
  </si>
  <si>
    <t xml:space="preserve">CT-9806</t>
  </si>
  <si>
    <t xml:space="preserve">CT-9807</t>
  </si>
  <si>
    <t xml:space="preserve">CT-9808</t>
  </si>
  <si>
    <t xml:space="preserve">CT-9809</t>
  </si>
  <si>
    <t xml:space="preserve">CT-9810</t>
  </si>
  <si>
    <t xml:space="preserve">CT-9811</t>
  </si>
  <si>
    <t xml:space="preserve">CT-9812</t>
  </si>
  <si>
    <t xml:space="preserve">CT-9813</t>
  </si>
  <si>
    <t xml:space="preserve">CT-9814</t>
  </si>
  <si>
    <t xml:space="preserve">CT-9815</t>
  </si>
  <si>
    <t xml:space="preserve">CT-9816</t>
  </si>
  <si>
    <t xml:space="preserve">CT-9817</t>
  </si>
  <si>
    <t xml:space="preserve">CT-9818</t>
  </si>
  <si>
    <t xml:space="preserve">CT-9819</t>
  </si>
  <si>
    <t xml:space="preserve">CT-9820</t>
  </si>
  <si>
    <t xml:space="preserve">CT-9821</t>
  </si>
  <si>
    <t xml:space="preserve">CT-9822</t>
  </si>
  <si>
    <t xml:space="preserve">CT-9823</t>
  </si>
  <si>
    <t xml:space="preserve">CT-9824</t>
  </si>
  <si>
    <t xml:space="preserve">CT-9825</t>
  </si>
  <si>
    <t xml:space="preserve">2025-10-17</t>
  </si>
  <si>
    <t xml:space="preserve">CT-9826</t>
  </si>
  <si>
    <t xml:space="preserve">2025-10-20</t>
  </si>
  <si>
    <t xml:space="preserve">CT-9827</t>
  </si>
  <si>
    <t xml:space="preserve">CT-9828</t>
  </si>
  <si>
    <t xml:space="preserve">2025-10-05</t>
  </si>
  <si>
    <t xml:space="preserve">CT-9829</t>
  </si>
  <si>
    <t xml:space="preserve">2025-10-12</t>
  </si>
  <si>
    <t xml:space="preserve">CT-9830</t>
  </si>
  <si>
    <t xml:space="preserve">2025-10-11</t>
  </si>
  <si>
    <t xml:space="preserve">CT-9831</t>
  </si>
  <si>
    <t xml:space="preserve">2025-10-26</t>
  </si>
  <si>
    <t xml:space="preserve">CT-9832</t>
  </si>
  <si>
    <t xml:space="preserve">2025-10-03</t>
  </si>
  <si>
    <t xml:space="preserve">CT-9833</t>
  </si>
  <si>
    <t xml:space="preserve">2025-10-23</t>
  </si>
  <si>
    <t xml:space="preserve">CT-9834</t>
  </si>
  <si>
    <t xml:space="preserve">2025-10-07</t>
  </si>
  <si>
    <t xml:space="preserve">CT-9835</t>
  </si>
  <si>
    <t xml:space="preserve">2025-10-13</t>
  </si>
  <si>
    <t xml:space="preserve">CT-9836</t>
  </si>
  <si>
    <t xml:space="preserve">2025-10-28</t>
  </si>
  <si>
    <t xml:space="preserve">CT-9837</t>
  </si>
  <si>
    <t xml:space="preserve">2025-10-22</t>
  </si>
  <si>
    <t xml:space="preserve">CT-9838</t>
  </si>
  <si>
    <t xml:space="preserve">2025-10-10</t>
  </si>
  <si>
    <t xml:space="preserve">CT-9839</t>
  </si>
  <si>
    <t xml:space="preserve">CT-9840</t>
  </si>
  <si>
    <t xml:space="preserve">2025-10-01</t>
  </si>
  <si>
    <t xml:space="preserve">CT-9841</t>
  </si>
  <si>
    <t xml:space="preserve">2025-10-27</t>
  </si>
  <si>
    <t xml:space="preserve">CT-9842</t>
  </si>
  <si>
    <t xml:space="preserve">2025-10-09</t>
  </si>
  <si>
    <t xml:space="preserve">CT-9843</t>
  </si>
  <si>
    <t xml:space="preserve">CT-9844</t>
  </si>
  <si>
    <t xml:space="preserve">2025-10-08</t>
  </si>
  <si>
    <t xml:space="preserve">CT-9845</t>
  </si>
  <si>
    <t xml:space="preserve">2025-10-16</t>
  </si>
  <si>
    <t xml:space="preserve">CT-9846</t>
  </si>
  <si>
    <t xml:space="preserve">CT-9847</t>
  </si>
  <si>
    <t xml:space="preserve">CT-9848</t>
  </si>
  <si>
    <t xml:space="preserve">2025-10-02</t>
  </si>
  <si>
    <t xml:space="preserve">CT-9849</t>
  </si>
  <si>
    <t xml:space="preserve">CT-9850</t>
  </si>
  <si>
    <t xml:space="preserve">CT-9851</t>
  </si>
  <si>
    <t xml:space="preserve">2025-10-14</t>
  </si>
  <si>
    <t xml:space="preserve">CT-9852</t>
  </si>
  <si>
    <t xml:space="preserve">CT-9853</t>
  </si>
  <si>
    <t xml:space="preserve">CT-9854</t>
  </si>
  <si>
    <t xml:space="preserve">2025-10-25</t>
  </si>
  <si>
    <t xml:space="preserve">CT-9855</t>
  </si>
  <si>
    <t xml:space="preserve">CT-9856</t>
  </si>
  <si>
    <t xml:space="preserve">CT-9857</t>
  </si>
  <si>
    <t xml:space="preserve">CT-9858</t>
  </si>
  <si>
    <t xml:space="preserve">2025-10-06</t>
  </si>
  <si>
    <t xml:space="preserve">CT-9859</t>
  </si>
  <si>
    <t xml:space="preserve">2025-10-04</t>
  </si>
  <si>
    <t xml:space="preserve">CT-9860</t>
  </si>
  <si>
    <t xml:space="preserve">CT-9861</t>
  </si>
  <si>
    <t xml:space="preserve">CT-9862</t>
  </si>
  <si>
    <t xml:space="preserve">CT-9863</t>
  </si>
  <si>
    <t xml:space="preserve">CT-9864</t>
  </si>
  <si>
    <t xml:space="preserve">CT-9865</t>
  </si>
  <si>
    <t xml:space="preserve">CT-9866</t>
  </si>
  <si>
    <t xml:space="preserve">CT-9867</t>
  </si>
  <si>
    <t xml:space="preserve">CT-9868</t>
  </si>
  <si>
    <t xml:space="preserve">CT-9869</t>
  </si>
  <si>
    <t xml:space="preserve">CT-9870</t>
  </si>
  <si>
    <t xml:space="preserve">2025-10-21</t>
  </si>
  <si>
    <t xml:space="preserve">CT-9871</t>
  </si>
  <si>
    <t xml:space="preserve">CT-9872</t>
  </si>
  <si>
    <t xml:space="preserve">CT-9873</t>
  </si>
  <si>
    <t xml:space="preserve">CT-9874</t>
  </si>
  <si>
    <t xml:space="preserve">CT-9875</t>
  </si>
  <si>
    <t xml:space="preserve">CT-9876</t>
  </si>
  <si>
    <t xml:space="preserve">CT-9877</t>
  </si>
  <si>
    <t xml:space="preserve">CT-9878</t>
  </si>
  <si>
    <t xml:space="preserve">CT-9879</t>
  </si>
  <si>
    <t xml:space="preserve">CT-9880</t>
  </si>
  <si>
    <t xml:space="preserve">CT-9881</t>
  </si>
  <si>
    <t xml:space="preserve">CT-9882</t>
  </si>
  <si>
    <t xml:space="preserve">CT-9883</t>
  </si>
  <si>
    <t xml:space="preserve">2025-10-19</t>
  </si>
  <si>
    <t xml:space="preserve">CT-9884</t>
  </si>
  <si>
    <t xml:space="preserve">CT-9885</t>
  </si>
  <si>
    <t xml:space="preserve">CT-9886</t>
  </si>
  <si>
    <t xml:space="preserve">CT-9887</t>
  </si>
  <si>
    <t xml:space="preserve">2025-10-15</t>
  </si>
  <si>
    <t xml:space="preserve">CT-9888</t>
  </si>
  <si>
    <t xml:space="preserve">CT-9889</t>
  </si>
  <si>
    <t xml:space="preserve">CT-9890</t>
  </si>
  <si>
    <t xml:space="preserve">CT-9891</t>
  </si>
  <si>
    <t xml:space="preserve">CT-9892</t>
  </si>
  <si>
    <t xml:space="preserve">CT-9893</t>
  </si>
  <si>
    <t xml:space="preserve">CT-9894</t>
  </si>
  <si>
    <t xml:space="preserve">2025-10-18</t>
  </si>
  <si>
    <t xml:space="preserve">CT-9895</t>
  </si>
  <si>
    <t xml:space="preserve">CT-9896</t>
  </si>
  <si>
    <t xml:space="preserve">CT-9897</t>
  </si>
  <si>
    <t xml:space="preserve">CT-9898</t>
  </si>
  <si>
    <t xml:space="preserve">CT-9899</t>
  </si>
  <si>
    <t xml:space="preserve">CT-9900</t>
  </si>
  <si>
    <t xml:space="preserve">CT-9901</t>
  </si>
  <si>
    <t xml:space="preserve">CT-9902</t>
  </si>
  <si>
    <t xml:space="preserve">CT-9903</t>
  </si>
  <si>
    <t xml:space="preserve">CT-9904</t>
  </si>
  <si>
    <t xml:space="preserve">CT-9905</t>
  </si>
  <si>
    <t xml:space="preserve">CT-9906</t>
  </si>
  <si>
    <t xml:space="preserve">CT-9907</t>
  </si>
  <si>
    <t xml:space="preserve">CT-9908</t>
  </si>
  <si>
    <t xml:space="preserve">CT-9909</t>
  </si>
  <si>
    <t xml:space="preserve">2025-10-24</t>
  </si>
  <si>
    <t xml:space="preserve">CT-9910</t>
  </si>
  <si>
    <t xml:space="preserve">2025-11-24</t>
  </si>
  <si>
    <t xml:space="preserve">CT-9911</t>
  </si>
  <si>
    <t xml:space="preserve">2025-11-13</t>
  </si>
  <si>
    <t xml:space="preserve">CT-9912</t>
  </si>
  <si>
    <t xml:space="preserve">2025-11-21</t>
  </si>
  <si>
    <t xml:space="preserve">CT-9913</t>
  </si>
  <si>
    <t xml:space="preserve">2025-11-06</t>
  </si>
  <si>
    <t xml:space="preserve">CT-9914</t>
  </si>
  <si>
    <t xml:space="preserve">2025-11-11</t>
  </si>
  <si>
    <t xml:space="preserve">CT-9915</t>
  </si>
  <si>
    <t xml:space="preserve">2025-11-25</t>
  </si>
  <si>
    <t xml:space="preserve">CT-9916</t>
  </si>
  <si>
    <t xml:space="preserve">2025-11-18</t>
  </si>
  <si>
    <t xml:space="preserve">CT-9917</t>
  </si>
  <si>
    <t xml:space="preserve">2025-11-02</t>
  </si>
  <si>
    <t xml:space="preserve">CT-9918</t>
  </si>
  <si>
    <t xml:space="preserve">2025-11-01</t>
  </si>
  <si>
    <t xml:space="preserve">CT-9919</t>
  </si>
  <si>
    <t xml:space="preserve">2025-11-20</t>
  </si>
  <si>
    <t xml:space="preserve">CT-9920</t>
  </si>
  <si>
    <t xml:space="preserve">CT-9921</t>
  </si>
  <si>
    <t xml:space="preserve">CT-9922</t>
  </si>
  <si>
    <t xml:space="preserve">2025-11-23</t>
  </si>
  <si>
    <t xml:space="preserve">CT-9923</t>
  </si>
  <si>
    <t xml:space="preserve">2025-11-16</t>
  </si>
  <si>
    <t xml:space="preserve">CT-9924</t>
  </si>
  <si>
    <t xml:space="preserve">CT-9925</t>
  </si>
  <si>
    <t xml:space="preserve">2025-11-28</t>
  </si>
  <si>
    <t xml:space="preserve">CT-9926</t>
  </si>
  <si>
    <t xml:space="preserve">2025-11-05</t>
  </si>
  <si>
    <t xml:space="preserve">CT-9927</t>
  </si>
  <si>
    <t xml:space="preserve">CT-9928</t>
  </si>
  <si>
    <t xml:space="preserve">2025-11-10</t>
  </si>
  <si>
    <t xml:space="preserve">CT-9929</t>
  </si>
  <si>
    <t xml:space="preserve">2025-11-08</t>
  </si>
  <si>
    <t xml:space="preserve">CT-9930</t>
  </si>
  <si>
    <t xml:space="preserve">2025-11-26</t>
  </si>
  <si>
    <t xml:space="preserve">CT-9931</t>
  </si>
  <si>
    <t xml:space="preserve">CT-9932</t>
  </si>
  <si>
    <t xml:space="preserve">CT-9933</t>
  </si>
  <si>
    <t xml:space="preserve">CT-9934</t>
  </si>
  <si>
    <t xml:space="preserve">2025-11-15</t>
  </si>
  <si>
    <t xml:space="preserve">CT-9935</t>
  </si>
  <si>
    <t xml:space="preserve">CT-9936</t>
  </si>
  <si>
    <t xml:space="preserve">2025-11-03</t>
  </si>
  <si>
    <t xml:space="preserve">CT-9937</t>
  </si>
  <si>
    <t xml:space="preserve">2025-11-22</t>
  </si>
  <si>
    <t xml:space="preserve">CT-9938</t>
  </si>
  <si>
    <t xml:space="preserve">2025-11-07</t>
  </si>
  <si>
    <t xml:space="preserve">CT-9939</t>
  </si>
  <si>
    <t xml:space="preserve">CT-9940</t>
  </si>
  <si>
    <t xml:space="preserve">CT-9941</t>
  </si>
  <si>
    <t xml:space="preserve">2025-11-19</t>
  </si>
  <si>
    <t xml:space="preserve">CT-9942</t>
  </si>
  <si>
    <t xml:space="preserve">CT-9943</t>
  </si>
  <si>
    <t xml:space="preserve">2025-11-04</t>
  </si>
  <si>
    <t xml:space="preserve">CT-9944</t>
  </si>
  <si>
    <t xml:space="preserve">2025-11-17</t>
  </si>
  <si>
    <t xml:space="preserve">CT-9945</t>
  </si>
  <si>
    <t xml:space="preserve">CT-9946</t>
  </si>
  <si>
    <t xml:space="preserve">CT-9947</t>
  </si>
  <si>
    <t xml:space="preserve">2025-11-27</t>
  </si>
  <si>
    <t xml:space="preserve">CT-9948</t>
  </si>
  <si>
    <t xml:space="preserve">2025-11-14</t>
  </si>
  <si>
    <t xml:space="preserve">CT-9949</t>
  </si>
  <si>
    <t xml:space="preserve">CT-9950</t>
  </si>
  <si>
    <t xml:space="preserve">CT-9951</t>
  </si>
  <si>
    <t xml:space="preserve">CT-9952</t>
  </si>
  <si>
    <t xml:space="preserve">CT-9953</t>
  </si>
  <si>
    <t xml:space="preserve">CT-9954</t>
  </si>
  <si>
    <t xml:space="preserve">CT-9955</t>
  </si>
  <si>
    <t xml:space="preserve">CT-9956</t>
  </si>
  <si>
    <t xml:space="preserve">CT-9957</t>
  </si>
  <si>
    <t xml:space="preserve">CT-9958</t>
  </si>
  <si>
    <t xml:space="preserve">CT-9959</t>
  </si>
  <si>
    <t xml:space="preserve">CT-9960</t>
  </si>
  <si>
    <t xml:space="preserve">CT-9961</t>
  </si>
  <si>
    <t xml:space="preserve">2025-11-12</t>
  </si>
  <si>
    <t xml:space="preserve">CT-9962</t>
  </si>
  <si>
    <t xml:space="preserve">CT-9963</t>
  </si>
  <si>
    <t xml:space="preserve">CT-9964</t>
  </si>
  <si>
    <t xml:space="preserve">CT-9965</t>
  </si>
  <si>
    <t xml:space="preserve">CT-9966</t>
  </si>
  <si>
    <t xml:space="preserve">CT-9967</t>
  </si>
  <si>
    <t xml:space="preserve">CT-9968</t>
  </si>
  <si>
    <t xml:space="preserve">CT-9969</t>
  </si>
  <si>
    <t xml:space="preserve">CT-9970</t>
  </si>
  <si>
    <t xml:space="preserve">CT-9971</t>
  </si>
  <si>
    <t xml:space="preserve">CT-9972</t>
  </si>
  <si>
    <t xml:space="preserve">CT-9973</t>
  </si>
  <si>
    <t xml:space="preserve">CT-9974</t>
  </si>
  <si>
    <t xml:space="preserve">CT-9975</t>
  </si>
  <si>
    <t xml:space="preserve">CT-9976</t>
  </si>
  <si>
    <t xml:space="preserve">CT-9977</t>
  </si>
  <si>
    <t xml:space="preserve">CT-9978</t>
  </si>
  <si>
    <t xml:space="preserve">CT-9979</t>
  </si>
  <si>
    <t xml:space="preserve">CT-9980</t>
  </si>
  <si>
    <t xml:space="preserve">CT-9981</t>
  </si>
  <si>
    <t xml:space="preserve">CT-9982</t>
  </si>
  <si>
    <t xml:space="preserve">CT-9983</t>
  </si>
  <si>
    <t xml:space="preserve">CT-9984</t>
  </si>
  <si>
    <t xml:space="preserve">CT-9985</t>
  </si>
  <si>
    <t xml:space="preserve">2025-11-09</t>
  </si>
  <si>
    <t xml:space="preserve">CT-9986</t>
  </si>
  <si>
    <t xml:space="preserve">CT-9987</t>
  </si>
  <si>
    <t xml:space="preserve">CT-9988</t>
  </si>
  <si>
    <t xml:space="preserve">CT-9989</t>
  </si>
  <si>
    <t xml:space="preserve">CT-9990</t>
  </si>
  <si>
    <t xml:space="preserve">CT-9991</t>
  </si>
  <si>
    <t xml:space="preserve">CT-9992</t>
  </si>
  <si>
    <t xml:space="preserve">CT-9993</t>
  </si>
  <si>
    <t xml:space="preserve">CT-9994</t>
  </si>
  <si>
    <t xml:space="preserve">CT-9995</t>
  </si>
  <si>
    <t xml:space="preserve">CT-9996</t>
  </si>
  <si>
    <t xml:space="preserve">2025-12-12</t>
  </si>
  <si>
    <t xml:space="preserve">CT-9997</t>
  </si>
  <si>
    <t xml:space="preserve">2025-12-24</t>
  </si>
  <si>
    <t xml:space="preserve">CT-9998</t>
  </si>
  <si>
    <t xml:space="preserve">2025-12-11</t>
  </si>
  <si>
    <t xml:space="preserve">CT-9999</t>
  </si>
  <si>
    <t xml:space="preserve">2025-12-04</t>
  </si>
  <si>
    <t xml:space="preserve">CT-10000</t>
  </si>
  <si>
    <t xml:space="preserve">2025-12-15</t>
  </si>
  <si>
    <t xml:space="preserve">CT-10001</t>
  </si>
  <si>
    <t xml:space="preserve">2025-12-19</t>
  </si>
  <si>
    <t xml:space="preserve">CT-10002</t>
  </si>
  <si>
    <t xml:space="preserve">2025-12-28</t>
  </si>
  <si>
    <t xml:space="preserve">CT-10003</t>
  </si>
  <si>
    <t xml:space="preserve">2025-12-07</t>
  </si>
  <si>
    <t xml:space="preserve">CT-10004</t>
  </si>
  <si>
    <t xml:space="preserve">2025-12-20</t>
  </si>
  <si>
    <t xml:space="preserve">CT-10005</t>
  </si>
  <si>
    <t xml:space="preserve">CT-10006</t>
  </si>
  <si>
    <t xml:space="preserve">2025-12-17</t>
  </si>
  <si>
    <t xml:space="preserve">CT-10007</t>
  </si>
  <si>
    <t xml:space="preserve">2025-12-08</t>
  </si>
  <si>
    <t xml:space="preserve">CT-10008</t>
  </si>
  <si>
    <t xml:space="preserve">CT-10009</t>
  </si>
  <si>
    <t xml:space="preserve">CT-10010</t>
  </si>
  <si>
    <t xml:space="preserve">2025-12-01</t>
  </si>
  <si>
    <t xml:space="preserve">CT-10011</t>
  </si>
  <si>
    <t xml:space="preserve">2025-12-18</t>
  </si>
  <si>
    <t xml:space="preserve">CT-10012</t>
  </si>
  <si>
    <t xml:space="preserve">CT-10013</t>
  </si>
  <si>
    <t xml:space="preserve">2025-12-10</t>
  </si>
  <si>
    <t xml:space="preserve">CT-10014</t>
  </si>
  <si>
    <t xml:space="preserve">2025-12-23</t>
  </si>
  <si>
    <t xml:space="preserve">CT-10015</t>
  </si>
  <si>
    <t xml:space="preserve">2025-12-02</t>
  </si>
  <si>
    <t xml:space="preserve">CT-10016</t>
  </si>
  <si>
    <t xml:space="preserve">2025-12-05</t>
  </si>
  <si>
    <t xml:space="preserve">CT-10017</t>
  </si>
  <si>
    <t xml:space="preserve">2025-12-09</t>
  </si>
  <si>
    <t xml:space="preserve">CT-10018</t>
  </si>
  <si>
    <t xml:space="preserve">CT-10019</t>
  </si>
  <si>
    <t xml:space="preserve">CT-10020</t>
  </si>
  <si>
    <t xml:space="preserve">2025-12-21</t>
  </si>
  <si>
    <t xml:space="preserve">CT-10021</t>
  </si>
  <si>
    <t xml:space="preserve">CT-10022</t>
  </si>
  <si>
    <t xml:space="preserve">CT-10023</t>
  </si>
  <si>
    <t xml:space="preserve">CT-10024</t>
  </si>
  <si>
    <t xml:space="preserve">2025-12-16</t>
  </si>
  <si>
    <t xml:space="preserve">CT-10025</t>
  </si>
  <si>
    <t xml:space="preserve">CT-10026</t>
  </si>
  <si>
    <t xml:space="preserve">CT-10027</t>
  </si>
  <si>
    <t xml:space="preserve">CT-10028</t>
  </si>
  <si>
    <t xml:space="preserve">CT-10029</t>
  </si>
  <si>
    <t xml:space="preserve">CT-10030</t>
  </si>
  <si>
    <t xml:space="preserve">CT-10031</t>
  </si>
  <si>
    <t xml:space="preserve">CT-10032</t>
  </si>
  <si>
    <t xml:space="preserve">CT-10033</t>
  </si>
  <si>
    <t xml:space="preserve">CT-10034</t>
  </si>
  <si>
    <t xml:space="preserve">CT-10035</t>
  </si>
  <si>
    <t xml:space="preserve">CT-10036</t>
  </si>
  <si>
    <t xml:space="preserve">CT-10037</t>
  </si>
  <si>
    <t xml:space="preserve">CT-10038</t>
  </si>
  <si>
    <t xml:space="preserve">2025-12-22</t>
  </si>
  <si>
    <t xml:space="preserve">CT-10039</t>
  </si>
  <si>
    <t xml:space="preserve">CT-10040</t>
  </si>
  <si>
    <t xml:space="preserve">CT-10041</t>
  </si>
  <si>
    <t xml:space="preserve">2025-12-03</t>
  </si>
  <si>
    <t xml:space="preserve">CT-10042</t>
  </si>
  <si>
    <t xml:space="preserve">2025-12-25</t>
  </si>
  <si>
    <t xml:space="preserve">CT-10043</t>
  </si>
  <si>
    <t xml:space="preserve">2025-12-26</t>
  </si>
  <si>
    <t xml:space="preserve">CT-10044</t>
  </si>
  <si>
    <t xml:space="preserve">CT-10045</t>
  </si>
  <si>
    <t xml:space="preserve">CT-10046</t>
  </si>
  <si>
    <t xml:space="preserve">2025-12-27</t>
  </si>
  <si>
    <t xml:space="preserve">CT-10047</t>
  </si>
  <si>
    <t xml:space="preserve">CT-10048</t>
  </si>
  <si>
    <t xml:space="preserve">CT-10049</t>
  </si>
  <si>
    <t xml:space="preserve">CT-10050</t>
  </si>
  <si>
    <t xml:space="preserve">CT-10051</t>
  </si>
  <si>
    <t xml:space="preserve">CT-10052</t>
  </si>
  <si>
    <t xml:space="preserve">CT-10053</t>
  </si>
  <si>
    <t xml:space="preserve">CT-10054</t>
  </si>
  <si>
    <t xml:space="preserve">CT-10055</t>
  </si>
  <si>
    <t xml:space="preserve">CT-10056</t>
  </si>
  <si>
    <t xml:space="preserve">CT-10057</t>
  </si>
  <si>
    <t xml:space="preserve">CT-10058</t>
  </si>
  <si>
    <t xml:space="preserve">CT-10059</t>
  </si>
  <si>
    <t xml:space="preserve">CT-10060</t>
  </si>
  <si>
    <t xml:space="preserve">CT-10061</t>
  </si>
  <si>
    <t xml:space="preserve">CT-10062</t>
  </si>
  <si>
    <t xml:space="preserve">CT-10063</t>
  </si>
  <si>
    <t xml:space="preserve">CT-10064</t>
  </si>
  <si>
    <t xml:space="preserve">CT-10065</t>
  </si>
  <si>
    <t xml:space="preserve">CT-10066</t>
  </si>
  <si>
    <t xml:space="preserve">CT-10067</t>
  </si>
  <si>
    <t xml:space="preserve">CT-10068</t>
  </si>
  <si>
    <t xml:space="preserve">CT-10069</t>
  </si>
  <si>
    <t xml:space="preserve">CT-10070</t>
  </si>
  <si>
    <t xml:space="preserve">CT-10071</t>
  </si>
  <si>
    <t xml:space="preserve">CT-10072</t>
  </si>
  <si>
    <t xml:space="preserve">CT-10073</t>
  </si>
  <si>
    <t xml:space="preserve">CT-10074</t>
  </si>
  <si>
    <t xml:space="preserve">CT-10075</t>
  </si>
  <si>
    <t xml:space="preserve">2025-12-14</t>
  </si>
  <si>
    <t xml:space="preserve">CT-10076</t>
  </si>
  <si>
    <t xml:space="preserve">CT-10077</t>
  </si>
  <si>
    <t xml:space="preserve">CT-10078</t>
  </si>
  <si>
    <t xml:space="preserve">CT-10079</t>
  </si>
  <si>
    <t xml:space="preserve">CT-10080</t>
  </si>
  <si>
    <t xml:space="preserve">CT-10081</t>
  </si>
  <si>
    <t xml:space="preserve">CT-10082</t>
  </si>
  <si>
    <t xml:space="preserve">CT-10083</t>
  </si>
  <si>
    <t xml:space="preserve">CT-10084</t>
  </si>
  <si>
    <t xml:space="preserve">CT-10085</t>
  </si>
  <si>
    <t xml:space="preserve">CT-10086</t>
  </si>
  <si>
    <t xml:space="preserve">CT-10087</t>
  </si>
  <si>
    <t xml:space="preserve">CT-10088</t>
  </si>
  <si>
    <t xml:space="preserve">CT-10089</t>
  </si>
  <si>
    <t xml:space="preserve">CT-10090</t>
  </si>
  <si>
    <t xml:space="preserve">2025-12-06</t>
  </si>
  <si>
    <t xml:space="preserve">Taxable Income &amp; Corporate Tax Computation — FY2025</t>
  </si>
  <si>
    <t xml:space="preserve">Accounting Net Profit (per audited financials)</t>
  </si>
  <si>
    <t xml:space="preserve">Hardcoded input — illustrative starting P&amp;L figure for this demonstration</t>
  </si>
  <si>
    <t xml:space="preserve">Add: Disallowed / Add-back items</t>
  </si>
  <si>
    <t xml:space="preserve">  Disallowed 50%</t>
  </si>
  <si>
    <t xml:space="preserve">  Fully Disallowed</t>
  </si>
  <si>
    <t xml:space="preserve">  Add Back</t>
  </si>
  <si>
    <t xml:space="preserve">Total Add-backs</t>
  </si>
  <si>
    <t xml:space="preserve">Less: Deductible / Exempt items</t>
  </si>
  <si>
    <t xml:space="preserve">  Deduct</t>
  </si>
  <si>
    <t xml:space="preserve">  Exempt Income</t>
  </si>
  <si>
    <t xml:space="preserve">Total Deductions / Exempt Income</t>
  </si>
  <si>
    <t xml:space="preserve">Related Party Transfer Pricing Adjustment (net)</t>
  </si>
  <si>
    <t xml:space="preserve">TAXABLE INCOME</t>
  </si>
  <si>
    <t xml:space="preserve">Small Business Relief / 0% Threshold (AED)</t>
  </si>
  <si>
    <t xml:space="preserve">Per Cabinet Decision No. 116 of 2022 — 0% CT rate on taxable income up to this threshold</t>
  </si>
  <si>
    <t xml:space="preserve">Standard CT Rate (above threshold)</t>
  </si>
  <si>
    <t xml:space="preserve">Taxable Income Below Threshold (0% band)</t>
  </si>
  <si>
    <t xml:space="preserve">Taxable Income Above Threshold (9% band)</t>
  </si>
  <si>
    <t xml:space="preserve">CORPORATE TAX PAYABLE</t>
  </si>
  <si>
    <t xml:space="preserve">Effective Tax Rate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</si>
</sst>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%"/>
    <numFmt numFmtId="167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1"/>
      <name val="Arial"/>
      <family val="0"/>
      <charset val="1"/>
    </font>
    <font>
      <i val="true"/>
      <sz val="9"/>
      <color rgb="FF5C57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2A41"/>
      <name val="Arial"/>
      <family val="0"/>
      <charset val="1"/>
    </font>
    <font>
      <b val="true"/>
      <sz val="13"/>
      <color rgb="FF1B2A4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0" t="s">
        <v>2</v>
      </c>
    </row>
    <row r="7" customFormat="false" ht="15" hidden="false" customHeight="false" outlineLevel="0" collapsed="false">
      <c r="B7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6"/>
    <col collapsed="false" customWidth="true" hidden="false" outlineLevel="0" max="5" min="5" style="0" width="22"/>
    <col collapsed="false" customWidth="true" hidden="false" outlineLevel="0" max="6" min="6" style="0" width="21"/>
  </cols>
  <sheetData>
    <row r="1" customFormat="false" ht="23.8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</row>
    <row r="2" customFormat="false" ht="15" hidden="false" customHeight="false" outlineLevel="0" collapsed="false">
      <c r="A2" s="4" t="s">
        <v>13</v>
      </c>
      <c r="B2" s="4" t="s">
        <v>14</v>
      </c>
      <c r="C2" s="4" t="s">
        <v>15</v>
      </c>
      <c r="D2" s="4" t="s">
        <v>16</v>
      </c>
      <c r="E2" s="5" t="n">
        <v>12673.22</v>
      </c>
      <c r="F2" s="4" t="s">
        <v>17</v>
      </c>
    </row>
    <row r="3" customFormat="false" ht="15" hidden="false" customHeight="false" outlineLevel="0" collapsed="false">
      <c r="A3" s="4" t="s">
        <v>18</v>
      </c>
      <c r="B3" s="4" t="s">
        <v>19</v>
      </c>
      <c r="C3" s="4" t="s">
        <v>20</v>
      </c>
      <c r="D3" s="4" t="s">
        <v>21</v>
      </c>
      <c r="E3" s="5" t="n">
        <v>30202.84</v>
      </c>
      <c r="F3" s="4" t="s">
        <v>17</v>
      </c>
    </row>
    <row r="4" customFormat="false" ht="15" hidden="false" customHeight="false" outlineLevel="0" collapsed="false">
      <c r="A4" s="4" t="s">
        <v>22</v>
      </c>
      <c r="B4" s="4" t="s">
        <v>23</v>
      </c>
      <c r="C4" s="4" t="s">
        <v>24</v>
      </c>
      <c r="D4" s="4" t="s">
        <v>25</v>
      </c>
      <c r="E4" s="5" t="n">
        <v>5720.91</v>
      </c>
      <c r="F4" s="4" t="s">
        <v>17</v>
      </c>
    </row>
    <row r="5" customFormat="false" ht="15" hidden="false" customHeight="false" outlineLevel="0" collapsed="false">
      <c r="A5" s="4" t="s">
        <v>26</v>
      </c>
      <c r="B5" s="4" t="s">
        <v>27</v>
      </c>
      <c r="C5" s="4" t="s">
        <v>15</v>
      </c>
      <c r="D5" s="4" t="s">
        <v>16</v>
      </c>
      <c r="E5" s="5" t="n">
        <v>45870.49</v>
      </c>
      <c r="F5" s="4" t="s">
        <v>17</v>
      </c>
    </row>
    <row r="6" customFormat="false" ht="15" hidden="false" customHeight="false" outlineLevel="0" collapsed="false">
      <c r="A6" s="4" t="s">
        <v>28</v>
      </c>
      <c r="B6" s="4" t="s">
        <v>29</v>
      </c>
      <c r="C6" s="4" t="s">
        <v>24</v>
      </c>
      <c r="D6" s="4" t="s">
        <v>25</v>
      </c>
      <c r="E6" s="5" t="n">
        <v>48745.3</v>
      </c>
      <c r="F6" s="4" t="s">
        <v>17</v>
      </c>
    </row>
    <row r="7" customFormat="false" ht="15" hidden="false" customHeight="false" outlineLevel="0" collapsed="false">
      <c r="A7" s="4" t="s">
        <v>30</v>
      </c>
      <c r="B7" s="4" t="s">
        <v>31</v>
      </c>
      <c r="C7" s="4" t="s">
        <v>32</v>
      </c>
      <c r="D7" s="4" t="s">
        <v>33</v>
      </c>
      <c r="E7" s="5" t="n">
        <v>59674.31</v>
      </c>
      <c r="F7" s="4" t="s">
        <v>17</v>
      </c>
    </row>
    <row r="8" customFormat="false" ht="15" hidden="false" customHeight="false" outlineLevel="0" collapsed="false">
      <c r="A8" s="4" t="s">
        <v>34</v>
      </c>
      <c r="B8" s="4" t="s">
        <v>35</v>
      </c>
      <c r="C8" s="4" t="s">
        <v>36</v>
      </c>
      <c r="D8" s="4" t="s">
        <v>37</v>
      </c>
      <c r="E8" s="5" t="n">
        <v>63089.98</v>
      </c>
      <c r="F8" s="4" t="s">
        <v>38</v>
      </c>
    </row>
    <row r="9" customFormat="false" ht="15" hidden="false" customHeight="false" outlineLevel="0" collapsed="false">
      <c r="A9" s="4" t="s">
        <v>39</v>
      </c>
      <c r="B9" s="4" t="s">
        <v>40</v>
      </c>
      <c r="C9" s="4" t="s">
        <v>41</v>
      </c>
      <c r="D9" s="4" t="s">
        <v>16</v>
      </c>
      <c r="E9" s="5" t="n">
        <v>13610.29</v>
      </c>
      <c r="F9" s="4" t="s">
        <v>17</v>
      </c>
    </row>
    <row r="10" customFormat="false" ht="15" hidden="false" customHeight="false" outlineLevel="0" collapsed="false">
      <c r="A10" s="4" t="s">
        <v>42</v>
      </c>
      <c r="B10" s="4" t="s">
        <v>43</v>
      </c>
      <c r="C10" s="4" t="s">
        <v>36</v>
      </c>
      <c r="D10" s="4" t="s">
        <v>37</v>
      </c>
      <c r="E10" s="5" t="n">
        <v>59675.31</v>
      </c>
      <c r="F10" s="4" t="s">
        <v>38</v>
      </c>
    </row>
    <row r="11" customFormat="false" ht="15" hidden="false" customHeight="false" outlineLevel="0" collapsed="false">
      <c r="A11" s="4" t="s">
        <v>44</v>
      </c>
      <c r="B11" s="4" t="s">
        <v>27</v>
      </c>
      <c r="C11" s="4" t="s">
        <v>45</v>
      </c>
      <c r="D11" s="4" t="s">
        <v>38</v>
      </c>
      <c r="E11" s="5" t="n">
        <v>40123.81</v>
      </c>
      <c r="F11" s="4" t="s">
        <v>38</v>
      </c>
    </row>
    <row r="12" customFormat="false" ht="15" hidden="false" customHeight="false" outlineLevel="0" collapsed="false">
      <c r="A12" s="4" t="s">
        <v>46</v>
      </c>
      <c r="B12" s="4" t="s">
        <v>27</v>
      </c>
      <c r="C12" s="4" t="s">
        <v>41</v>
      </c>
      <c r="D12" s="4" t="s">
        <v>16</v>
      </c>
      <c r="E12" s="5" t="n">
        <v>30041.2</v>
      </c>
      <c r="F12" s="4" t="s">
        <v>17</v>
      </c>
    </row>
    <row r="13" customFormat="false" ht="15" hidden="false" customHeight="false" outlineLevel="0" collapsed="false">
      <c r="A13" s="4" t="s">
        <v>47</v>
      </c>
      <c r="B13" s="4" t="s">
        <v>48</v>
      </c>
      <c r="C13" s="4" t="s">
        <v>32</v>
      </c>
      <c r="D13" s="4" t="s">
        <v>33</v>
      </c>
      <c r="E13" s="5" t="n">
        <v>9148.97</v>
      </c>
      <c r="F13" s="4" t="s">
        <v>17</v>
      </c>
    </row>
    <row r="14" customFormat="false" ht="15" hidden="false" customHeight="false" outlineLevel="0" collapsed="false">
      <c r="A14" s="4" t="s">
        <v>49</v>
      </c>
      <c r="B14" s="4" t="s">
        <v>50</v>
      </c>
      <c r="C14" s="4" t="s">
        <v>24</v>
      </c>
      <c r="D14" s="4" t="s">
        <v>25</v>
      </c>
      <c r="E14" s="5" t="n">
        <v>24166.1</v>
      </c>
      <c r="F14" s="4" t="s">
        <v>17</v>
      </c>
    </row>
    <row r="15" customFormat="false" ht="15" hidden="false" customHeight="false" outlineLevel="0" collapsed="false">
      <c r="A15" s="4" t="s">
        <v>51</v>
      </c>
      <c r="B15" s="4" t="s">
        <v>43</v>
      </c>
      <c r="C15" s="4" t="s">
        <v>20</v>
      </c>
      <c r="D15" s="4" t="s">
        <v>21</v>
      </c>
      <c r="E15" s="5" t="n">
        <v>45264.01</v>
      </c>
      <c r="F15" s="4" t="s">
        <v>17</v>
      </c>
    </row>
    <row r="16" customFormat="false" ht="15" hidden="false" customHeight="false" outlineLevel="0" collapsed="false">
      <c r="A16" s="4" t="s">
        <v>52</v>
      </c>
      <c r="B16" s="4" t="s">
        <v>53</v>
      </c>
      <c r="C16" s="4" t="s">
        <v>54</v>
      </c>
      <c r="D16" s="4" t="s">
        <v>21</v>
      </c>
      <c r="E16" s="5" t="n">
        <v>41752.52</v>
      </c>
      <c r="F16" s="4" t="s">
        <v>17</v>
      </c>
    </row>
    <row r="17" customFormat="false" ht="15" hidden="false" customHeight="false" outlineLevel="0" collapsed="false">
      <c r="A17" s="4" t="s">
        <v>55</v>
      </c>
      <c r="B17" s="4" t="s">
        <v>56</v>
      </c>
      <c r="C17" s="4" t="s">
        <v>15</v>
      </c>
      <c r="D17" s="4" t="s">
        <v>16</v>
      </c>
      <c r="E17" s="5" t="n">
        <v>57746.93</v>
      </c>
      <c r="F17" s="4" t="s">
        <v>17</v>
      </c>
    </row>
    <row r="18" customFormat="false" ht="15" hidden="false" customHeight="false" outlineLevel="0" collapsed="false">
      <c r="A18" s="4" t="s">
        <v>57</v>
      </c>
      <c r="B18" s="4" t="s">
        <v>14</v>
      </c>
      <c r="C18" s="4" t="s">
        <v>54</v>
      </c>
      <c r="D18" s="4" t="s">
        <v>21</v>
      </c>
      <c r="E18" s="5" t="n">
        <v>27229.05</v>
      </c>
      <c r="F18" s="4" t="s">
        <v>17</v>
      </c>
    </row>
    <row r="19" customFormat="false" ht="15" hidden="false" customHeight="false" outlineLevel="0" collapsed="false">
      <c r="A19" s="4" t="s">
        <v>58</v>
      </c>
      <c r="B19" s="4" t="s">
        <v>53</v>
      </c>
      <c r="C19" s="4" t="s">
        <v>36</v>
      </c>
      <c r="D19" s="4" t="s">
        <v>37</v>
      </c>
      <c r="E19" s="5" t="n">
        <v>52226.87</v>
      </c>
      <c r="F19" s="4" t="s">
        <v>38</v>
      </c>
    </row>
    <row r="20" customFormat="false" ht="15" hidden="false" customHeight="false" outlineLevel="0" collapsed="false">
      <c r="A20" s="4" t="s">
        <v>59</v>
      </c>
      <c r="B20" s="4" t="s">
        <v>48</v>
      </c>
      <c r="C20" s="4" t="s">
        <v>20</v>
      </c>
      <c r="D20" s="4" t="s">
        <v>21</v>
      </c>
      <c r="E20" s="5" t="n">
        <v>4718.75</v>
      </c>
      <c r="F20" s="4" t="s">
        <v>17</v>
      </c>
    </row>
    <row r="21" customFormat="false" ht="15" hidden="false" customHeight="false" outlineLevel="0" collapsed="false">
      <c r="A21" s="4" t="s">
        <v>60</v>
      </c>
      <c r="B21" s="4" t="s">
        <v>61</v>
      </c>
      <c r="C21" s="4" t="s">
        <v>62</v>
      </c>
      <c r="D21" s="4" t="s">
        <v>38</v>
      </c>
      <c r="E21" s="5" t="n">
        <v>3550.96</v>
      </c>
      <c r="F21" s="4" t="s">
        <v>38</v>
      </c>
    </row>
    <row r="22" customFormat="false" ht="15" hidden="false" customHeight="false" outlineLevel="0" collapsed="false">
      <c r="A22" s="4" t="s">
        <v>63</v>
      </c>
      <c r="B22" s="4" t="s">
        <v>29</v>
      </c>
      <c r="C22" s="4" t="s">
        <v>15</v>
      </c>
      <c r="D22" s="4" t="s">
        <v>16</v>
      </c>
      <c r="E22" s="5" t="n">
        <v>5829.3</v>
      </c>
      <c r="F22" s="4" t="s">
        <v>17</v>
      </c>
    </row>
    <row r="23" customFormat="false" ht="15" hidden="false" customHeight="false" outlineLevel="0" collapsed="false">
      <c r="A23" s="4" t="s">
        <v>64</v>
      </c>
      <c r="B23" s="4" t="s">
        <v>65</v>
      </c>
      <c r="C23" s="4" t="s">
        <v>41</v>
      </c>
      <c r="D23" s="4" t="s">
        <v>16</v>
      </c>
      <c r="E23" s="5" t="n">
        <v>57529.47</v>
      </c>
      <c r="F23" s="4" t="s">
        <v>17</v>
      </c>
    </row>
    <row r="24" customFormat="false" ht="15" hidden="false" customHeight="false" outlineLevel="0" collapsed="false">
      <c r="A24" s="4" t="s">
        <v>66</v>
      </c>
      <c r="B24" s="4" t="s">
        <v>14</v>
      </c>
      <c r="C24" s="4" t="s">
        <v>67</v>
      </c>
      <c r="D24" s="4" t="s">
        <v>68</v>
      </c>
      <c r="E24" s="5" t="n">
        <v>1891.4</v>
      </c>
      <c r="F24" s="4" t="s">
        <v>17</v>
      </c>
    </row>
    <row r="25" customFormat="false" ht="15" hidden="false" customHeight="false" outlineLevel="0" collapsed="false">
      <c r="A25" s="4" t="s">
        <v>69</v>
      </c>
      <c r="B25" s="4" t="s">
        <v>29</v>
      </c>
      <c r="C25" s="4" t="s">
        <v>67</v>
      </c>
      <c r="D25" s="4" t="s">
        <v>68</v>
      </c>
      <c r="E25" s="5" t="n">
        <v>53770.55</v>
      </c>
      <c r="F25" s="4" t="s">
        <v>17</v>
      </c>
    </row>
    <row r="26" customFormat="false" ht="15" hidden="false" customHeight="false" outlineLevel="0" collapsed="false">
      <c r="A26" s="4" t="s">
        <v>70</v>
      </c>
      <c r="B26" s="4" t="s">
        <v>71</v>
      </c>
      <c r="C26" s="4" t="s">
        <v>15</v>
      </c>
      <c r="D26" s="4" t="s">
        <v>16</v>
      </c>
      <c r="E26" s="5" t="n">
        <v>64104.75</v>
      </c>
      <c r="F26" s="4" t="s">
        <v>17</v>
      </c>
    </row>
    <row r="27" customFormat="false" ht="15" hidden="false" customHeight="false" outlineLevel="0" collapsed="false">
      <c r="A27" s="4" t="s">
        <v>72</v>
      </c>
      <c r="B27" s="4" t="s">
        <v>73</v>
      </c>
      <c r="C27" s="4" t="s">
        <v>41</v>
      </c>
      <c r="D27" s="4" t="s">
        <v>16</v>
      </c>
      <c r="E27" s="5" t="n">
        <v>18335.98</v>
      </c>
      <c r="F27" s="4" t="s">
        <v>17</v>
      </c>
    </row>
    <row r="28" customFormat="false" ht="15" hidden="false" customHeight="false" outlineLevel="0" collapsed="false">
      <c r="A28" s="4" t="s">
        <v>74</v>
      </c>
      <c r="B28" s="4" t="s">
        <v>71</v>
      </c>
      <c r="C28" s="4" t="s">
        <v>67</v>
      </c>
      <c r="D28" s="4" t="s">
        <v>68</v>
      </c>
      <c r="E28" s="5" t="n">
        <v>57349.01</v>
      </c>
      <c r="F28" s="4" t="s">
        <v>17</v>
      </c>
    </row>
    <row r="29" customFormat="false" ht="15" hidden="false" customHeight="false" outlineLevel="0" collapsed="false">
      <c r="A29" s="4" t="s">
        <v>75</v>
      </c>
      <c r="B29" s="4" t="s">
        <v>31</v>
      </c>
      <c r="C29" s="4" t="s">
        <v>54</v>
      </c>
      <c r="D29" s="4" t="s">
        <v>21</v>
      </c>
      <c r="E29" s="5" t="n">
        <v>6512.55</v>
      </c>
      <c r="F29" s="4" t="s">
        <v>17</v>
      </c>
    </row>
    <row r="30" customFormat="false" ht="15" hidden="false" customHeight="false" outlineLevel="0" collapsed="false">
      <c r="A30" s="4" t="s">
        <v>76</v>
      </c>
      <c r="B30" s="4" t="s">
        <v>77</v>
      </c>
      <c r="C30" s="4" t="s">
        <v>45</v>
      </c>
      <c r="D30" s="4" t="s">
        <v>38</v>
      </c>
      <c r="E30" s="5" t="n">
        <v>61817.94</v>
      </c>
      <c r="F30" s="4" t="s">
        <v>38</v>
      </c>
    </row>
    <row r="31" customFormat="false" ht="15" hidden="false" customHeight="false" outlineLevel="0" collapsed="false">
      <c r="A31" s="4" t="s">
        <v>78</v>
      </c>
      <c r="B31" s="4" t="s">
        <v>71</v>
      </c>
      <c r="C31" s="4" t="s">
        <v>41</v>
      </c>
      <c r="D31" s="4" t="s">
        <v>16</v>
      </c>
      <c r="E31" s="5" t="n">
        <v>54995.42</v>
      </c>
      <c r="F31" s="4" t="s">
        <v>17</v>
      </c>
    </row>
    <row r="32" customFormat="false" ht="15" hidden="false" customHeight="false" outlineLevel="0" collapsed="false">
      <c r="A32" s="4" t="s">
        <v>79</v>
      </c>
      <c r="B32" s="4" t="s">
        <v>56</v>
      </c>
      <c r="C32" s="4" t="s">
        <v>32</v>
      </c>
      <c r="D32" s="4" t="s">
        <v>33</v>
      </c>
      <c r="E32" s="5" t="n">
        <v>19666.15</v>
      </c>
      <c r="F32" s="4" t="s">
        <v>17</v>
      </c>
    </row>
    <row r="33" customFormat="false" ht="15" hidden="false" customHeight="false" outlineLevel="0" collapsed="false">
      <c r="A33" s="4" t="s">
        <v>80</v>
      </c>
      <c r="B33" s="4" t="s">
        <v>56</v>
      </c>
      <c r="C33" s="4" t="s">
        <v>62</v>
      </c>
      <c r="D33" s="4" t="s">
        <v>38</v>
      </c>
      <c r="E33" s="5" t="n">
        <v>19030.2</v>
      </c>
      <c r="F33" s="4" t="s">
        <v>38</v>
      </c>
    </row>
    <row r="34" customFormat="false" ht="15" hidden="false" customHeight="false" outlineLevel="0" collapsed="false">
      <c r="A34" s="4" t="s">
        <v>81</v>
      </c>
      <c r="B34" s="4" t="s">
        <v>82</v>
      </c>
      <c r="C34" s="4" t="s">
        <v>62</v>
      </c>
      <c r="D34" s="4" t="s">
        <v>38</v>
      </c>
      <c r="E34" s="5" t="n">
        <v>3484.17</v>
      </c>
      <c r="F34" s="4" t="s">
        <v>38</v>
      </c>
    </row>
    <row r="35" customFormat="false" ht="15" hidden="false" customHeight="false" outlineLevel="0" collapsed="false">
      <c r="A35" s="4" t="s">
        <v>83</v>
      </c>
      <c r="B35" s="4" t="s">
        <v>65</v>
      </c>
      <c r="C35" s="4" t="s">
        <v>41</v>
      </c>
      <c r="D35" s="4" t="s">
        <v>16</v>
      </c>
      <c r="E35" s="5" t="n">
        <v>40776.4</v>
      </c>
      <c r="F35" s="4" t="s">
        <v>17</v>
      </c>
    </row>
    <row r="36" customFormat="false" ht="15" hidden="false" customHeight="false" outlineLevel="0" collapsed="false">
      <c r="A36" s="4" t="s">
        <v>84</v>
      </c>
      <c r="B36" s="4" t="s">
        <v>43</v>
      </c>
      <c r="C36" s="4" t="s">
        <v>54</v>
      </c>
      <c r="D36" s="4" t="s">
        <v>21</v>
      </c>
      <c r="E36" s="5" t="n">
        <v>23605.75</v>
      </c>
      <c r="F36" s="4" t="s">
        <v>17</v>
      </c>
    </row>
    <row r="37" customFormat="false" ht="15" hidden="false" customHeight="false" outlineLevel="0" collapsed="false">
      <c r="A37" s="4" t="s">
        <v>85</v>
      </c>
      <c r="B37" s="4" t="s">
        <v>27</v>
      </c>
      <c r="C37" s="4" t="s">
        <v>41</v>
      </c>
      <c r="D37" s="4" t="s">
        <v>16</v>
      </c>
      <c r="E37" s="5" t="n">
        <v>29029.07</v>
      </c>
      <c r="F37" s="4" t="s">
        <v>17</v>
      </c>
    </row>
    <row r="38" customFormat="false" ht="15" hidden="false" customHeight="false" outlineLevel="0" collapsed="false">
      <c r="A38" s="4" t="s">
        <v>86</v>
      </c>
      <c r="B38" s="4" t="s">
        <v>77</v>
      </c>
      <c r="C38" s="4" t="s">
        <v>54</v>
      </c>
      <c r="D38" s="4" t="s">
        <v>21</v>
      </c>
      <c r="E38" s="5" t="n">
        <v>64320.19</v>
      </c>
      <c r="F38" s="4" t="s">
        <v>17</v>
      </c>
    </row>
    <row r="39" customFormat="false" ht="15" hidden="false" customHeight="false" outlineLevel="0" collapsed="false">
      <c r="A39" s="4" t="s">
        <v>87</v>
      </c>
      <c r="B39" s="4" t="s">
        <v>31</v>
      </c>
      <c r="C39" s="4" t="s">
        <v>62</v>
      </c>
      <c r="D39" s="4" t="s">
        <v>38</v>
      </c>
      <c r="E39" s="5" t="n">
        <v>27991.92</v>
      </c>
      <c r="F39" s="4" t="s">
        <v>38</v>
      </c>
    </row>
    <row r="40" customFormat="false" ht="15" hidden="false" customHeight="false" outlineLevel="0" collapsed="false">
      <c r="A40" s="4" t="s">
        <v>88</v>
      </c>
      <c r="B40" s="4" t="s">
        <v>31</v>
      </c>
      <c r="C40" s="4" t="s">
        <v>20</v>
      </c>
      <c r="D40" s="4" t="s">
        <v>21</v>
      </c>
      <c r="E40" s="5" t="n">
        <v>16159.17</v>
      </c>
      <c r="F40" s="4" t="s">
        <v>17</v>
      </c>
    </row>
    <row r="41" customFormat="false" ht="15" hidden="false" customHeight="false" outlineLevel="0" collapsed="false">
      <c r="A41" s="4" t="s">
        <v>89</v>
      </c>
      <c r="B41" s="4" t="s">
        <v>19</v>
      </c>
      <c r="C41" s="4" t="s">
        <v>24</v>
      </c>
      <c r="D41" s="4" t="s">
        <v>25</v>
      </c>
      <c r="E41" s="5" t="n">
        <v>37834.41</v>
      </c>
      <c r="F41" s="4" t="s">
        <v>17</v>
      </c>
    </row>
    <row r="42" customFormat="false" ht="15" hidden="false" customHeight="false" outlineLevel="0" collapsed="false">
      <c r="A42" s="4" t="s">
        <v>90</v>
      </c>
      <c r="B42" s="4" t="s">
        <v>91</v>
      </c>
      <c r="C42" s="4" t="s">
        <v>62</v>
      </c>
      <c r="D42" s="4" t="s">
        <v>38</v>
      </c>
      <c r="E42" s="5" t="n">
        <v>39504.66</v>
      </c>
      <c r="F42" s="4" t="s">
        <v>38</v>
      </c>
    </row>
    <row r="43" customFormat="false" ht="15" hidden="false" customHeight="false" outlineLevel="0" collapsed="false">
      <c r="A43" s="4" t="s">
        <v>92</v>
      </c>
      <c r="B43" s="4" t="s">
        <v>31</v>
      </c>
      <c r="C43" s="4" t="s">
        <v>45</v>
      </c>
      <c r="D43" s="4" t="s">
        <v>38</v>
      </c>
      <c r="E43" s="5" t="n">
        <v>18649.79</v>
      </c>
      <c r="F43" s="4" t="s">
        <v>38</v>
      </c>
    </row>
    <row r="44" customFormat="false" ht="15" hidden="false" customHeight="false" outlineLevel="0" collapsed="false">
      <c r="A44" s="4" t="s">
        <v>93</v>
      </c>
      <c r="B44" s="4" t="s">
        <v>27</v>
      </c>
      <c r="C44" s="4" t="s">
        <v>94</v>
      </c>
      <c r="D44" s="4" t="s">
        <v>68</v>
      </c>
      <c r="E44" s="5" t="n">
        <v>6698.57</v>
      </c>
      <c r="F44" s="4" t="s">
        <v>17</v>
      </c>
    </row>
    <row r="45" customFormat="false" ht="15" hidden="false" customHeight="false" outlineLevel="0" collapsed="false">
      <c r="A45" s="4" t="s">
        <v>95</v>
      </c>
      <c r="B45" s="4" t="s">
        <v>96</v>
      </c>
      <c r="C45" s="4" t="s">
        <v>24</v>
      </c>
      <c r="D45" s="4" t="s">
        <v>25</v>
      </c>
      <c r="E45" s="5" t="n">
        <v>42641.07</v>
      </c>
      <c r="F45" s="4" t="s">
        <v>17</v>
      </c>
    </row>
    <row r="46" customFormat="false" ht="15" hidden="false" customHeight="false" outlineLevel="0" collapsed="false">
      <c r="A46" s="4" t="s">
        <v>97</v>
      </c>
      <c r="B46" s="4" t="s">
        <v>98</v>
      </c>
      <c r="C46" s="4" t="s">
        <v>94</v>
      </c>
      <c r="D46" s="4" t="s">
        <v>68</v>
      </c>
      <c r="E46" s="5" t="n">
        <v>42749.82</v>
      </c>
      <c r="F46" s="4" t="s">
        <v>17</v>
      </c>
    </row>
    <row r="47" customFormat="false" ht="15" hidden="false" customHeight="false" outlineLevel="0" collapsed="false">
      <c r="A47" s="4" t="s">
        <v>99</v>
      </c>
      <c r="B47" s="4" t="s">
        <v>50</v>
      </c>
      <c r="C47" s="4" t="s">
        <v>24</v>
      </c>
      <c r="D47" s="4" t="s">
        <v>25</v>
      </c>
      <c r="E47" s="5" t="n">
        <v>30963.66</v>
      </c>
      <c r="F47" s="4" t="s">
        <v>17</v>
      </c>
    </row>
    <row r="48" customFormat="false" ht="15" hidden="false" customHeight="false" outlineLevel="0" collapsed="false">
      <c r="A48" s="4" t="s">
        <v>100</v>
      </c>
      <c r="B48" s="4" t="s">
        <v>35</v>
      </c>
      <c r="C48" s="4" t="s">
        <v>101</v>
      </c>
      <c r="D48" s="4" t="s">
        <v>33</v>
      </c>
      <c r="E48" s="5" t="n">
        <v>22527.04</v>
      </c>
      <c r="F48" s="4" t="s">
        <v>17</v>
      </c>
    </row>
    <row r="49" customFormat="false" ht="15" hidden="false" customHeight="false" outlineLevel="0" collapsed="false">
      <c r="A49" s="4" t="s">
        <v>102</v>
      </c>
      <c r="B49" s="4" t="s">
        <v>71</v>
      </c>
      <c r="C49" s="4" t="s">
        <v>24</v>
      </c>
      <c r="D49" s="4" t="s">
        <v>25</v>
      </c>
      <c r="E49" s="5" t="n">
        <v>52112.87</v>
      </c>
      <c r="F49" s="4" t="s">
        <v>17</v>
      </c>
    </row>
    <row r="50" customFormat="false" ht="15" hidden="false" customHeight="false" outlineLevel="0" collapsed="false">
      <c r="A50" s="4" t="s">
        <v>103</v>
      </c>
      <c r="B50" s="4" t="s">
        <v>29</v>
      </c>
      <c r="C50" s="4" t="s">
        <v>94</v>
      </c>
      <c r="D50" s="4" t="s">
        <v>68</v>
      </c>
      <c r="E50" s="5" t="n">
        <v>31700.27</v>
      </c>
      <c r="F50" s="4" t="s">
        <v>17</v>
      </c>
    </row>
    <row r="51" customFormat="false" ht="15" hidden="false" customHeight="false" outlineLevel="0" collapsed="false">
      <c r="A51" s="4" t="s">
        <v>104</v>
      </c>
      <c r="B51" s="4" t="s">
        <v>31</v>
      </c>
      <c r="C51" s="4" t="s">
        <v>67</v>
      </c>
      <c r="D51" s="4" t="s">
        <v>68</v>
      </c>
      <c r="E51" s="5" t="n">
        <v>41720.51</v>
      </c>
      <c r="F51" s="4" t="s">
        <v>17</v>
      </c>
    </row>
    <row r="52" customFormat="false" ht="15" hidden="false" customHeight="false" outlineLevel="0" collapsed="false">
      <c r="A52" s="4" t="s">
        <v>105</v>
      </c>
      <c r="B52" s="4" t="s">
        <v>14</v>
      </c>
      <c r="C52" s="4" t="s">
        <v>62</v>
      </c>
      <c r="D52" s="4" t="s">
        <v>38</v>
      </c>
      <c r="E52" s="5" t="n">
        <v>14484.2</v>
      </c>
      <c r="F52" s="4" t="s">
        <v>38</v>
      </c>
    </row>
    <row r="53" customFormat="false" ht="15" hidden="false" customHeight="false" outlineLevel="0" collapsed="false">
      <c r="A53" s="4" t="s">
        <v>106</v>
      </c>
      <c r="B53" s="4" t="s">
        <v>48</v>
      </c>
      <c r="C53" s="4" t="s">
        <v>67</v>
      </c>
      <c r="D53" s="4" t="s">
        <v>68</v>
      </c>
      <c r="E53" s="5" t="n">
        <v>63887.3</v>
      </c>
      <c r="F53" s="4" t="s">
        <v>17</v>
      </c>
    </row>
    <row r="54" customFormat="false" ht="15" hidden="false" customHeight="false" outlineLevel="0" collapsed="false">
      <c r="A54" s="4" t="s">
        <v>107</v>
      </c>
      <c r="B54" s="4" t="s">
        <v>108</v>
      </c>
      <c r="C54" s="4" t="s">
        <v>45</v>
      </c>
      <c r="D54" s="4" t="s">
        <v>38</v>
      </c>
      <c r="E54" s="5" t="n">
        <v>10742.43</v>
      </c>
      <c r="F54" s="4" t="s">
        <v>38</v>
      </c>
    </row>
    <row r="55" customFormat="false" ht="15" hidden="false" customHeight="false" outlineLevel="0" collapsed="false">
      <c r="A55" s="4" t="s">
        <v>109</v>
      </c>
      <c r="B55" s="4" t="s">
        <v>48</v>
      </c>
      <c r="C55" s="4" t="s">
        <v>67</v>
      </c>
      <c r="D55" s="4" t="s">
        <v>68</v>
      </c>
      <c r="E55" s="5" t="n">
        <v>9710.28</v>
      </c>
      <c r="F55" s="4" t="s">
        <v>17</v>
      </c>
    </row>
    <row r="56" customFormat="false" ht="15" hidden="false" customHeight="false" outlineLevel="0" collapsed="false">
      <c r="A56" s="4" t="s">
        <v>110</v>
      </c>
      <c r="B56" s="4" t="s">
        <v>43</v>
      </c>
      <c r="C56" s="4" t="s">
        <v>24</v>
      </c>
      <c r="D56" s="4" t="s">
        <v>25</v>
      </c>
      <c r="E56" s="5" t="n">
        <v>48861.29</v>
      </c>
      <c r="F56" s="4" t="s">
        <v>17</v>
      </c>
    </row>
    <row r="57" customFormat="false" ht="15" hidden="false" customHeight="false" outlineLevel="0" collapsed="false">
      <c r="A57" s="4" t="s">
        <v>111</v>
      </c>
      <c r="B57" s="4" t="s">
        <v>96</v>
      </c>
      <c r="C57" s="4" t="s">
        <v>62</v>
      </c>
      <c r="D57" s="4" t="s">
        <v>38</v>
      </c>
      <c r="E57" s="5" t="n">
        <v>40232.95</v>
      </c>
      <c r="F57" s="4" t="s">
        <v>38</v>
      </c>
    </row>
    <row r="58" customFormat="false" ht="15" hidden="false" customHeight="false" outlineLevel="0" collapsed="false">
      <c r="A58" s="4" t="s">
        <v>112</v>
      </c>
      <c r="B58" s="4" t="s">
        <v>113</v>
      </c>
      <c r="C58" s="4" t="s">
        <v>101</v>
      </c>
      <c r="D58" s="4" t="s">
        <v>33</v>
      </c>
      <c r="E58" s="5" t="n">
        <v>65744.79</v>
      </c>
      <c r="F58" s="4" t="s">
        <v>17</v>
      </c>
    </row>
    <row r="59" customFormat="false" ht="15" hidden="false" customHeight="false" outlineLevel="0" collapsed="false">
      <c r="A59" s="4" t="s">
        <v>114</v>
      </c>
      <c r="B59" s="4" t="s">
        <v>65</v>
      </c>
      <c r="C59" s="4" t="s">
        <v>67</v>
      </c>
      <c r="D59" s="4" t="s">
        <v>68</v>
      </c>
      <c r="E59" s="5" t="n">
        <v>10110.23</v>
      </c>
      <c r="F59" s="4" t="s">
        <v>17</v>
      </c>
    </row>
    <row r="60" customFormat="false" ht="15" hidden="false" customHeight="false" outlineLevel="0" collapsed="false">
      <c r="A60" s="4" t="s">
        <v>115</v>
      </c>
      <c r="B60" s="4" t="s">
        <v>23</v>
      </c>
      <c r="C60" s="4" t="s">
        <v>45</v>
      </c>
      <c r="D60" s="4" t="s">
        <v>38</v>
      </c>
      <c r="E60" s="5" t="n">
        <v>65161.44</v>
      </c>
      <c r="F60" s="4" t="s">
        <v>38</v>
      </c>
    </row>
    <row r="61" customFormat="false" ht="15" hidden="false" customHeight="false" outlineLevel="0" collapsed="false">
      <c r="A61" s="4" t="s">
        <v>116</v>
      </c>
      <c r="B61" s="4" t="s">
        <v>82</v>
      </c>
      <c r="C61" s="4" t="s">
        <v>15</v>
      </c>
      <c r="D61" s="4" t="s">
        <v>16</v>
      </c>
      <c r="E61" s="5" t="n">
        <v>51943.91</v>
      </c>
      <c r="F61" s="4" t="s">
        <v>17</v>
      </c>
    </row>
    <row r="62" customFormat="false" ht="15" hidden="false" customHeight="false" outlineLevel="0" collapsed="false">
      <c r="A62" s="4" t="s">
        <v>117</v>
      </c>
      <c r="B62" s="4" t="s">
        <v>71</v>
      </c>
      <c r="C62" s="4" t="s">
        <v>101</v>
      </c>
      <c r="D62" s="4" t="s">
        <v>33</v>
      </c>
      <c r="E62" s="5" t="n">
        <v>52620.42</v>
      </c>
      <c r="F62" s="4" t="s">
        <v>17</v>
      </c>
    </row>
    <row r="63" customFormat="false" ht="15" hidden="false" customHeight="false" outlineLevel="0" collapsed="false">
      <c r="A63" s="4" t="s">
        <v>118</v>
      </c>
      <c r="B63" s="4" t="s">
        <v>29</v>
      </c>
      <c r="C63" s="4" t="s">
        <v>67</v>
      </c>
      <c r="D63" s="4" t="s">
        <v>68</v>
      </c>
      <c r="E63" s="5" t="n">
        <v>30453.19</v>
      </c>
      <c r="F63" s="4" t="s">
        <v>17</v>
      </c>
    </row>
    <row r="64" customFormat="false" ht="15" hidden="false" customHeight="false" outlineLevel="0" collapsed="false">
      <c r="A64" s="4" t="s">
        <v>119</v>
      </c>
      <c r="B64" s="4" t="s">
        <v>43</v>
      </c>
      <c r="C64" s="4" t="s">
        <v>32</v>
      </c>
      <c r="D64" s="4" t="s">
        <v>33</v>
      </c>
      <c r="E64" s="5" t="n">
        <v>22011.36</v>
      </c>
      <c r="F64" s="4" t="s">
        <v>17</v>
      </c>
    </row>
    <row r="65" customFormat="false" ht="15" hidden="false" customHeight="false" outlineLevel="0" collapsed="false">
      <c r="A65" s="4" t="s">
        <v>120</v>
      </c>
      <c r="B65" s="4" t="s">
        <v>82</v>
      </c>
      <c r="C65" s="4" t="s">
        <v>101</v>
      </c>
      <c r="D65" s="4" t="s">
        <v>33</v>
      </c>
      <c r="E65" s="5" t="n">
        <v>19459.54</v>
      </c>
      <c r="F65" s="4" t="s">
        <v>17</v>
      </c>
    </row>
    <row r="66" customFormat="false" ht="15" hidden="false" customHeight="false" outlineLevel="0" collapsed="false">
      <c r="A66" s="4" t="s">
        <v>121</v>
      </c>
      <c r="B66" s="4" t="s">
        <v>108</v>
      </c>
      <c r="C66" s="4" t="s">
        <v>20</v>
      </c>
      <c r="D66" s="4" t="s">
        <v>21</v>
      </c>
      <c r="E66" s="5" t="n">
        <v>41033.99</v>
      </c>
      <c r="F66" s="4" t="s">
        <v>17</v>
      </c>
    </row>
    <row r="67" customFormat="false" ht="15" hidden="false" customHeight="false" outlineLevel="0" collapsed="false">
      <c r="A67" s="4" t="s">
        <v>122</v>
      </c>
      <c r="B67" s="4" t="s">
        <v>108</v>
      </c>
      <c r="C67" s="4" t="s">
        <v>24</v>
      </c>
      <c r="D67" s="4" t="s">
        <v>25</v>
      </c>
      <c r="E67" s="5" t="n">
        <v>28968.77</v>
      </c>
      <c r="F67" s="4" t="s">
        <v>17</v>
      </c>
    </row>
    <row r="68" customFormat="false" ht="15" hidden="false" customHeight="false" outlineLevel="0" collapsed="false">
      <c r="A68" s="4" t="s">
        <v>123</v>
      </c>
      <c r="B68" s="4" t="s">
        <v>40</v>
      </c>
      <c r="C68" s="4" t="s">
        <v>41</v>
      </c>
      <c r="D68" s="4" t="s">
        <v>16</v>
      </c>
      <c r="E68" s="5" t="n">
        <v>9808.24</v>
      </c>
      <c r="F68" s="4" t="s">
        <v>17</v>
      </c>
    </row>
    <row r="69" customFormat="false" ht="15" hidden="false" customHeight="false" outlineLevel="0" collapsed="false">
      <c r="A69" s="4" t="s">
        <v>124</v>
      </c>
      <c r="B69" s="4" t="s">
        <v>125</v>
      </c>
      <c r="C69" s="4" t="s">
        <v>67</v>
      </c>
      <c r="D69" s="4" t="s">
        <v>68</v>
      </c>
      <c r="E69" s="5" t="n">
        <v>11967.19</v>
      </c>
      <c r="F69" s="4" t="s">
        <v>17</v>
      </c>
    </row>
    <row r="70" customFormat="false" ht="15" hidden="false" customHeight="false" outlineLevel="0" collapsed="false">
      <c r="A70" s="4" t="s">
        <v>126</v>
      </c>
      <c r="B70" s="4" t="s">
        <v>113</v>
      </c>
      <c r="C70" s="4" t="s">
        <v>54</v>
      </c>
      <c r="D70" s="4" t="s">
        <v>21</v>
      </c>
      <c r="E70" s="5" t="n">
        <v>34156.25</v>
      </c>
      <c r="F70" s="4" t="s">
        <v>17</v>
      </c>
    </row>
    <row r="71" customFormat="false" ht="15" hidden="false" customHeight="false" outlineLevel="0" collapsed="false">
      <c r="A71" s="4" t="s">
        <v>127</v>
      </c>
      <c r="B71" s="4" t="s">
        <v>23</v>
      </c>
      <c r="C71" s="4" t="s">
        <v>94</v>
      </c>
      <c r="D71" s="4" t="s">
        <v>68</v>
      </c>
      <c r="E71" s="5" t="n">
        <v>4479.55</v>
      </c>
      <c r="F71" s="4" t="s">
        <v>17</v>
      </c>
    </row>
    <row r="72" customFormat="false" ht="15" hidden="false" customHeight="false" outlineLevel="0" collapsed="false">
      <c r="A72" s="4" t="s">
        <v>128</v>
      </c>
      <c r="B72" s="4" t="s">
        <v>125</v>
      </c>
      <c r="C72" s="4" t="s">
        <v>62</v>
      </c>
      <c r="D72" s="4" t="s">
        <v>38</v>
      </c>
      <c r="E72" s="5" t="n">
        <v>56153.68</v>
      </c>
      <c r="F72" s="4" t="s">
        <v>38</v>
      </c>
    </row>
    <row r="73" customFormat="false" ht="15" hidden="false" customHeight="false" outlineLevel="0" collapsed="false">
      <c r="A73" s="4" t="s">
        <v>129</v>
      </c>
      <c r="B73" s="4" t="s">
        <v>130</v>
      </c>
      <c r="C73" s="4" t="s">
        <v>101</v>
      </c>
      <c r="D73" s="4" t="s">
        <v>33</v>
      </c>
      <c r="E73" s="5" t="n">
        <v>15217.74</v>
      </c>
      <c r="F73" s="4" t="s">
        <v>17</v>
      </c>
    </row>
    <row r="74" customFormat="false" ht="15" hidden="false" customHeight="false" outlineLevel="0" collapsed="false">
      <c r="A74" s="4" t="s">
        <v>131</v>
      </c>
      <c r="B74" s="4" t="s">
        <v>77</v>
      </c>
      <c r="C74" s="4" t="s">
        <v>101</v>
      </c>
      <c r="D74" s="4" t="s">
        <v>33</v>
      </c>
      <c r="E74" s="5" t="n">
        <v>22932.24</v>
      </c>
      <c r="F74" s="4" t="s">
        <v>17</v>
      </c>
    </row>
    <row r="75" customFormat="false" ht="15" hidden="false" customHeight="false" outlineLevel="0" collapsed="false">
      <c r="A75" s="4" t="s">
        <v>132</v>
      </c>
      <c r="B75" s="4" t="s">
        <v>133</v>
      </c>
      <c r="C75" s="4" t="s">
        <v>101</v>
      </c>
      <c r="D75" s="4" t="s">
        <v>33</v>
      </c>
      <c r="E75" s="5" t="n">
        <v>65408.09</v>
      </c>
      <c r="F75" s="4" t="s">
        <v>17</v>
      </c>
    </row>
    <row r="76" customFormat="false" ht="15" hidden="false" customHeight="false" outlineLevel="0" collapsed="false">
      <c r="A76" s="4" t="s">
        <v>134</v>
      </c>
      <c r="B76" s="4" t="s">
        <v>73</v>
      </c>
      <c r="C76" s="4" t="s">
        <v>101</v>
      </c>
      <c r="D76" s="4" t="s">
        <v>33</v>
      </c>
      <c r="E76" s="5" t="n">
        <v>24214.48</v>
      </c>
      <c r="F76" s="4" t="s">
        <v>17</v>
      </c>
    </row>
    <row r="77" customFormat="false" ht="15" hidden="false" customHeight="false" outlineLevel="0" collapsed="false">
      <c r="A77" s="4" t="s">
        <v>135</v>
      </c>
      <c r="B77" s="4" t="s">
        <v>96</v>
      </c>
      <c r="C77" s="4" t="s">
        <v>67</v>
      </c>
      <c r="D77" s="4" t="s">
        <v>68</v>
      </c>
      <c r="E77" s="5" t="n">
        <v>56770.96</v>
      </c>
      <c r="F77" s="4" t="s">
        <v>17</v>
      </c>
    </row>
    <row r="78" customFormat="false" ht="15" hidden="false" customHeight="false" outlineLevel="0" collapsed="false">
      <c r="A78" s="4" t="s">
        <v>136</v>
      </c>
      <c r="B78" s="4" t="s">
        <v>19</v>
      </c>
      <c r="C78" s="4" t="s">
        <v>20</v>
      </c>
      <c r="D78" s="4" t="s">
        <v>21</v>
      </c>
      <c r="E78" s="5" t="n">
        <v>22848.43</v>
      </c>
      <c r="F78" s="4" t="s">
        <v>17</v>
      </c>
    </row>
    <row r="79" customFormat="false" ht="15" hidden="false" customHeight="false" outlineLevel="0" collapsed="false">
      <c r="A79" s="4" t="s">
        <v>137</v>
      </c>
      <c r="B79" s="4" t="s">
        <v>48</v>
      </c>
      <c r="C79" s="4" t="s">
        <v>20</v>
      </c>
      <c r="D79" s="4" t="s">
        <v>21</v>
      </c>
      <c r="E79" s="5" t="n">
        <v>57206.1</v>
      </c>
      <c r="F79" s="4" t="s">
        <v>17</v>
      </c>
    </row>
    <row r="80" customFormat="false" ht="15" hidden="false" customHeight="false" outlineLevel="0" collapsed="false">
      <c r="A80" s="4" t="s">
        <v>138</v>
      </c>
      <c r="B80" s="4" t="s">
        <v>23</v>
      </c>
      <c r="C80" s="4" t="s">
        <v>36</v>
      </c>
      <c r="D80" s="4" t="s">
        <v>37</v>
      </c>
      <c r="E80" s="5" t="n">
        <v>27466.85</v>
      </c>
      <c r="F80" s="4" t="s">
        <v>38</v>
      </c>
    </row>
    <row r="81" customFormat="false" ht="15" hidden="false" customHeight="false" outlineLevel="0" collapsed="false">
      <c r="A81" s="4" t="s">
        <v>139</v>
      </c>
      <c r="B81" s="4" t="s">
        <v>40</v>
      </c>
      <c r="C81" s="4" t="s">
        <v>45</v>
      </c>
      <c r="D81" s="4" t="s">
        <v>38</v>
      </c>
      <c r="E81" s="5" t="n">
        <v>13453.56</v>
      </c>
      <c r="F81" s="4" t="s">
        <v>38</v>
      </c>
    </row>
    <row r="82" customFormat="false" ht="15" hidden="false" customHeight="false" outlineLevel="0" collapsed="false">
      <c r="A82" s="4" t="s">
        <v>140</v>
      </c>
      <c r="B82" s="4" t="s">
        <v>27</v>
      </c>
      <c r="C82" s="4" t="s">
        <v>41</v>
      </c>
      <c r="D82" s="4" t="s">
        <v>16</v>
      </c>
      <c r="E82" s="5" t="n">
        <v>24075.37</v>
      </c>
      <c r="F82" s="4" t="s">
        <v>17</v>
      </c>
    </row>
    <row r="83" customFormat="false" ht="15" hidden="false" customHeight="false" outlineLevel="0" collapsed="false">
      <c r="A83" s="4" t="s">
        <v>141</v>
      </c>
      <c r="B83" s="4" t="s">
        <v>73</v>
      </c>
      <c r="C83" s="4" t="s">
        <v>41</v>
      </c>
      <c r="D83" s="4" t="s">
        <v>16</v>
      </c>
      <c r="E83" s="5" t="n">
        <v>43124.84</v>
      </c>
      <c r="F83" s="4" t="s">
        <v>17</v>
      </c>
    </row>
    <row r="84" customFormat="false" ht="15" hidden="false" customHeight="false" outlineLevel="0" collapsed="false">
      <c r="A84" s="4" t="s">
        <v>142</v>
      </c>
      <c r="B84" s="4" t="s">
        <v>29</v>
      </c>
      <c r="C84" s="4" t="s">
        <v>32</v>
      </c>
      <c r="D84" s="4" t="s">
        <v>33</v>
      </c>
      <c r="E84" s="5" t="n">
        <v>23475.45</v>
      </c>
      <c r="F84" s="4" t="s">
        <v>17</v>
      </c>
    </row>
    <row r="85" customFormat="false" ht="15" hidden="false" customHeight="false" outlineLevel="0" collapsed="false">
      <c r="A85" s="4" t="s">
        <v>143</v>
      </c>
      <c r="B85" s="4" t="s">
        <v>14</v>
      </c>
      <c r="C85" s="4" t="s">
        <v>15</v>
      </c>
      <c r="D85" s="4" t="s">
        <v>16</v>
      </c>
      <c r="E85" s="5" t="n">
        <v>14029.78</v>
      </c>
      <c r="F85" s="4" t="s">
        <v>17</v>
      </c>
    </row>
    <row r="86" customFormat="false" ht="15" hidden="false" customHeight="false" outlineLevel="0" collapsed="false">
      <c r="A86" s="4" t="s">
        <v>144</v>
      </c>
      <c r="B86" s="4" t="s">
        <v>50</v>
      </c>
      <c r="C86" s="4" t="s">
        <v>20</v>
      </c>
      <c r="D86" s="4" t="s">
        <v>21</v>
      </c>
      <c r="E86" s="5" t="n">
        <v>19600.97</v>
      </c>
      <c r="F86" s="4" t="s">
        <v>17</v>
      </c>
    </row>
    <row r="87" customFormat="false" ht="15" hidden="false" customHeight="false" outlineLevel="0" collapsed="false">
      <c r="A87" s="4" t="s">
        <v>145</v>
      </c>
      <c r="B87" s="4" t="s">
        <v>19</v>
      </c>
      <c r="C87" s="4" t="s">
        <v>41</v>
      </c>
      <c r="D87" s="4" t="s">
        <v>16</v>
      </c>
      <c r="E87" s="5" t="n">
        <v>23404.24</v>
      </c>
      <c r="F87" s="4" t="s">
        <v>17</v>
      </c>
    </row>
    <row r="88" customFormat="false" ht="15" hidden="false" customHeight="false" outlineLevel="0" collapsed="false">
      <c r="A88" s="4" t="s">
        <v>146</v>
      </c>
      <c r="B88" s="4" t="s">
        <v>113</v>
      </c>
      <c r="C88" s="4" t="s">
        <v>36</v>
      </c>
      <c r="D88" s="4" t="s">
        <v>37</v>
      </c>
      <c r="E88" s="5" t="n">
        <v>16790.71</v>
      </c>
      <c r="F88" s="4" t="s">
        <v>38</v>
      </c>
    </row>
    <row r="89" customFormat="false" ht="15" hidden="false" customHeight="false" outlineLevel="0" collapsed="false">
      <c r="A89" s="4" t="s">
        <v>147</v>
      </c>
      <c r="B89" s="4" t="s">
        <v>27</v>
      </c>
      <c r="C89" s="4" t="s">
        <v>101</v>
      </c>
      <c r="D89" s="4" t="s">
        <v>33</v>
      </c>
      <c r="E89" s="5" t="n">
        <v>17606.33</v>
      </c>
      <c r="F89" s="4" t="s">
        <v>17</v>
      </c>
    </row>
    <row r="90" customFormat="false" ht="15" hidden="false" customHeight="false" outlineLevel="0" collapsed="false">
      <c r="A90" s="4" t="s">
        <v>148</v>
      </c>
      <c r="B90" s="4" t="s">
        <v>14</v>
      </c>
      <c r="C90" s="4" t="s">
        <v>54</v>
      </c>
      <c r="D90" s="4" t="s">
        <v>21</v>
      </c>
      <c r="E90" s="5" t="n">
        <v>49235.59</v>
      </c>
      <c r="F90" s="4" t="s">
        <v>17</v>
      </c>
    </row>
    <row r="91" customFormat="false" ht="15" hidden="false" customHeight="false" outlineLevel="0" collapsed="false">
      <c r="A91" s="4" t="s">
        <v>149</v>
      </c>
      <c r="B91" s="4" t="s">
        <v>27</v>
      </c>
      <c r="C91" s="4" t="s">
        <v>41</v>
      </c>
      <c r="D91" s="4" t="s">
        <v>16</v>
      </c>
      <c r="E91" s="5" t="n">
        <v>41701.35</v>
      </c>
      <c r="F91" s="4" t="s">
        <v>17</v>
      </c>
    </row>
    <row r="92" customFormat="false" ht="15" hidden="false" customHeight="false" outlineLevel="0" collapsed="false">
      <c r="A92" s="4" t="s">
        <v>150</v>
      </c>
      <c r="B92" s="4" t="s">
        <v>77</v>
      </c>
      <c r="C92" s="4" t="s">
        <v>36</v>
      </c>
      <c r="D92" s="4" t="s">
        <v>37</v>
      </c>
      <c r="E92" s="5" t="n">
        <v>19512.69</v>
      </c>
      <c r="F92" s="4" t="s">
        <v>38</v>
      </c>
    </row>
    <row r="93" customFormat="false" ht="15" hidden="false" customHeight="false" outlineLevel="0" collapsed="false">
      <c r="A93" s="4" t="s">
        <v>151</v>
      </c>
      <c r="B93" s="4" t="s">
        <v>14</v>
      </c>
      <c r="C93" s="4" t="s">
        <v>54</v>
      </c>
      <c r="D93" s="4" t="s">
        <v>21</v>
      </c>
      <c r="E93" s="5" t="n">
        <v>16543.68</v>
      </c>
      <c r="F93" s="4" t="s">
        <v>17</v>
      </c>
    </row>
    <row r="94" customFormat="false" ht="15" hidden="false" customHeight="false" outlineLevel="0" collapsed="false">
      <c r="A94" s="4" t="s">
        <v>152</v>
      </c>
      <c r="B94" s="4" t="s">
        <v>108</v>
      </c>
      <c r="C94" s="4" t="s">
        <v>94</v>
      </c>
      <c r="D94" s="4" t="s">
        <v>68</v>
      </c>
      <c r="E94" s="5" t="n">
        <v>61933.43</v>
      </c>
      <c r="F94" s="4" t="s">
        <v>17</v>
      </c>
    </row>
    <row r="95" customFormat="false" ht="15" hidden="false" customHeight="false" outlineLevel="0" collapsed="false">
      <c r="A95" s="4" t="s">
        <v>153</v>
      </c>
      <c r="B95" s="4" t="s">
        <v>96</v>
      </c>
      <c r="C95" s="4" t="s">
        <v>15</v>
      </c>
      <c r="D95" s="4" t="s">
        <v>16</v>
      </c>
      <c r="E95" s="5" t="n">
        <v>20188.99</v>
      </c>
      <c r="F95" s="4" t="s">
        <v>17</v>
      </c>
    </row>
    <row r="96" customFormat="false" ht="15" hidden="false" customHeight="false" outlineLevel="0" collapsed="false">
      <c r="A96" s="4" t="s">
        <v>154</v>
      </c>
      <c r="B96" s="4" t="s">
        <v>155</v>
      </c>
      <c r="C96" s="4" t="s">
        <v>20</v>
      </c>
      <c r="D96" s="4" t="s">
        <v>21</v>
      </c>
      <c r="E96" s="5" t="n">
        <v>63094.82</v>
      </c>
      <c r="F96" s="4" t="s">
        <v>17</v>
      </c>
    </row>
    <row r="97" customFormat="false" ht="15" hidden="false" customHeight="false" outlineLevel="0" collapsed="false">
      <c r="A97" s="4" t="s">
        <v>156</v>
      </c>
      <c r="B97" s="4" t="s">
        <v>157</v>
      </c>
      <c r="C97" s="4" t="s">
        <v>20</v>
      </c>
      <c r="D97" s="4" t="s">
        <v>21</v>
      </c>
      <c r="E97" s="5" t="n">
        <v>16292.63</v>
      </c>
      <c r="F97" s="4" t="s">
        <v>17</v>
      </c>
    </row>
    <row r="98" customFormat="false" ht="15" hidden="false" customHeight="false" outlineLevel="0" collapsed="false">
      <c r="A98" s="4" t="s">
        <v>158</v>
      </c>
      <c r="B98" s="4" t="s">
        <v>159</v>
      </c>
      <c r="C98" s="4" t="s">
        <v>32</v>
      </c>
      <c r="D98" s="4" t="s">
        <v>33</v>
      </c>
      <c r="E98" s="5" t="n">
        <v>46780.78</v>
      </c>
      <c r="F98" s="4" t="s">
        <v>17</v>
      </c>
    </row>
    <row r="99" customFormat="false" ht="15" hidden="false" customHeight="false" outlineLevel="0" collapsed="false">
      <c r="A99" s="4" t="s">
        <v>160</v>
      </c>
      <c r="B99" s="4" t="s">
        <v>155</v>
      </c>
      <c r="C99" s="4" t="s">
        <v>45</v>
      </c>
      <c r="D99" s="4" t="s">
        <v>38</v>
      </c>
      <c r="E99" s="5" t="n">
        <v>59750.73</v>
      </c>
      <c r="F99" s="4" t="s">
        <v>38</v>
      </c>
    </row>
    <row r="100" customFormat="false" ht="15" hidden="false" customHeight="false" outlineLevel="0" collapsed="false">
      <c r="A100" s="4" t="s">
        <v>161</v>
      </c>
      <c r="B100" s="4" t="s">
        <v>162</v>
      </c>
      <c r="C100" s="4" t="s">
        <v>36</v>
      </c>
      <c r="D100" s="4" t="s">
        <v>37</v>
      </c>
      <c r="E100" s="5" t="n">
        <v>52176.93</v>
      </c>
      <c r="F100" s="4" t="s">
        <v>38</v>
      </c>
    </row>
    <row r="101" customFormat="false" ht="15" hidden="false" customHeight="false" outlineLevel="0" collapsed="false">
      <c r="A101" s="4" t="s">
        <v>163</v>
      </c>
      <c r="B101" s="4" t="s">
        <v>164</v>
      </c>
      <c r="C101" s="4" t="s">
        <v>54</v>
      </c>
      <c r="D101" s="4" t="s">
        <v>21</v>
      </c>
      <c r="E101" s="5" t="n">
        <v>59612.41</v>
      </c>
      <c r="F101" s="4" t="s">
        <v>17</v>
      </c>
    </row>
    <row r="102" customFormat="false" ht="15" hidden="false" customHeight="false" outlineLevel="0" collapsed="false">
      <c r="A102" s="4" t="s">
        <v>165</v>
      </c>
      <c r="B102" s="4" t="s">
        <v>166</v>
      </c>
      <c r="C102" s="4" t="s">
        <v>101</v>
      </c>
      <c r="D102" s="4" t="s">
        <v>33</v>
      </c>
      <c r="E102" s="5" t="n">
        <v>7928.48</v>
      </c>
      <c r="F102" s="4" t="s">
        <v>17</v>
      </c>
    </row>
    <row r="103" customFormat="false" ht="15" hidden="false" customHeight="false" outlineLevel="0" collapsed="false">
      <c r="A103" s="4" t="s">
        <v>167</v>
      </c>
      <c r="B103" s="4" t="s">
        <v>162</v>
      </c>
      <c r="C103" s="4" t="s">
        <v>67</v>
      </c>
      <c r="D103" s="4" t="s">
        <v>68</v>
      </c>
      <c r="E103" s="5" t="n">
        <v>63382.25</v>
      </c>
      <c r="F103" s="4" t="s">
        <v>17</v>
      </c>
    </row>
    <row r="104" customFormat="false" ht="15" hidden="false" customHeight="false" outlineLevel="0" collapsed="false">
      <c r="A104" s="4" t="s">
        <v>168</v>
      </c>
      <c r="B104" s="4" t="s">
        <v>155</v>
      </c>
      <c r="C104" s="4" t="s">
        <v>32</v>
      </c>
      <c r="D104" s="4" t="s">
        <v>33</v>
      </c>
      <c r="E104" s="5" t="n">
        <v>7666.51</v>
      </c>
      <c r="F104" s="4" t="s">
        <v>17</v>
      </c>
    </row>
    <row r="105" customFormat="false" ht="15" hidden="false" customHeight="false" outlineLevel="0" collapsed="false">
      <c r="A105" s="4" t="s">
        <v>169</v>
      </c>
      <c r="B105" s="4" t="s">
        <v>170</v>
      </c>
      <c r="C105" s="4" t="s">
        <v>36</v>
      </c>
      <c r="D105" s="4" t="s">
        <v>37</v>
      </c>
      <c r="E105" s="5" t="n">
        <v>64031.44</v>
      </c>
      <c r="F105" s="4" t="s">
        <v>38</v>
      </c>
    </row>
    <row r="106" customFormat="false" ht="15" hidden="false" customHeight="false" outlineLevel="0" collapsed="false">
      <c r="A106" s="4" t="s">
        <v>171</v>
      </c>
      <c r="B106" s="4" t="s">
        <v>172</v>
      </c>
      <c r="C106" s="4" t="s">
        <v>24</v>
      </c>
      <c r="D106" s="4" t="s">
        <v>25</v>
      </c>
      <c r="E106" s="5" t="n">
        <v>61429.89</v>
      </c>
      <c r="F106" s="4" t="s">
        <v>17</v>
      </c>
    </row>
    <row r="107" customFormat="false" ht="15" hidden="false" customHeight="false" outlineLevel="0" collapsed="false">
      <c r="A107" s="4" t="s">
        <v>173</v>
      </c>
      <c r="B107" s="4" t="s">
        <v>159</v>
      </c>
      <c r="C107" s="4" t="s">
        <v>15</v>
      </c>
      <c r="D107" s="4" t="s">
        <v>16</v>
      </c>
      <c r="E107" s="5" t="n">
        <v>34899.51</v>
      </c>
      <c r="F107" s="4" t="s">
        <v>17</v>
      </c>
    </row>
    <row r="108" customFormat="false" ht="15" hidden="false" customHeight="false" outlineLevel="0" collapsed="false">
      <c r="A108" s="4" t="s">
        <v>174</v>
      </c>
      <c r="B108" s="4" t="s">
        <v>175</v>
      </c>
      <c r="C108" s="4" t="s">
        <v>41</v>
      </c>
      <c r="D108" s="4" t="s">
        <v>16</v>
      </c>
      <c r="E108" s="5" t="n">
        <v>65347.59</v>
      </c>
      <c r="F108" s="4" t="s">
        <v>17</v>
      </c>
    </row>
    <row r="109" customFormat="false" ht="15" hidden="false" customHeight="false" outlineLevel="0" collapsed="false">
      <c r="A109" s="4" t="s">
        <v>176</v>
      </c>
      <c r="B109" s="4" t="s">
        <v>162</v>
      </c>
      <c r="C109" s="4" t="s">
        <v>24</v>
      </c>
      <c r="D109" s="4" t="s">
        <v>25</v>
      </c>
      <c r="E109" s="5" t="n">
        <v>39196.33</v>
      </c>
      <c r="F109" s="4" t="s">
        <v>17</v>
      </c>
    </row>
    <row r="110" customFormat="false" ht="15" hidden="false" customHeight="false" outlineLevel="0" collapsed="false">
      <c r="A110" s="4" t="s">
        <v>177</v>
      </c>
      <c r="B110" s="4" t="s">
        <v>178</v>
      </c>
      <c r="C110" s="4" t="s">
        <v>94</v>
      </c>
      <c r="D110" s="4" t="s">
        <v>68</v>
      </c>
      <c r="E110" s="5" t="n">
        <v>12314.55</v>
      </c>
      <c r="F110" s="4" t="s">
        <v>17</v>
      </c>
    </row>
    <row r="111" customFormat="false" ht="15" hidden="false" customHeight="false" outlineLevel="0" collapsed="false">
      <c r="A111" s="4" t="s">
        <v>179</v>
      </c>
      <c r="B111" s="4" t="s">
        <v>172</v>
      </c>
      <c r="C111" s="4" t="s">
        <v>62</v>
      </c>
      <c r="D111" s="4" t="s">
        <v>38</v>
      </c>
      <c r="E111" s="5" t="n">
        <v>67559.74</v>
      </c>
      <c r="F111" s="4" t="s">
        <v>38</v>
      </c>
    </row>
    <row r="112" customFormat="false" ht="15" hidden="false" customHeight="false" outlineLevel="0" collapsed="false">
      <c r="A112" s="4" t="s">
        <v>180</v>
      </c>
      <c r="B112" s="4" t="s">
        <v>178</v>
      </c>
      <c r="C112" s="4" t="s">
        <v>36</v>
      </c>
      <c r="D112" s="4" t="s">
        <v>37</v>
      </c>
      <c r="E112" s="5" t="n">
        <v>51695.57</v>
      </c>
      <c r="F112" s="4" t="s">
        <v>38</v>
      </c>
    </row>
    <row r="113" customFormat="false" ht="15" hidden="false" customHeight="false" outlineLevel="0" collapsed="false">
      <c r="A113" s="4" t="s">
        <v>181</v>
      </c>
      <c r="B113" s="4" t="s">
        <v>182</v>
      </c>
      <c r="C113" s="4" t="s">
        <v>32</v>
      </c>
      <c r="D113" s="4" t="s">
        <v>33</v>
      </c>
      <c r="E113" s="5" t="n">
        <v>46672.3</v>
      </c>
      <c r="F113" s="4" t="s">
        <v>17</v>
      </c>
    </row>
    <row r="114" customFormat="false" ht="15" hidden="false" customHeight="false" outlineLevel="0" collapsed="false">
      <c r="A114" s="4" t="s">
        <v>183</v>
      </c>
      <c r="B114" s="4" t="s">
        <v>184</v>
      </c>
      <c r="C114" s="4" t="s">
        <v>20</v>
      </c>
      <c r="D114" s="4" t="s">
        <v>21</v>
      </c>
      <c r="E114" s="5" t="n">
        <v>32985.85</v>
      </c>
      <c r="F114" s="4" t="s">
        <v>17</v>
      </c>
    </row>
    <row r="115" customFormat="false" ht="15" hidden="false" customHeight="false" outlineLevel="0" collapsed="false">
      <c r="A115" s="4" t="s">
        <v>185</v>
      </c>
      <c r="B115" s="4" t="s">
        <v>178</v>
      </c>
      <c r="C115" s="4" t="s">
        <v>62</v>
      </c>
      <c r="D115" s="4" t="s">
        <v>38</v>
      </c>
      <c r="E115" s="5" t="n">
        <v>59144.98</v>
      </c>
      <c r="F115" s="4" t="s">
        <v>38</v>
      </c>
    </row>
    <row r="116" customFormat="false" ht="15" hidden="false" customHeight="false" outlineLevel="0" collapsed="false">
      <c r="A116" s="4" t="s">
        <v>186</v>
      </c>
      <c r="B116" s="4" t="s">
        <v>184</v>
      </c>
      <c r="C116" s="4" t="s">
        <v>32</v>
      </c>
      <c r="D116" s="4" t="s">
        <v>33</v>
      </c>
      <c r="E116" s="5" t="n">
        <v>52521.77</v>
      </c>
      <c r="F116" s="4" t="s">
        <v>17</v>
      </c>
    </row>
    <row r="117" customFormat="false" ht="15" hidden="false" customHeight="false" outlineLevel="0" collapsed="false">
      <c r="A117" s="4" t="s">
        <v>187</v>
      </c>
      <c r="B117" s="4" t="s">
        <v>188</v>
      </c>
      <c r="C117" s="4" t="s">
        <v>20</v>
      </c>
      <c r="D117" s="4" t="s">
        <v>21</v>
      </c>
      <c r="E117" s="5" t="n">
        <v>36258.12</v>
      </c>
      <c r="F117" s="4" t="s">
        <v>17</v>
      </c>
    </row>
    <row r="118" customFormat="false" ht="15" hidden="false" customHeight="false" outlineLevel="0" collapsed="false">
      <c r="A118" s="4" t="s">
        <v>189</v>
      </c>
      <c r="B118" s="4" t="s">
        <v>190</v>
      </c>
      <c r="C118" s="4" t="s">
        <v>101</v>
      </c>
      <c r="D118" s="4" t="s">
        <v>33</v>
      </c>
      <c r="E118" s="5" t="n">
        <v>14495.54</v>
      </c>
      <c r="F118" s="4" t="s">
        <v>17</v>
      </c>
    </row>
    <row r="119" customFormat="false" ht="15" hidden="false" customHeight="false" outlineLevel="0" collapsed="false">
      <c r="A119" s="4" t="s">
        <v>191</v>
      </c>
      <c r="B119" s="4" t="s">
        <v>162</v>
      </c>
      <c r="C119" s="4" t="s">
        <v>45</v>
      </c>
      <c r="D119" s="4" t="s">
        <v>38</v>
      </c>
      <c r="E119" s="5" t="n">
        <v>56293.67</v>
      </c>
      <c r="F119" s="4" t="s">
        <v>38</v>
      </c>
    </row>
    <row r="120" customFormat="false" ht="15" hidden="false" customHeight="false" outlineLevel="0" collapsed="false">
      <c r="A120" s="4" t="s">
        <v>192</v>
      </c>
      <c r="B120" s="4" t="s">
        <v>193</v>
      </c>
      <c r="C120" s="4" t="s">
        <v>62</v>
      </c>
      <c r="D120" s="4" t="s">
        <v>38</v>
      </c>
      <c r="E120" s="5" t="n">
        <v>22169.29</v>
      </c>
      <c r="F120" s="4" t="s">
        <v>38</v>
      </c>
    </row>
    <row r="121" customFormat="false" ht="15" hidden="false" customHeight="false" outlineLevel="0" collapsed="false">
      <c r="A121" s="4" t="s">
        <v>194</v>
      </c>
      <c r="B121" s="4" t="s">
        <v>195</v>
      </c>
      <c r="C121" s="4" t="s">
        <v>101</v>
      </c>
      <c r="D121" s="4" t="s">
        <v>33</v>
      </c>
      <c r="E121" s="5" t="n">
        <v>10029.39</v>
      </c>
      <c r="F121" s="4" t="s">
        <v>17</v>
      </c>
    </row>
    <row r="122" customFormat="false" ht="15" hidden="false" customHeight="false" outlineLevel="0" collapsed="false">
      <c r="A122" s="4" t="s">
        <v>196</v>
      </c>
      <c r="B122" s="4" t="s">
        <v>197</v>
      </c>
      <c r="C122" s="4" t="s">
        <v>32</v>
      </c>
      <c r="D122" s="4" t="s">
        <v>33</v>
      </c>
      <c r="E122" s="5" t="n">
        <v>23241.22</v>
      </c>
      <c r="F122" s="4" t="s">
        <v>17</v>
      </c>
    </row>
    <row r="123" customFormat="false" ht="15" hidden="false" customHeight="false" outlineLevel="0" collapsed="false">
      <c r="A123" s="4" t="s">
        <v>198</v>
      </c>
      <c r="B123" s="4" t="s">
        <v>199</v>
      </c>
      <c r="C123" s="4" t="s">
        <v>45</v>
      </c>
      <c r="D123" s="4" t="s">
        <v>38</v>
      </c>
      <c r="E123" s="5" t="n">
        <v>66004.82</v>
      </c>
      <c r="F123" s="4" t="s">
        <v>38</v>
      </c>
    </row>
    <row r="124" customFormat="false" ht="15" hidden="false" customHeight="false" outlineLevel="0" collapsed="false">
      <c r="A124" s="4" t="s">
        <v>200</v>
      </c>
      <c r="B124" s="4" t="s">
        <v>188</v>
      </c>
      <c r="C124" s="4" t="s">
        <v>20</v>
      </c>
      <c r="D124" s="4" t="s">
        <v>21</v>
      </c>
      <c r="E124" s="5" t="n">
        <v>51855.6</v>
      </c>
      <c r="F124" s="4" t="s">
        <v>17</v>
      </c>
    </row>
    <row r="125" customFormat="false" ht="15" hidden="false" customHeight="false" outlineLevel="0" collapsed="false">
      <c r="A125" s="4" t="s">
        <v>201</v>
      </c>
      <c r="B125" s="4" t="s">
        <v>202</v>
      </c>
      <c r="C125" s="4" t="s">
        <v>41</v>
      </c>
      <c r="D125" s="4" t="s">
        <v>16</v>
      </c>
      <c r="E125" s="5" t="n">
        <v>23519.39</v>
      </c>
      <c r="F125" s="4" t="s">
        <v>17</v>
      </c>
    </row>
    <row r="126" customFormat="false" ht="15" hidden="false" customHeight="false" outlineLevel="0" collapsed="false">
      <c r="A126" s="4" t="s">
        <v>203</v>
      </c>
      <c r="B126" s="4" t="s">
        <v>202</v>
      </c>
      <c r="C126" s="4" t="s">
        <v>94</v>
      </c>
      <c r="D126" s="4" t="s">
        <v>68</v>
      </c>
      <c r="E126" s="5" t="n">
        <v>23871.23</v>
      </c>
      <c r="F126" s="4" t="s">
        <v>17</v>
      </c>
    </row>
    <row r="127" customFormat="false" ht="15" hidden="false" customHeight="false" outlineLevel="0" collapsed="false">
      <c r="A127" s="4" t="s">
        <v>204</v>
      </c>
      <c r="B127" s="4" t="s">
        <v>205</v>
      </c>
      <c r="C127" s="4" t="s">
        <v>20</v>
      </c>
      <c r="D127" s="4" t="s">
        <v>21</v>
      </c>
      <c r="E127" s="5" t="n">
        <v>50458.41</v>
      </c>
      <c r="F127" s="4" t="s">
        <v>17</v>
      </c>
    </row>
    <row r="128" customFormat="false" ht="15" hidden="false" customHeight="false" outlineLevel="0" collapsed="false">
      <c r="A128" s="4" t="s">
        <v>206</v>
      </c>
      <c r="B128" s="4" t="s">
        <v>205</v>
      </c>
      <c r="C128" s="4" t="s">
        <v>20</v>
      </c>
      <c r="D128" s="4" t="s">
        <v>21</v>
      </c>
      <c r="E128" s="5" t="n">
        <v>65485.19</v>
      </c>
      <c r="F128" s="4" t="s">
        <v>17</v>
      </c>
    </row>
    <row r="129" customFormat="false" ht="15" hidden="false" customHeight="false" outlineLevel="0" collapsed="false">
      <c r="A129" s="4" t="s">
        <v>207</v>
      </c>
      <c r="B129" s="4" t="s">
        <v>208</v>
      </c>
      <c r="C129" s="4" t="s">
        <v>41</v>
      </c>
      <c r="D129" s="4" t="s">
        <v>16</v>
      </c>
      <c r="E129" s="5" t="n">
        <v>67136.26</v>
      </c>
      <c r="F129" s="4" t="s">
        <v>17</v>
      </c>
    </row>
    <row r="130" customFormat="false" ht="15" hidden="false" customHeight="false" outlineLevel="0" collapsed="false">
      <c r="A130" s="4" t="s">
        <v>209</v>
      </c>
      <c r="B130" s="4" t="s">
        <v>210</v>
      </c>
      <c r="C130" s="4" t="s">
        <v>67</v>
      </c>
      <c r="D130" s="4" t="s">
        <v>68</v>
      </c>
      <c r="E130" s="5" t="n">
        <v>32942.21</v>
      </c>
      <c r="F130" s="4" t="s">
        <v>17</v>
      </c>
    </row>
    <row r="131" customFormat="false" ht="15" hidden="false" customHeight="false" outlineLevel="0" collapsed="false">
      <c r="A131" s="4" t="s">
        <v>211</v>
      </c>
      <c r="B131" s="4" t="s">
        <v>188</v>
      </c>
      <c r="C131" s="4" t="s">
        <v>67</v>
      </c>
      <c r="D131" s="4" t="s">
        <v>68</v>
      </c>
      <c r="E131" s="5" t="n">
        <v>48621.32</v>
      </c>
      <c r="F131" s="4" t="s">
        <v>17</v>
      </c>
    </row>
    <row r="132" customFormat="false" ht="15" hidden="false" customHeight="false" outlineLevel="0" collapsed="false">
      <c r="A132" s="4" t="s">
        <v>212</v>
      </c>
      <c r="B132" s="4" t="s">
        <v>155</v>
      </c>
      <c r="C132" s="4" t="s">
        <v>101</v>
      </c>
      <c r="D132" s="4" t="s">
        <v>33</v>
      </c>
      <c r="E132" s="5" t="n">
        <v>37432.32</v>
      </c>
      <c r="F132" s="4" t="s">
        <v>17</v>
      </c>
    </row>
    <row r="133" customFormat="false" ht="15" hidden="false" customHeight="false" outlineLevel="0" collapsed="false">
      <c r="A133" s="4" t="s">
        <v>213</v>
      </c>
      <c r="B133" s="4" t="s">
        <v>157</v>
      </c>
      <c r="C133" s="4" t="s">
        <v>94</v>
      </c>
      <c r="D133" s="4" t="s">
        <v>68</v>
      </c>
      <c r="E133" s="5" t="n">
        <v>22843.37</v>
      </c>
      <c r="F133" s="4" t="s">
        <v>17</v>
      </c>
    </row>
    <row r="134" customFormat="false" ht="15" hidden="false" customHeight="false" outlineLevel="0" collapsed="false">
      <c r="A134" s="4" t="s">
        <v>214</v>
      </c>
      <c r="B134" s="4" t="s">
        <v>193</v>
      </c>
      <c r="C134" s="4" t="s">
        <v>20</v>
      </c>
      <c r="D134" s="4" t="s">
        <v>21</v>
      </c>
      <c r="E134" s="5" t="n">
        <v>31208.62</v>
      </c>
      <c r="F134" s="4" t="s">
        <v>17</v>
      </c>
    </row>
    <row r="135" customFormat="false" ht="15" hidden="false" customHeight="false" outlineLevel="0" collapsed="false">
      <c r="A135" s="4" t="s">
        <v>215</v>
      </c>
      <c r="B135" s="4" t="s">
        <v>159</v>
      </c>
      <c r="C135" s="4" t="s">
        <v>24</v>
      </c>
      <c r="D135" s="4" t="s">
        <v>25</v>
      </c>
      <c r="E135" s="5" t="n">
        <v>10103.9</v>
      </c>
      <c r="F135" s="4" t="s">
        <v>17</v>
      </c>
    </row>
    <row r="136" customFormat="false" ht="15" hidden="false" customHeight="false" outlineLevel="0" collapsed="false">
      <c r="A136" s="4" t="s">
        <v>216</v>
      </c>
      <c r="B136" s="4" t="s">
        <v>197</v>
      </c>
      <c r="C136" s="4" t="s">
        <v>45</v>
      </c>
      <c r="D136" s="4" t="s">
        <v>38</v>
      </c>
      <c r="E136" s="5" t="n">
        <v>22341.5</v>
      </c>
      <c r="F136" s="4" t="s">
        <v>38</v>
      </c>
    </row>
    <row r="137" customFormat="false" ht="15" hidden="false" customHeight="false" outlineLevel="0" collapsed="false">
      <c r="A137" s="4" t="s">
        <v>217</v>
      </c>
      <c r="B137" s="4" t="s">
        <v>218</v>
      </c>
      <c r="C137" s="4" t="s">
        <v>24</v>
      </c>
      <c r="D137" s="4" t="s">
        <v>25</v>
      </c>
      <c r="E137" s="5" t="n">
        <v>57493.26</v>
      </c>
      <c r="F137" s="4" t="s">
        <v>17</v>
      </c>
    </row>
    <row r="138" customFormat="false" ht="15" hidden="false" customHeight="false" outlineLevel="0" collapsed="false">
      <c r="A138" s="4" t="s">
        <v>219</v>
      </c>
      <c r="B138" s="4" t="s">
        <v>188</v>
      </c>
      <c r="C138" s="4" t="s">
        <v>54</v>
      </c>
      <c r="D138" s="4" t="s">
        <v>21</v>
      </c>
      <c r="E138" s="5" t="n">
        <v>62101.83</v>
      </c>
      <c r="F138" s="4" t="s">
        <v>17</v>
      </c>
    </row>
    <row r="139" customFormat="false" ht="15" hidden="false" customHeight="false" outlineLevel="0" collapsed="false">
      <c r="A139" s="4" t="s">
        <v>220</v>
      </c>
      <c r="B139" s="4" t="s">
        <v>166</v>
      </c>
      <c r="C139" s="4" t="s">
        <v>62</v>
      </c>
      <c r="D139" s="4" t="s">
        <v>38</v>
      </c>
      <c r="E139" s="5" t="n">
        <v>41677.79</v>
      </c>
      <c r="F139" s="4" t="s">
        <v>38</v>
      </c>
    </row>
    <row r="140" customFormat="false" ht="15" hidden="false" customHeight="false" outlineLevel="0" collapsed="false">
      <c r="A140" s="4" t="s">
        <v>221</v>
      </c>
      <c r="B140" s="4" t="s">
        <v>157</v>
      </c>
      <c r="C140" s="4" t="s">
        <v>62</v>
      </c>
      <c r="D140" s="4" t="s">
        <v>38</v>
      </c>
      <c r="E140" s="5" t="n">
        <v>53179.52</v>
      </c>
      <c r="F140" s="4" t="s">
        <v>38</v>
      </c>
    </row>
    <row r="141" customFormat="false" ht="15" hidden="false" customHeight="false" outlineLevel="0" collapsed="false">
      <c r="A141" s="4" t="s">
        <v>222</v>
      </c>
      <c r="B141" s="4" t="s">
        <v>166</v>
      </c>
      <c r="C141" s="4" t="s">
        <v>101</v>
      </c>
      <c r="D141" s="4" t="s">
        <v>33</v>
      </c>
      <c r="E141" s="5" t="n">
        <v>27842.81</v>
      </c>
      <c r="F141" s="4" t="s">
        <v>17</v>
      </c>
    </row>
    <row r="142" customFormat="false" ht="15" hidden="false" customHeight="false" outlineLevel="0" collapsed="false">
      <c r="A142" s="4" t="s">
        <v>223</v>
      </c>
      <c r="B142" s="4" t="s">
        <v>155</v>
      </c>
      <c r="C142" s="4" t="s">
        <v>24</v>
      </c>
      <c r="D142" s="4" t="s">
        <v>25</v>
      </c>
      <c r="E142" s="5" t="n">
        <v>45046.84</v>
      </c>
      <c r="F142" s="4" t="s">
        <v>17</v>
      </c>
    </row>
    <row r="143" customFormat="false" ht="15" hidden="false" customHeight="false" outlineLevel="0" collapsed="false">
      <c r="A143" s="4" t="s">
        <v>224</v>
      </c>
      <c r="B143" s="4" t="s">
        <v>197</v>
      </c>
      <c r="C143" s="4" t="s">
        <v>94</v>
      </c>
      <c r="D143" s="4" t="s">
        <v>68</v>
      </c>
      <c r="E143" s="5" t="n">
        <v>48839.51</v>
      </c>
      <c r="F143" s="4" t="s">
        <v>17</v>
      </c>
    </row>
    <row r="144" customFormat="false" ht="15" hidden="false" customHeight="false" outlineLevel="0" collapsed="false">
      <c r="A144" s="4" t="s">
        <v>225</v>
      </c>
      <c r="B144" s="4" t="s">
        <v>226</v>
      </c>
      <c r="C144" s="4" t="s">
        <v>94</v>
      </c>
      <c r="D144" s="4" t="s">
        <v>68</v>
      </c>
      <c r="E144" s="5" t="n">
        <v>54058.43</v>
      </c>
      <c r="F144" s="4" t="s">
        <v>17</v>
      </c>
    </row>
    <row r="145" customFormat="false" ht="15" hidden="false" customHeight="false" outlineLevel="0" collapsed="false">
      <c r="A145" s="4" t="s">
        <v>227</v>
      </c>
      <c r="B145" s="4" t="s">
        <v>228</v>
      </c>
      <c r="C145" s="4" t="s">
        <v>32</v>
      </c>
      <c r="D145" s="4" t="s">
        <v>33</v>
      </c>
      <c r="E145" s="5" t="n">
        <v>1752.21</v>
      </c>
      <c r="F145" s="4" t="s">
        <v>17</v>
      </c>
    </row>
    <row r="146" customFormat="false" ht="15" hidden="false" customHeight="false" outlineLevel="0" collapsed="false">
      <c r="A146" s="4" t="s">
        <v>229</v>
      </c>
      <c r="B146" s="4" t="s">
        <v>210</v>
      </c>
      <c r="C146" s="4" t="s">
        <v>15</v>
      </c>
      <c r="D146" s="4" t="s">
        <v>16</v>
      </c>
      <c r="E146" s="5" t="n">
        <v>2512.48</v>
      </c>
      <c r="F146" s="4" t="s">
        <v>17</v>
      </c>
    </row>
    <row r="147" customFormat="false" ht="15" hidden="false" customHeight="false" outlineLevel="0" collapsed="false">
      <c r="A147" s="4" t="s">
        <v>230</v>
      </c>
      <c r="B147" s="4" t="s">
        <v>184</v>
      </c>
      <c r="C147" s="4" t="s">
        <v>15</v>
      </c>
      <c r="D147" s="4" t="s">
        <v>16</v>
      </c>
      <c r="E147" s="5" t="n">
        <v>19944.64</v>
      </c>
      <c r="F147" s="4" t="s">
        <v>17</v>
      </c>
    </row>
    <row r="148" customFormat="false" ht="15" hidden="false" customHeight="false" outlineLevel="0" collapsed="false">
      <c r="A148" s="4" t="s">
        <v>231</v>
      </c>
      <c r="B148" s="4" t="s">
        <v>175</v>
      </c>
      <c r="C148" s="4" t="s">
        <v>62</v>
      </c>
      <c r="D148" s="4" t="s">
        <v>38</v>
      </c>
      <c r="E148" s="5" t="n">
        <v>10965.39</v>
      </c>
      <c r="F148" s="4" t="s">
        <v>38</v>
      </c>
    </row>
    <row r="149" customFormat="false" ht="15" hidden="false" customHeight="false" outlineLevel="0" collapsed="false">
      <c r="A149" s="4" t="s">
        <v>232</v>
      </c>
      <c r="B149" s="4" t="s">
        <v>184</v>
      </c>
      <c r="C149" s="4" t="s">
        <v>36</v>
      </c>
      <c r="D149" s="4" t="s">
        <v>37</v>
      </c>
      <c r="E149" s="5" t="n">
        <v>26899.76</v>
      </c>
      <c r="F149" s="4" t="s">
        <v>38</v>
      </c>
    </row>
    <row r="150" customFormat="false" ht="15" hidden="false" customHeight="false" outlineLevel="0" collapsed="false">
      <c r="A150" s="4" t="s">
        <v>233</v>
      </c>
      <c r="B150" s="4" t="s">
        <v>184</v>
      </c>
      <c r="C150" s="4" t="s">
        <v>62</v>
      </c>
      <c r="D150" s="4" t="s">
        <v>38</v>
      </c>
      <c r="E150" s="5" t="n">
        <v>48570.52</v>
      </c>
      <c r="F150" s="4" t="s">
        <v>38</v>
      </c>
    </row>
    <row r="151" customFormat="false" ht="15" hidden="false" customHeight="false" outlineLevel="0" collapsed="false">
      <c r="A151" s="4" t="s">
        <v>234</v>
      </c>
      <c r="B151" s="4" t="s">
        <v>218</v>
      </c>
      <c r="C151" s="4" t="s">
        <v>94</v>
      </c>
      <c r="D151" s="4" t="s">
        <v>68</v>
      </c>
      <c r="E151" s="5" t="n">
        <v>63449.64</v>
      </c>
      <c r="F151" s="4" t="s">
        <v>17</v>
      </c>
    </row>
    <row r="152" customFormat="false" ht="15" hidden="false" customHeight="false" outlineLevel="0" collapsed="false">
      <c r="A152" s="4" t="s">
        <v>235</v>
      </c>
      <c r="B152" s="4" t="s">
        <v>236</v>
      </c>
      <c r="C152" s="4" t="s">
        <v>15</v>
      </c>
      <c r="D152" s="4" t="s">
        <v>16</v>
      </c>
      <c r="E152" s="5" t="n">
        <v>41078.09</v>
      </c>
      <c r="F152" s="4" t="s">
        <v>17</v>
      </c>
    </row>
    <row r="153" customFormat="false" ht="15" hidden="false" customHeight="false" outlineLevel="0" collapsed="false">
      <c r="A153" s="4" t="s">
        <v>237</v>
      </c>
      <c r="B153" s="4" t="s">
        <v>166</v>
      </c>
      <c r="C153" s="4" t="s">
        <v>45</v>
      </c>
      <c r="D153" s="4" t="s">
        <v>38</v>
      </c>
      <c r="E153" s="5" t="n">
        <v>7929.53</v>
      </c>
      <c r="F153" s="4" t="s">
        <v>38</v>
      </c>
    </row>
    <row r="154" customFormat="false" ht="15" hidden="false" customHeight="false" outlineLevel="0" collapsed="false">
      <c r="A154" s="4" t="s">
        <v>238</v>
      </c>
      <c r="B154" s="4" t="s">
        <v>202</v>
      </c>
      <c r="C154" s="4" t="s">
        <v>24</v>
      </c>
      <c r="D154" s="4" t="s">
        <v>25</v>
      </c>
      <c r="E154" s="5" t="n">
        <v>58111</v>
      </c>
      <c r="F154" s="4" t="s">
        <v>17</v>
      </c>
    </row>
    <row r="155" customFormat="false" ht="15" hidden="false" customHeight="false" outlineLevel="0" collapsed="false">
      <c r="A155" s="4" t="s">
        <v>239</v>
      </c>
      <c r="B155" s="4" t="s">
        <v>226</v>
      </c>
      <c r="C155" s="4" t="s">
        <v>32</v>
      </c>
      <c r="D155" s="4" t="s">
        <v>33</v>
      </c>
      <c r="E155" s="5" t="n">
        <v>55942.74</v>
      </c>
      <c r="F155" s="4" t="s">
        <v>17</v>
      </c>
    </row>
    <row r="156" customFormat="false" ht="15" hidden="false" customHeight="false" outlineLevel="0" collapsed="false">
      <c r="A156" s="4" t="s">
        <v>240</v>
      </c>
      <c r="B156" s="4" t="s">
        <v>205</v>
      </c>
      <c r="C156" s="4" t="s">
        <v>36</v>
      </c>
      <c r="D156" s="4" t="s">
        <v>37</v>
      </c>
      <c r="E156" s="5" t="n">
        <v>63533.65</v>
      </c>
      <c r="F156" s="4" t="s">
        <v>38</v>
      </c>
    </row>
    <row r="157" customFormat="false" ht="15" hidden="false" customHeight="false" outlineLevel="0" collapsed="false">
      <c r="A157" s="4" t="s">
        <v>241</v>
      </c>
      <c r="B157" s="4" t="s">
        <v>236</v>
      </c>
      <c r="C157" s="4" t="s">
        <v>36</v>
      </c>
      <c r="D157" s="4" t="s">
        <v>37</v>
      </c>
      <c r="E157" s="5" t="n">
        <v>30237.05</v>
      </c>
      <c r="F157" s="4" t="s">
        <v>38</v>
      </c>
    </row>
    <row r="158" customFormat="false" ht="15" hidden="false" customHeight="false" outlineLevel="0" collapsed="false">
      <c r="A158" s="4" t="s">
        <v>242</v>
      </c>
      <c r="B158" s="4" t="s">
        <v>243</v>
      </c>
      <c r="C158" s="4" t="s">
        <v>45</v>
      </c>
      <c r="D158" s="4" t="s">
        <v>38</v>
      </c>
      <c r="E158" s="5" t="n">
        <v>3394.61</v>
      </c>
      <c r="F158" s="4" t="s">
        <v>38</v>
      </c>
    </row>
    <row r="159" customFormat="false" ht="15" hidden="false" customHeight="false" outlineLevel="0" collapsed="false">
      <c r="A159" s="4" t="s">
        <v>244</v>
      </c>
      <c r="B159" s="4" t="s">
        <v>175</v>
      </c>
      <c r="C159" s="4" t="s">
        <v>41</v>
      </c>
      <c r="D159" s="4" t="s">
        <v>16</v>
      </c>
      <c r="E159" s="5" t="n">
        <v>51129.73</v>
      </c>
      <c r="F159" s="4" t="s">
        <v>17</v>
      </c>
    </row>
    <row r="160" customFormat="false" ht="15" hidden="false" customHeight="false" outlineLevel="0" collapsed="false">
      <c r="A160" s="4" t="s">
        <v>245</v>
      </c>
      <c r="B160" s="4" t="s">
        <v>184</v>
      </c>
      <c r="C160" s="4" t="s">
        <v>24</v>
      </c>
      <c r="D160" s="4" t="s">
        <v>25</v>
      </c>
      <c r="E160" s="5" t="n">
        <v>21619.21</v>
      </c>
      <c r="F160" s="4" t="s">
        <v>17</v>
      </c>
    </row>
    <row r="161" customFormat="false" ht="15" hidden="false" customHeight="false" outlineLevel="0" collapsed="false">
      <c r="A161" s="4" t="s">
        <v>246</v>
      </c>
      <c r="B161" s="4" t="s">
        <v>155</v>
      </c>
      <c r="C161" s="4" t="s">
        <v>94</v>
      </c>
      <c r="D161" s="4" t="s">
        <v>68</v>
      </c>
      <c r="E161" s="5" t="n">
        <v>41383.74</v>
      </c>
      <c r="F161" s="4" t="s">
        <v>17</v>
      </c>
    </row>
    <row r="162" customFormat="false" ht="15" hidden="false" customHeight="false" outlineLevel="0" collapsed="false">
      <c r="A162" s="4" t="s">
        <v>247</v>
      </c>
      <c r="B162" s="4" t="s">
        <v>188</v>
      </c>
      <c r="C162" s="4" t="s">
        <v>62</v>
      </c>
      <c r="D162" s="4" t="s">
        <v>38</v>
      </c>
      <c r="E162" s="5" t="n">
        <v>50636.38</v>
      </c>
      <c r="F162" s="4" t="s">
        <v>38</v>
      </c>
    </row>
    <row r="163" customFormat="false" ht="15" hidden="false" customHeight="false" outlineLevel="0" collapsed="false">
      <c r="A163" s="4" t="s">
        <v>248</v>
      </c>
      <c r="B163" s="4" t="s">
        <v>188</v>
      </c>
      <c r="C163" s="4" t="s">
        <v>54</v>
      </c>
      <c r="D163" s="4" t="s">
        <v>21</v>
      </c>
      <c r="E163" s="5" t="n">
        <v>25170.33</v>
      </c>
      <c r="F163" s="4" t="s">
        <v>17</v>
      </c>
    </row>
    <row r="164" customFormat="false" ht="15" hidden="false" customHeight="false" outlineLevel="0" collapsed="false">
      <c r="A164" s="4" t="s">
        <v>249</v>
      </c>
      <c r="B164" s="4" t="s">
        <v>197</v>
      </c>
      <c r="C164" s="4" t="s">
        <v>54</v>
      </c>
      <c r="D164" s="4" t="s">
        <v>21</v>
      </c>
      <c r="E164" s="5" t="n">
        <v>28988.16</v>
      </c>
      <c r="F164" s="4" t="s">
        <v>17</v>
      </c>
    </row>
    <row r="165" customFormat="false" ht="15" hidden="false" customHeight="false" outlineLevel="0" collapsed="false">
      <c r="A165" s="4" t="s">
        <v>250</v>
      </c>
      <c r="B165" s="4" t="s">
        <v>172</v>
      </c>
      <c r="C165" s="4" t="s">
        <v>54</v>
      </c>
      <c r="D165" s="4" t="s">
        <v>21</v>
      </c>
      <c r="E165" s="5" t="n">
        <v>36790.42</v>
      </c>
      <c r="F165" s="4" t="s">
        <v>17</v>
      </c>
    </row>
    <row r="166" customFormat="false" ht="15" hidden="false" customHeight="false" outlineLevel="0" collapsed="false">
      <c r="A166" s="4" t="s">
        <v>251</v>
      </c>
      <c r="B166" s="4" t="s">
        <v>155</v>
      </c>
      <c r="C166" s="4" t="s">
        <v>15</v>
      </c>
      <c r="D166" s="4" t="s">
        <v>16</v>
      </c>
      <c r="E166" s="5" t="n">
        <v>57218.32</v>
      </c>
      <c r="F166" s="4" t="s">
        <v>17</v>
      </c>
    </row>
    <row r="167" customFormat="false" ht="15" hidden="false" customHeight="false" outlineLevel="0" collapsed="false">
      <c r="A167" s="4" t="s">
        <v>252</v>
      </c>
      <c r="B167" s="4" t="s">
        <v>157</v>
      </c>
      <c r="C167" s="4" t="s">
        <v>20</v>
      </c>
      <c r="D167" s="4" t="s">
        <v>21</v>
      </c>
      <c r="E167" s="5" t="n">
        <v>28330.82</v>
      </c>
      <c r="F167" s="4" t="s">
        <v>17</v>
      </c>
    </row>
    <row r="168" customFormat="false" ht="15" hidden="false" customHeight="false" outlineLevel="0" collapsed="false">
      <c r="A168" s="4" t="s">
        <v>253</v>
      </c>
      <c r="B168" s="4" t="s">
        <v>254</v>
      </c>
      <c r="C168" s="4" t="s">
        <v>101</v>
      </c>
      <c r="D168" s="4" t="s">
        <v>33</v>
      </c>
      <c r="E168" s="5" t="n">
        <v>9187.64</v>
      </c>
      <c r="F168" s="4" t="s">
        <v>17</v>
      </c>
    </row>
    <row r="169" customFormat="false" ht="15" hidden="false" customHeight="false" outlineLevel="0" collapsed="false">
      <c r="A169" s="4" t="s">
        <v>255</v>
      </c>
      <c r="B169" s="4" t="s">
        <v>236</v>
      </c>
      <c r="C169" s="4" t="s">
        <v>36</v>
      </c>
      <c r="D169" s="4" t="s">
        <v>37</v>
      </c>
      <c r="E169" s="5" t="n">
        <v>11704.18</v>
      </c>
      <c r="F169" s="4" t="s">
        <v>38</v>
      </c>
    </row>
    <row r="170" customFormat="false" ht="15" hidden="false" customHeight="false" outlineLevel="0" collapsed="false">
      <c r="A170" s="4" t="s">
        <v>256</v>
      </c>
      <c r="B170" s="4" t="s">
        <v>178</v>
      </c>
      <c r="C170" s="4" t="s">
        <v>94</v>
      </c>
      <c r="D170" s="4" t="s">
        <v>68</v>
      </c>
      <c r="E170" s="5" t="n">
        <v>15953.8</v>
      </c>
      <c r="F170" s="4" t="s">
        <v>17</v>
      </c>
    </row>
    <row r="171" customFormat="false" ht="15" hidden="false" customHeight="false" outlineLevel="0" collapsed="false">
      <c r="A171" s="4" t="s">
        <v>257</v>
      </c>
      <c r="B171" s="4" t="s">
        <v>155</v>
      </c>
      <c r="C171" s="4" t="s">
        <v>32</v>
      </c>
      <c r="D171" s="4" t="s">
        <v>33</v>
      </c>
      <c r="E171" s="5" t="n">
        <v>35745.44</v>
      </c>
      <c r="F171" s="4" t="s">
        <v>17</v>
      </c>
    </row>
    <row r="172" customFormat="false" ht="15" hidden="false" customHeight="false" outlineLevel="0" collapsed="false">
      <c r="A172" s="4" t="s">
        <v>258</v>
      </c>
      <c r="B172" s="4" t="s">
        <v>164</v>
      </c>
      <c r="C172" s="4" t="s">
        <v>94</v>
      </c>
      <c r="D172" s="4" t="s">
        <v>68</v>
      </c>
      <c r="E172" s="5" t="n">
        <v>40294.2</v>
      </c>
      <c r="F172" s="4" t="s">
        <v>17</v>
      </c>
    </row>
    <row r="173" customFormat="false" ht="15" hidden="false" customHeight="false" outlineLevel="0" collapsed="false">
      <c r="A173" s="4" t="s">
        <v>259</v>
      </c>
      <c r="B173" s="4" t="s">
        <v>205</v>
      </c>
      <c r="C173" s="4" t="s">
        <v>32</v>
      </c>
      <c r="D173" s="4" t="s">
        <v>33</v>
      </c>
      <c r="E173" s="5" t="n">
        <v>15756.69</v>
      </c>
      <c r="F173" s="4" t="s">
        <v>17</v>
      </c>
    </row>
    <row r="174" customFormat="false" ht="15" hidden="false" customHeight="false" outlineLevel="0" collapsed="false">
      <c r="A174" s="4" t="s">
        <v>260</v>
      </c>
      <c r="B174" s="4" t="s">
        <v>170</v>
      </c>
      <c r="C174" s="4" t="s">
        <v>101</v>
      </c>
      <c r="D174" s="4" t="s">
        <v>33</v>
      </c>
      <c r="E174" s="5" t="n">
        <v>13883.41</v>
      </c>
      <c r="F174" s="4" t="s">
        <v>17</v>
      </c>
    </row>
    <row r="175" customFormat="false" ht="15" hidden="false" customHeight="false" outlineLevel="0" collapsed="false">
      <c r="A175" s="4" t="s">
        <v>261</v>
      </c>
      <c r="B175" s="4" t="s">
        <v>188</v>
      </c>
      <c r="C175" s="4" t="s">
        <v>36</v>
      </c>
      <c r="D175" s="4" t="s">
        <v>37</v>
      </c>
      <c r="E175" s="5" t="n">
        <v>22879.29</v>
      </c>
      <c r="F175" s="4" t="s">
        <v>38</v>
      </c>
    </row>
    <row r="176" customFormat="false" ht="15" hidden="false" customHeight="false" outlineLevel="0" collapsed="false">
      <c r="A176" s="4" t="s">
        <v>262</v>
      </c>
      <c r="B176" s="4" t="s">
        <v>208</v>
      </c>
      <c r="C176" s="4" t="s">
        <v>41</v>
      </c>
      <c r="D176" s="4" t="s">
        <v>16</v>
      </c>
      <c r="E176" s="5" t="n">
        <v>63303.7</v>
      </c>
      <c r="F176" s="4" t="s">
        <v>17</v>
      </c>
    </row>
    <row r="177" customFormat="false" ht="15" hidden="false" customHeight="false" outlineLevel="0" collapsed="false">
      <c r="A177" s="4" t="s">
        <v>263</v>
      </c>
      <c r="B177" s="4" t="s">
        <v>218</v>
      </c>
      <c r="C177" s="4" t="s">
        <v>41</v>
      </c>
      <c r="D177" s="4" t="s">
        <v>16</v>
      </c>
      <c r="E177" s="5" t="n">
        <v>20774.21</v>
      </c>
      <c r="F177" s="4" t="s">
        <v>17</v>
      </c>
    </row>
    <row r="178" customFormat="false" ht="15" hidden="false" customHeight="false" outlineLevel="0" collapsed="false">
      <c r="A178" s="4" t="s">
        <v>264</v>
      </c>
      <c r="B178" s="4" t="s">
        <v>184</v>
      </c>
      <c r="C178" s="4" t="s">
        <v>24</v>
      </c>
      <c r="D178" s="4" t="s">
        <v>25</v>
      </c>
      <c r="E178" s="5" t="n">
        <v>9324.35</v>
      </c>
      <c r="F178" s="4" t="s">
        <v>17</v>
      </c>
    </row>
    <row r="179" customFormat="false" ht="15" hidden="false" customHeight="false" outlineLevel="0" collapsed="false">
      <c r="A179" s="4" t="s">
        <v>265</v>
      </c>
      <c r="B179" s="4" t="s">
        <v>193</v>
      </c>
      <c r="C179" s="4" t="s">
        <v>54</v>
      </c>
      <c r="D179" s="4" t="s">
        <v>21</v>
      </c>
      <c r="E179" s="5" t="n">
        <v>64129.76</v>
      </c>
      <c r="F179" s="4" t="s">
        <v>17</v>
      </c>
    </row>
    <row r="180" customFormat="false" ht="15" hidden="false" customHeight="false" outlineLevel="0" collapsed="false">
      <c r="A180" s="4" t="s">
        <v>266</v>
      </c>
      <c r="B180" s="4" t="s">
        <v>210</v>
      </c>
      <c r="C180" s="4" t="s">
        <v>20</v>
      </c>
      <c r="D180" s="4" t="s">
        <v>21</v>
      </c>
      <c r="E180" s="5" t="n">
        <v>16019.83</v>
      </c>
      <c r="F180" s="4" t="s">
        <v>17</v>
      </c>
    </row>
    <row r="181" customFormat="false" ht="15" hidden="false" customHeight="false" outlineLevel="0" collapsed="false">
      <c r="A181" s="4" t="s">
        <v>267</v>
      </c>
      <c r="B181" s="4" t="s">
        <v>208</v>
      </c>
      <c r="C181" s="4" t="s">
        <v>20</v>
      </c>
      <c r="D181" s="4" t="s">
        <v>21</v>
      </c>
      <c r="E181" s="5" t="n">
        <v>32311.02</v>
      </c>
      <c r="F181" s="4" t="s">
        <v>17</v>
      </c>
    </row>
    <row r="182" customFormat="false" ht="15" hidden="false" customHeight="false" outlineLevel="0" collapsed="false">
      <c r="A182" s="4" t="s">
        <v>268</v>
      </c>
      <c r="B182" s="4" t="s">
        <v>155</v>
      </c>
      <c r="C182" s="4" t="s">
        <v>45</v>
      </c>
      <c r="D182" s="4" t="s">
        <v>38</v>
      </c>
      <c r="E182" s="5" t="n">
        <v>49583.3</v>
      </c>
      <c r="F182" s="4" t="s">
        <v>38</v>
      </c>
    </row>
    <row r="183" customFormat="false" ht="15" hidden="false" customHeight="false" outlineLevel="0" collapsed="false">
      <c r="A183" s="4" t="s">
        <v>269</v>
      </c>
      <c r="B183" s="4" t="s">
        <v>243</v>
      </c>
      <c r="C183" s="4" t="s">
        <v>94</v>
      </c>
      <c r="D183" s="4" t="s">
        <v>68</v>
      </c>
      <c r="E183" s="5" t="n">
        <v>1924.12</v>
      </c>
      <c r="F183" s="4" t="s">
        <v>17</v>
      </c>
    </row>
    <row r="184" customFormat="false" ht="15" hidden="false" customHeight="false" outlineLevel="0" collapsed="false">
      <c r="A184" s="4" t="s">
        <v>270</v>
      </c>
      <c r="B184" s="4" t="s">
        <v>178</v>
      </c>
      <c r="C184" s="4" t="s">
        <v>32</v>
      </c>
      <c r="D184" s="4" t="s">
        <v>33</v>
      </c>
      <c r="E184" s="5" t="n">
        <v>28278.84</v>
      </c>
      <c r="F184" s="4" t="s">
        <v>17</v>
      </c>
    </row>
    <row r="185" customFormat="false" ht="15" hidden="false" customHeight="false" outlineLevel="0" collapsed="false">
      <c r="A185" s="4" t="s">
        <v>271</v>
      </c>
      <c r="B185" s="4" t="s">
        <v>243</v>
      </c>
      <c r="C185" s="4" t="s">
        <v>62</v>
      </c>
      <c r="D185" s="4" t="s">
        <v>38</v>
      </c>
      <c r="E185" s="5" t="n">
        <v>28247.41</v>
      </c>
      <c r="F185" s="4" t="s">
        <v>38</v>
      </c>
    </row>
    <row r="186" customFormat="false" ht="15" hidden="false" customHeight="false" outlineLevel="0" collapsed="false">
      <c r="A186" s="4" t="s">
        <v>272</v>
      </c>
      <c r="B186" s="4" t="s">
        <v>210</v>
      </c>
      <c r="C186" s="4" t="s">
        <v>24</v>
      </c>
      <c r="D186" s="4" t="s">
        <v>25</v>
      </c>
      <c r="E186" s="5" t="n">
        <v>65804.11</v>
      </c>
      <c r="F186" s="4" t="s">
        <v>17</v>
      </c>
    </row>
    <row r="187" customFormat="false" ht="15" hidden="false" customHeight="false" outlineLevel="0" collapsed="false">
      <c r="A187" s="4" t="s">
        <v>273</v>
      </c>
      <c r="B187" s="4" t="s">
        <v>170</v>
      </c>
      <c r="C187" s="4" t="s">
        <v>54</v>
      </c>
      <c r="D187" s="4" t="s">
        <v>21</v>
      </c>
      <c r="E187" s="5" t="n">
        <v>10760.11</v>
      </c>
      <c r="F187" s="4" t="s">
        <v>17</v>
      </c>
    </row>
    <row r="188" customFormat="false" ht="15" hidden="false" customHeight="false" outlineLevel="0" collapsed="false">
      <c r="A188" s="4" t="s">
        <v>274</v>
      </c>
      <c r="B188" s="4" t="s">
        <v>166</v>
      </c>
      <c r="C188" s="4" t="s">
        <v>20</v>
      </c>
      <c r="D188" s="4" t="s">
        <v>21</v>
      </c>
      <c r="E188" s="5" t="n">
        <v>58191.24</v>
      </c>
      <c r="F188" s="4" t="s">
        <v>17</v>
      </c>
    </row>
    <row r="189" customFormat="false" ht="15" hidden="false" customHeight="false" outlineLevel="0" collapsed="false">
      <c r="A189" s="4" t="s">
        <v>275</v>
      </c>
      <c r="B189" s="4" t="s">
        <v>159</v>
      </c>
      <c r="C189" s="4" t="s">
        <v>101</v>
      </c>
      <c r="D189" s="4" t="s">
        <v>33</v>
      </c>
      <c r="E189" s="5" t="n">
        <v>53865</v>
      </c>
      <c r="F189" s="4" t="s">
        <v>17</v>
      </c>
    </row>
    <row r="190" customFormat="false" ht="15" hidden="false" customHeight="false" outlineLevel="0" collapsed="false">
      <c r="A190" s="4" t="s">
        <v>276</v>
      </c>
      <c r="B190" s="4" t="s">
        <v>254</v>
      </c>
      <c r="C190" s="4" t="s">
        <v>20</v>
      </c>
      <c r="D190" s="4" t="s">
        <v>21</v>
      </c>
      <c r="E190" s="5" t="n">
        <v>9949.43</v>
      </c>
      <c r="F190" s="4" t="s">
        <v>17</v>
      </c>
    </row>
    <row r="191" customFormat="false" ht="15" hidden="false" customHeight="false" outlineLevel="0" collapsed="false">
      <c r="A191" s="4" t="s">
        <v>277</v>
      </c>
      <c r="B191" s="4" t="s">
        <v>172</v>
      </c>
      <c r="C191" s="4" t="s">
        <v>32</v>
      </c>
      <c r="D191" s="4" t="s">
        <v>33</v>
      </c>
      <c r="E191" s="5" t="n">
        <v>58604.71</v>
      </c>
      <c r="F191" s="4" t="s">
        <v>17</v>
      </c>
    </row>
    <row r="192" customFormat="false" ht="15" hidden="false" customHeight="false" outlineLevel="0" collapsed="false">
      <c r="A192" s="4" t="s">
        <v>278</v>
      </c>
      <c r="B192" s="4" t="s">
        <v>279</v>
      </c>
      <c r="C192" s="4" t="s">
        <v>20</v>
      </c>
      <c r="D192" s="4" t="s">
        <v>21</v>
      </c>
      <c r="E192" s="5" t="n">
        <v>12474.7</v>
      </c>
      <c r="F192" s="4" t="s">
        <v>17</v>
      </c>
    </row>
    <row r="193" customFormat="false" ht="15" hidden="false" customHeight="false" outlineLevel="0" collapsed="false">
      <c r="A193" s="4" t="s">
        <v>280</v>
      </c>
      <c r="B193" s="4" t="s">
        <v>281</v>
      </c>
      <c r="C193" s="4" t="s">
        <v>94</v>
      </c>
      <c r="D193" s="4" t="s">
        <v>68</v>
      </c>
      <c r="E193" s="5" t="n">
        <v>52210.08</v>
      </c>
      <c r="F193" s="4" t="s">
        <v>17</v>
      </c>
    </row>
    <row r="194" customFormat="false" ht="15" hidden="false" customHeight="false" outlineLevel="0" collapsed="false">
      <c r="A194" s="4" t="s">
        <v>282</v>
      </c>
      <c r="B194" s="4" t="s">
        <v>283</v>
      </c>
      <c r="C194" s="4" t="s">
        <v>67</v>
      </c>
      <c r="D194" s="4" t="s">
        <v>68</v>
      </c>
      <c r="E194" s="5" t="n">
        <v>18884.96</v>
      </c>
      <c r="F194" s="4" t="s">
        <v>17</v>
      </c>
    </row>
    <row r="195" customFormat="false" ht="15" hidden="false" customHeight="false" outlineLevel="0" collapsed="false">
      <c r="A195" s="4" t="s">
        <v>284</v>
      </c>
      <c r="B195" s="4" t="s">
        <v>285</v>
      </c>
      <c r="C195" s="4" t="s">
        <v>32</v>
      </c>
      <c r="D195" s="4" t="s">
        <v>33</v>
      </c>
      <c r="E195" s="5" t="n">
        <v>41313.33</v>
      </c>
      <c r="F195" s="4" t="s">
        <v>17</v>
      </c>
    </row>
    <row r="196" customFormat="false" ht="15" hidden="false" customHeight="false" outlineLevel="0" collapsed="false">
      <c r="A196" s="4" t="s">
        <v>286</v>
      </c>
      <c r="B196" s="4" t="s">
        <v>287</v>
      </c>
      <c r="C196" s="4" t="s">
        <v>41</v>
      </c>
      <c r="D196" s="4" t="s">
        <v>16</v>
      </c>
      <c r="E196" s="5" t="n">
        <v>61769.64</v>
      </c>
      <c r="F196" s="4" t="s">
        <v>17</v>
      </c>
    </row>
    <row r="197" customFormat="false" ht="15" hidden="false" customHeight="false" outlineLevel="0" collapsed="false">
      <c r="A197" s="4" t="s">
        <v>288</v>
      </c>
      <c r="B197" s="4" t="s">
        <v>289</v>
      </c>
      <c r="C197" s="4" t="s">
        <v>62</v>
      </c>
      <c r="D197" s="4" t="s">
        <v>38</v>
      </c>
      <c r="E197" s="5" t="n">
        <v>44315.82</v>
      </c>
      <c r="F197" s="4" t="s">
        <v>38</v>
      </c>
    </row>
    <row r="198" customFormat="false" ht="15" hidden="false" customHeight="false" outlineLevel="0" collapsed="false">
      <c r="A198" s="4" t="s">
        <v>290</v>
      </c>
      <c r="B198" s="4" t="s">
        <v>291</v>
      </c>
      <c r="C198" s="4" t="s">
        <v>67</v>
      </c>
      <c r="D198" s="4" t="s">
        <v>68</v>
      </c>
      <c r="E198" s="5" t="n">
        <v>39399.69</v>
      </c>
      <c r="F198" s="4" t="s">
        <v>17</v>
      </c>
    </row>
    <row r="199" customFormat="false" ht="15" hidden="false" customHeight="false" outlineLevel="0" collapsed="false">
      <c r="A199" s="4" t="s">
        <v>292</v>
      </c>
      <c r="B199" s="4" t="s">
        <v>293</v>
      </c>
      <c r="C199" s="4" t="s">
        <v>41</v>
      </c>
      <c r="D199" s="4" t="s">
        <v>16</v>
      </c>
      <c r="E199" s="5" t="n">
        <v>61358.91</v>
      </c>
      <c r="F199" s="4" t="s">
        <v>17</v>
      </c>
    </row>
    <row r="200" customFormat="false" ht="15" hidden="false" customHeight="false" outlineLevel="0" collapsed="false">
      <c r="A200" s="4" t="s">
        <v>294</v>
      </c>
      <c r="B200" s="4" t="s">
        <v>295</v>
      </c>
      <c r="C200" s="4" t="s">
        <v>24</v>
      </c>
      <c r="D200" s="4" t="s">
        <v>25</v>
      </c>
      <c r="E200" s="5" t="n">
        <v>65780.39</v>
      </c>
      <c r="F200" s="4" t="s">
        <v>17</v>
      </c>
    </row>
    <row r="201" customFormat="false" ht="15" hidden="false" customHeight="false" outlineLevel="0" collapsed="false">
      <c r="A201" s="4" t="s">
        <v>296</v>
      </c>
      <c r="B201" s="4" t="s">
        <v>297</v>
      </c>
      <c r="C201" s="4" t="s">
        <v>94</v>
      </c>
      <c r="D201" s="4" t="s">
        <v>68</v>
      </c>
      <c r="E201" s="5" t="n">
        <v>37614.86</v>
      </c>
      <c r="F201" s="4" t="s">
        <v>17</v>
      </c>
    </row>
    <row r="202" customFormat="false" ht="15" hidden="false" customHeight="false" outlineLevel="0" collapsed="false">
      <c r="A202" s="4" t="s">
        <v>298</v>
      </c>
      <c r="B202" s="4" t="s">
        <v>299</v>
      </c>
      <c r="C202" s="4" t="s">
        <v>15</v>
      </c>
      <c r="D202" s="4" t="s">
        <v>16</v>
      </c>
      <c r="E202" s="5" t="n">
        <v>13583.3</v>
      </c>
      <c r="F202" s="4" t="s">
        <v>17</v>
      </c>
    </row>
    <row r="203" customFormat="false" ht="15" hidden="false" customHeight="false" outlineLevel="0" collapsed="false">
      <c r="A203" s="4" t="s">
        <v>300</v>
      </c>
      <c r="B203" s="4" t="s">
        <v>285</v>
      </c>
      <c r="C203" s="4" t="s">
        <v>24</v>
      </c>
      <c r="D203" s="4" t="s">
        <v>25</v>
      </c>
      <c r="E203" s="5" t="n">
        <v>62290.7</v>
      </c>
      <c r="F203" s="4" t="s">
        <v>17</v>
      </c>
    </row>
    <row r="204" customFormat="false" ht="15" hidden="false" customHeight="false" outlineLevel="0" collapsed="false">
      <c r="A204" s="4" t="s">
        <v>301</v>
      </c>
      <c r="B204" s="4" t="s">
        <v>287</v>
      </c>
      <c r="C204" s="4" t="s">
        <v>62</v>
      </c>
      <c r="D204" s="4" t="s">
        <v>38</v>
      </c>
      <c r="E204" s="5" t="n">
        <v>36149.9</v>
      </c>
      <c r="F204" s="4" t="s">
        <v>38</v>
      </c>
    </row>
    <row r="205" customFormat="false" ht="15" hidden="false" customHeight="false" outlineLevel="0" collapsed="false">
      <c r="A205" s="4" t="s">
        <v>302</v>
      </c>
      <c r="B205" s="4" t="s">
        <v>279</v>
      </c>
      <c r="C205" s="4" t="s">
        <v>94</v>
      </c>
      <c r="D205" s="4" t="s">
        <v>68</v>
      </c>
      <c r="E205" s="5" t="n">
        <v>39955.49</v>
      </c>
      <c r="F205" s="4" t="s">
        <v>17</v>
      </c>
    </row>
    <row r="206" customFormat="false" ht="15" hidden="false" customHeight="false" outlineLevel="0" collapsed="false">
      <c r="A206" s="4" t="s">
        <v>303</v>
      </c>
      <c r="B206" s="4" t="s">
        <v>304</v>
      </c>
      <c r="C206" s="4" t="s">
        <v>15</v>
      </c>
      <c r="D206" s="4" t="s">
        <v>16</v>
      </c>
      <c r="E206" s="5" t="n">
        <v>8978.93</v>
      </c>
      <c r="F206" s="4" t="s">
        <v>17</v>
      </c>
    </row>
    <row r="207" customFormat="false" ht="15" hidden="false" customHeight="false" outlineLevel="0" collapsed="false">
      <c r="A207" s="4" t="s">
        <v>305</v>
      </c>
      <c r="B207" s="4" t="s">
        <v>306</v>
      </c>
      <c r="C207" s="4" t="s">
        <v>24</v>
      </c>
      <c r="D207" s="4" t="s">
        <v>25</v>
      </c>
      <c r="E207" s="5" t="n">
        <v>22067.58</v>
      </c>
      <c r="F207" s="4" t="s">
        <v>17</v>
      </c>
    </row>
    <row r="208" customFormat="false" ht="15" hidden="false" customHeight="false" outlineLevel="0" collapsed="false">
      <c r="A208" s="4" t="s">
        <v>307</v>
      </c>
      <c r="B208" s="4" t="s">
        <v>281</v>
      </c>
      <c r="C208" s="4" t="s">
        <v>67</v>
      </c>
      <c r="D208" s="4" t="s">
        <v>68</v>
      </c>
      <c r="E208" s="5" t="n">
        <v>24873.7</v>
      </c>
      <c r="F208" s="4" t="s">
        <v>17</v>
      </c>
    </row>
    <row r="209" customFormat="false" ht="15" hidden="false" customHeight="false" outlineLevel="0" collapsed="false">
      <c r="A209" s="4" t="s">
        <v>308</v>
      </c>
      <c r="B209" s="4" t="s">
        <v>309</v>
      </c>
      <c r="C209" s="4" t="s">
        <v>94</v>
      </c>
      <c r="D209" s="4" t="s">
        <v>68</v>
      </c>
      <c r="E209" s="5" t="n">
        <v>13557.49</v>
      </c>
      <c r="F209" s="4" t="s">
        <v>17</v>
      </c>
    </row>
    <row r="210" customFormat="false" ht="15" hidden="false" customHeight="false" outlineLevel="0" collapsed="false">
      <c r="A210" s="4" t="s">
        <v>310</v>
      </c>
      <c r="B210" s="4" t="s">
        <v>311</v>
      </c>
      <c r="C210" s="4" t="s">
        <v>67</v>
      </c>
      <c r="D210" s="4" t="s">
        <v>68</v>
      </c>
      <c r="E210" s="5" t="n">
        <v>51332.54</v>
      </c>
      <c r="F210" s="4" t="s">
        <v>17</v>
      </c>
    </row>
    <row r="211" customFormat="false" ht="15" hidden="false" customHeight="false" outlineLevel="0" collapsed="false">
      <c r="A211" s="4" t="s">
        <v>312</v>
      </c>
      <c r="B211" s="4" t="s">
        <v>313</v>
      </c>
      <c r="C211" s="4" t="s">
        <v>20</v>
      </c>
      <c r="D211" s="4" t="s">
        <v>21</v>
      </c>
      <c r="E211" s="5" t="n">
        <v>46866.92</v>
      </c>
      <c r="F211" s="4" t="s">
        <v>17</v>
      </c>
    </row>
    <row r="212" customFormat="false" ht="15" hidden="false" customHeight="false" outlineLevel="0" collapsed="false">
      <c r="A212" s="4" t="s">
        <v>314</v>
      </c>
      <c r="B212" s="4" t="s">
        <v>279</v>
      </c>
      <c r="C212" s="4" t="s">
        <v>54</v>
      </c>
      <c r="D212" s="4" t="s">
        <v>21</v>
      </c>
      <c r="E212" s="5" t="n">
        <v>2761.98</v>
      </c>
      <c r="F212" s="4" t="s">
        <v>17</v>
      </c>
    </row>
    <row r="213" customFormat="false" ht="15" hidden="false" customHeight="false" outlineLevel="0" collapsed="false">
      <c r="A213" s="4" t="s">
        <v>315</v>
      </c>
      <c r="B213" s="4" t="s">
        <v>297</v>
      </c>
      <c r="C213" s="4" t="s">
        <v>54</v>
      </c>
      <c r="D213" s="4" t="s">
        <v>21</v>
      </c>
      <c r="E213" s="5" t="n">
        <v>49768.22</v>
      </c>
      <c r="F213" s="4" t="s">
        <v>17</v>
      </c>
    </row>
    <row r="214" customFormat="false" ht="15" hidden="false" customHeight="false" outlineLevel="0" collapsed="false">
      <c r="A214" s="4" t="s">
        <v>316</v>
      </c>
      <c r="B214" s="4" t="s">
        <v>304</v>
      </c>
      <c r="C214" s="4" t="s">
        <v>67</v>
      </c>
      <c r="D214" s="4" t="s">
        <v>68</v>
      </c>
      <c r="E214" s="5" t="n">
        <v>18285.95</v>
      </c>
      <c r="F214" s="4" t="s">
        <v>17</v>
      </c>
    </row>
    <row r="215" customFormat="false" ht="15" hidden="false" customHeight="false" outlineLevel="0" collapsed="false">
      <c r="A215" s="4" t="s">
        <v>317</v>
      </c>
      <c r="B215" s="4" t="s">
        <v>318</v>
      </c>
      <c r="C215" s="4" t="s">
        <v>15</v>
      </c>
      <c r="D215" s="4" t="s">
        <v>16</v>
      </c>
      <c r="E215" s="5" t="n">
        <v>7030.37</v>
      </c>
      <c r="F215" s="4" t="s">
        <v>17</v>
      </c>
    </row>
    <row r="216" customFormat="false" ht="15" hidden="false" customHeight="false" outlineLevel="0" collapsed="false">
      <c r="A216" s="4" t="s">
        <v>319</v>
      </c>
      <c r="B216" s="4" t="s">
        <v>320</v>
      </c>
      <c r="C216" s="4" t="s">
        <v>54</v>
      </c>
      <c r="D216" s="4" t="s">
        <v>21</v>
      </c>
      <c r="E216" s="5" t="n">
        <v>23980.36</v>
      </c>
      <c r="F216" s="4" t="s">
        <v>17</v>
      </c>
    </row>
    <row r="217" customFormat="false" ht="15" hidden="false" customHeight="false" outlineLevel="0" collapsed="false">
      <c r="A217" s="4" t="s">
        <v>321</v>
      </c>
      <c r="B217" s="4" t="s">
        <v>289</v>
      </c>
      <c r="C217" s="4" t="s">
        <v>62</v>
      </c>
      <c r="D217" s="4" t="s">
        <v>38</v>
      </c>
      <c r="E217" s="5" t="n">
        <v>50584.52</v>
      </c>
      <c r="F217" s="4" t="s">
        <v>38</v>
      </c>
    </row>
    <row r="218" customFormat="false" ht="15" hidden="false" customHeight="false" outlineLevel="0" collapsed="false">
      <c r="A218" s="4" t="s">
        <v>322</v>
      </c>
      <c r="B218" s="4" t="s">
        <v>323</v>
      </c>
      <c r="C218" s="4" t="s">
        <v>20</v>
      </c>
      <c r="D218" s="4" t="s">
        <v>21</v>
      </c>
      <c r="E218" s="5" t="n">
        <v>55131.62</v>
      </c>
      <c r="F218" s="4" t="s">
        <v>17</v>
      </c>
    </row>
    <row r="219" customFormat="false" ht="15" hidden="false" customHeight="false" outlineLevel="0" collapsed="false">
      <c r="A219" s="4" t="s">
        <v>324</v>
      </c>
      <c r="B219" s="4" t="s">
        <v>299</v>
      </c>
      <c r="C219" s="4" t="s">
        <v>62</v>
      </c>
      <c r="D219" s="4" t="s">
        <v>38</v>
      </c>
      <c r="E219" s="5" t="n">
        <v>39585.62</v>
      </c>
      <c r="F219" s="4" t="s">
        <v>38</v>
      </c>
    </row>
    <row r="220" customFormat="false" ht="15" hidden="false" customHeight="false" outlineLevel="0" collapsed="false">
      <c r="A220" s="4" t="s">
        <v>325</v>
      </c>
      <c r="B220" s="4" t="s">
        <v>297</v>
      </c>
      <c r="C220" s="4" t="s">
        <v>101</v>
      </c>
      <c r="D220" s="4" t="s">
        <v>33</v>
      </c>
      <c r="E220" s="5" t="n">
        <v>6371.22</v>
      </c>
      <c r="F220" s="4" t="s">
        <v>17</v>
      </c>
    </row>
    <row r="221" customFormat="false" ht="15" hidden="false" customHeight="false" outlineLevel="0" collapsed="false">
      <c r="A221" s="4" t="s">
        <v>326</v>
      </c>
      <c r="B221" s="4" t="s">
        <v>285</v>
      </c>
      <c r="C221" s="4" t="s">
        <v>45</v>
      </c>
      <c r="D221" s="4" t="s">
        <v>38</v>
      </c>
      <c r="E221" s="5" t="n">
        <v>39658.25</v>
      </c>
      <c r="F221" s="4" t="s">
        <v>38</v>
      </c>
    </row>
    <row r="222" customFormat="false" ht="15" hidden="false" customHeight="false" outlineLevel="0" collapsed="false">
      <c r="A222" s="4" t="s">
        <v>327</v>
      </c>
      <c r="B222" s="4" t="s">
        <v>306</v>
      </c>
      <c r="C222" s="4" t="s">
        <v>15</v>
      </c>
      <c r="D222" s="4" t="s">
        <v>16</v>
      </c>
      <c r="E222" s="5" t="n">
        <v>15370.16</v>
      </c>
      <c r="F222" s="4" t="s">
        <v>17</v>
      </c>
    </row>
    <row r="223" customFormat="false" ht="15" hidden="false" customHeight="false" outlineLevel="0" collapsed="false">
      <c r="A223" s="4" t="s">
        <v>328</v>
      </c>
      <c r="B223" s="4" t="s">
        <v>323</v>
      </c>
      <c r="C223" s="4" t="s">
        <v>67</v>
      </c>
      <c r="D223" s="4" t="s">
        <v>68</v>
      </c>
      <c r="E223" s="5" t="n">
        <v>14362.51</v>
      </c>
      <c r="F223" s="4" t="s">
        <v>17</v>
      </c>
    </row>
    <row r="224" customFormat="false" ht="15" hidden="false" customHeight="false" outlineLevel="0" collapsed="false">
      <c r="A224" s="4" t="s">
        <v>329</v>
      </c>
      <c r="B224" s="4" t="s">
        <v>313</v>
      </c>
      <c r="C224" s="4" t="s">
        <v>67</v>
      </c>
      <c r="D224" s="4" t="s">
        <v>68</v>
      </c>
      <c r="E224" s="5" t="n">
        <v>23874.18</v>
      </c>
      <c r="F224" s="4" t="s">
        <v>17</v>
      </c>
    </row>
    <row r="225" customFormat="false" ht="15" hidden="false" customHeight="false" outlineLevel="0" collapsed="false">
      <c r="A225" s="4" t="s">
        <v>330</v>
      </c>
      <c r="B225" s="4" t="s">
        <v>311</v>
      </c>
      <c r="C225" s="4" t="s">
        <v>101</v>
      </c>
      <c r="D225" s="4" t="s">
        <v>33</v>
      </c>
      <c r="E225" s="5" t="n">
        <v>34009.27</v>
      </c>
      <c r="F225" s="4" t="s">
        <v>17</v>
      </c>
    </row>
    <row r="226" customFormat="false" ht="15" hidden="false" customHeight="false" outlineLevel="0" collapsed="false">
      <c r="A226" s="4" t="s">
        <v>331</v>
      </c>
      <c r="B226" s="4" t="s">
        <v>313</v>
      </c>
      <c r="C226" s="4" t="s">
        <v>67</v>
      </c>
      <c r="D226" s="4" t="s">
        <v>68</v>
      </c>
      <c r="E226" s="5" t="n">
        <v>36057.84</v>
      </c>
      <c r="F226" s="4" t="s">
        <v>17</v>
      </c>
    </row>
    <row r="227" customFormat="false" ht="15" hidden="false" customHeight="false" outlineLevel="0" collapsed="false">
      <c r="A227" s="4" t="s">
        <v>332</v>
      </c>
      <c r="B227" s="4" t="s">
        <v>285</v>
      </c>
      <c r="C227" s="4" t="s">
        <v>45</v>
      </c>
      <c r="D227" s="4" t="s">
        <v>38</v>
      </c>
      <c r="E227" s="5" t="n">
        <v>25846.13</v>
      </c>
      <c r="F227" s="4" t="s">
        <v>38</v>
      </c>
    </row>
    <row r="228" customFormat="false" ht="15" hidden="false" customHeight="false" outlineLevel="0" collapsed="false">
      <c r="A228" s="4" t="s">
        <v>333</v>
      </c>
      <c r="B228" s="4" t="s">
        <v>318</v>
      </c>
      <c r="C228" s="4" t="s">
        <v>62</v>
      </c>
      <c r="D228" s="4" t="s">
        <v>38</v>
      </c>
      <c r="E228" s="5" t="n">
        <v>53922.81</v>
      </c>
      <c r="F228" s="4" t="s">
        <v>38</v>
      </c>
    </row>
    <row r="229" customFormat="false" ht="15" hidden="false" customHeight="false" outlineLevel="0" collapsed="false">
      <c r="A229" s="4" t="s">
        <v>334</v>
      </c>
      <c r="B229" s="4" t="s">
        <v>335</v>
      </c>
      <c r="C229" s="4" t="s">
        <v>15</v>
      </c>
      <c r="D229" s="4" t="s">
        <v>16</v>
      </c>
      <c r="E229" s="5" t="n">
        <v>15373.14</v>
      </c>
      <c r="F229" s="4" t="s">
        <v>17</v>
      </c>
    </row>
    <row r="230" customFormat="false" ht="15" hidden="false" customHeight="false" outlineLevel="0" collapsed="false">
      <c r="A230" s="4" t="s">
        <v>336</v>
      </c>
      <c r="B230" s="4" t="s">
        <v>299</v>
      </c>
      <c r="C230" s="4" t="s">
        <v>94</v>
      </c>
      <c r="D230" s="4" t="s">
        <v>68</v>
      </c>
      <c r="E230" s="5" t="n">
        <v>7438.37</v>
      </c>
      <c r="F230" s="4" t="s">
        <v>17</v>
      </c>
    </row>
    <row r="231" customFormat="false" ht="15" hidden="false" customHeight="false" outlineLevel="0" collapsed="false">
      <c r="A231" s="4" t="s">
        <v>337</v>
      </c>
      <c r="B231" s="4" t="s">
        <v>320</v>
      </c>
      <c r="C231" s="4" t="s">
        <v>36</v>
      </c>
      <c r="D231" s="4" t="s">
        <v>37</v>
      </c>
      <c r="E231" s="5" t="n">
        <v>6352.75</v>
      </c>
      <c r="F231" s="4" t="s">
        <v>38</v>
      </c>
    </row>
    <row r="232" customFormat="false" ht="15" hidden="false" customHeight="false" outlineLevel="0" collapsed="false">
      <c r="A232" s="4" t="s">
        <v>338</v>
      </c>
      <c r="B232" s="4" t="s">
        <v>279</v>
      </c>
      <c r="C232" s="4" t="s">
        <v>32</v>
      </c>
      <c r="D232" s="4" t="s">
        <v>33</v>
      </c>
      <c r="E232" s="5" t="n">
        <v>52999.58</v>
      </c>
      <c r="F232" s="4" t="s">
        <v>17</v>
      </c>
    </row>
    <row r="233" customFormat="false" ht="15" hidden="false" customHeight="false" outlineLevel="0" collapsed="false">
      <c r="A233" s="4" t="s">
        <v>339</v>
      </c>
      <c r="B233" s="4" t="s">
        <v>340</v>
      </c>
      <c r="C233" s="4" t="s">
        <v>41</v>
      </c>
      <c r="D233" s="4" t="s">
        <v>16</v>
      </c>
      <c r="E233" s="5" t="n">
        <v>65335.55</v>
      </c>
      <c r="F233" s="4" t="s">
        <v>17</v>
      </c>
    </row>
    <row r="234" customFormat="false" ht="15" hidden="false" customHeight="false" outlineLevel="0" collapsed="false">
      <c r="A234" s="4" t="s">
        <v>341</v>
      </c>
      <c r="B234" s="4" t="s">
        <v>342</v>
      </c>
      <c r="C234" s="4" t="s">
        <v>20</v>
      </c>
      <c r="D234" s="4" t="s">
        <v>21</v>
      </c>
      <c r="E234" s="5" t="n">
        <v>54663.25</v>
      </c>
      <c r="F234" s="4" t="s">
        <v>17</v>
      </c>
    </row>
    <row r="235" customFormat="false" ht="15" hidden="false" customHeight="false" outlineLevel="0" collapsed="false">
      <c r="A235" s="4" t="s">
        <v>343</v>
      </c>
      <c r="B235" s="4" t="s">
        <v>306</v>
      </c>
      <c r="C235" s="4" t="s">
        <v>67</v>
      </c>
      <c r="D235" s="4" t="s">
        <v>68</v>
      </c>
      <c r="E235" s="5" t="n">
        <v>53810.42</v>
      </c>
      <c r="F235" s="4" t="s">
        <v>17</v>
      </c>
    </row>
    <row r="236" customFormat="false" ht="15" hidden="false" customHeight="false" outlineLevel="0" collapsed="false">
      <c r="A236" s="4" t="s">
        <v>344</v>
      </c>
      <c r="B236" s="4" t="s">
        <v>345</v>
      </c>
      <c r="C236" s="4" t="s">
        <v>101</v>
      </c>
      <c r="D236" s="4" t="s">
        <v>33</v>
      </c>
      <c r="E236" s="5" t="n">
        <v>14267.24</v>
      </c>
      <c r="F236" s="4" t="s">
        <v>17</v>
      </c>
    </row>
    <row r="237" customFormat="false" ht="15" hidden="false" customHeight="false" outlineLevel="0" collapsed="false">
      <c r="A237" s="4" t="s">
        <v>346</v>
      </c>
      <c r="B237" s="4" t="s">
        <v>283</v>
      </c>
      <c r="C237" s="4" t="s">
        <v>36</v>
      </c>
      <c r="D237" s="4" t="s">
        <v>37</v>
      </c>
      <c r="E237" s="5" t="n">
        <v>2363.57</v>
      </c>
      <c r="F237" s="4" t="s">
        <v>38</v>
      </c>
    </row>
    <row r="238" customFormat="false" ht="15" hidden="false" customHeight="false" outlineLevel="0" collapsed="false">
      <c r="A238" s="4" t="s">
        <v>347</v>
      </c>
      <c r="B238" s="4" t="s">
        <v>348</v>
      </c>
      <c r="C238" s="4" t="s">
        <v>45</v>
      </c>
      <c r="D238" s="4" t="s">
        <v>38</v>
      </c>
      <c r="E238" s="5" t="n">
        <v>57993.4</v>
      </c>
      <c r="F238" s="4" t="s">
        <v>38</v>
      </c>
    </row>
    <row r="239" customFormat="false" ht="15" hidden="false" customHeight="false" outlineLevel="0" collapsed="false">
      <c r="A239" s="4" t="s">
        <v>349</v>
      </c>
      <c r="B239" s="4" t="s">
        <v>295</v>
      </c>
      <c r="C239" s="4" t="s">
        <v>62</v>
      </c>
      <c r="D239" s="4" t="s">
        <v>38</v>
      </c>
      <c r="E239" s="5" t="n">
        <v>59081.45</v>
      </c>
      <c r="F239" s="4" t="s">
        <v>38</v>
      </c>
    </row>
    <row r="240" customFormat="false" ht="15" hidden="false" customHeight="false" outlineLevel="0" collapsed="false">
      <c r="A240" s="4" t="s">
        <v>350</v>
      </c>
      <c r="B240" s="4" t="s">
        <v>297</v>
      </c>
      <c r="C240" s="4" t="s">
        <v>15</v>
      </c>
      <c r="D240" s="4" t="s">
        <v>16</v>
      </c>
      <c r="E240" s="5" t="n">
        <v>6487.23</v>
      </c>
      <c r="F240" s="4" t="s">
        <v>17</v>
      </c>
    </row>
    <row r="241" customFormat="false" ht="15" hidden="false" customHeight="false" outlineLevel="0" collapsed="false">
      <c r="A241" s="4" t="s">
        <v>351</v>
      </c>
      <c r="B241" s="4" t="s">
        <v>352</v>
      </c>
      <c r="C241" s="4" t="s">
        <v>36</v>
      </c>
      <c r="D241" s="4" t="s">
        <v>37</v>
      </c>
      <c r="E241" s="5" t="n">
        <v>8566.44</v>
      </c>
      <c r="F241" s="4" t="s">
        <v>38</v>
      </c>
    </row>
    <row r="242" customFormat="false" ht="15" hidden="false" customHeight="false" outlineLevel="0" collapsed="false">
      <c r="A242" s="4" t="s">
        <v>353</v>
      </c>
      <c r="B242" s="4" t="s">
        <v>352</v>
      </c>
      <c r="C242" s="4" t="s">
        <v>20</v>
      </c>
      <c r="D242" s="4" t="s">
        <v>21</v>
      </c>
      <c r="E242" s="5" t="n">
        <v>65806.66</v>
      </c>
      <c r="F242" s="4" t="s">
        <v>17</v>
      </c>
    </row>
    <row r="243" customFormat="false" ht="15" hidden="false" customHeight="false" outlineLevel="0" collapsed="false">
      <c r="A243" s="4" t="s">
        <v>354</v>
      </c>
      <c r="B243" s="4" t="s">
        <v>285</v>
      </c>
      <c r="C243" s="4" t="s">
        <v>94</v>
      </c>
      <c r="D243" s="4" t="s">
        <v>68</v>
      </c>
      <c r="E243" s="5" t="n">
        <v>13698.01</v>
      </c>
      <c r="F243" s="4" t="s">
        <v>17</v>
      </c>
    </row>
    <row r="244" customFormat="false" ht="15" hidden="false" customHeight="false" outlineLevel="0" collapsed="false">
      <c r="A244" s="4" t="s">
        <v>355</v>
      </c>
      <c r="B244" s="4" t="s">
        <v>313</v>
      </c>
      <c r="C244" s="4" t="s">
        <v>67</v>
      </c>
      <c r="D244" s="4" t="s">
        <v>68</v>
      </c>
      <c r="E244" s="5" t="n">
        <v>66126.04</v>
      </c>
      <c r="F244" s="4" t="s">
        <v>17</v>
      </c>
    </row>
    <row r="245" customFormat="false" ht="15" hidden="false" customHeight="false" outlineLevel="0" collapsed="false">
      <c r="A245" s="4" t="s">
        <v>356</v>
      </c>
      <c r="B245" s="4" t="s">
        <v>357</v>
      </c>
      <c r="C245" s="4" t="s">
        <v>36</v>
      </c>
      <c r="D245" s="4" t="s">
        <v>37</v>
      </c>
      <c r="E245" s="5" t="n">
        <v>11892.88</v>
      </c>
      <c r="F245" s="4" t="s">
        <v>38</v>
      </c>
    </row>
    <row r="246" customFormat="false" ht="15" hidden="false" customHeight="false" outlineLevel="0" collapsed="false">
      <c r="A246" s="4" t="s">
        <v>358</v>
      </c>
      <c r="B246" s="4" t="s">
        <v>345</v>
      </c>
      <c r="C246" s="4" t="s">
        <v>94</v>
      </c>
      <c r="D246" s="4" t="s">
        <v>68</v>
      </c>
      <c r="E246" s="5" t="n">
        <v>67522.72</v>
      </c>
      <c r="F246" s="4" t="s">
        <v>17</v>
      </c>
    </row>
    <row r="247" customFormat="false" ht="15" hidden="false" customHeight="false" outlineLevel="0" collapsed="false">
      <c r="A247" s="4" t="s">
        <v>359</v>
      </c>
      <c r="B247" s="4" t="s">
        <v>306</v>
      </c>
      <c r="C247" s="4" t="s">
        <v>41</v>
      </c>
      <c r="D247" s="4" t="s">
        <v>16</v>
      </c>
      <c r="E247" s="5" t="n">
        <v>7287.56</v>
      </c>
      <c r="F247" s="4" t="s">
        <v>17</v>
      </c>
    </row>
    <row r="248" customFormat="false" ht="15" hidden="false" customHeight="false" outlineLevel="0" collapsed="false">
      <c r="A248" s="4" t="s">
        <v>360</v>
      </c>
      <c r="B248" s="4" t="s">
        <v>293</v>
      </c>
      <c r="C248" s="4" t="s">
        <v>54</v>
      </c>
      <c r="D248" s="4" t="s">
        <v>21</v>
      </c>
      <c r="E248" s="5" t="n">
        <v>36384.2</v>
      </c>
      <c r="F248" s="4" t="s">
        <v>17</v>
      </c>
    </row>
    <row r="249" customFormat="false" ht="15" hidden="false" customHeight="false" outlineLevel="0" collapsed="false">
      <c r="A249" s="4" t="s">
        <v>361</v>
      </c>
      <c r="B249" s="4" t="s">
        <v>293</v>
      </c>
      <c r="C249" s="4" t="s">
        <v>15</v>
      </c>
      <c r="D249" s="4" t="s">
        <v>16</v>
      </c>
      <c r="E249" s="5" t="n">
        <v>54715.16</v>
      </c>
      <c r="F249" s="4" t="s">
        <v>17</v>
      </c>
    </row>
    <row r="250" customFormat="false" ht="15" hidden="false" customHeight="false" outlineLevel="0" collapsed="false">
      <c r="A250" s="4" t="s">
        <v>362</v>
      </c>
      <c r="B250" s="4" t="s">
        <v>323</v>
      </c>
      <c r="C250" s="4" t="s">
        <v>94</v>
      </c>
      <c r="D250" s="4" t="s">
        <v>68</v>
      </c>
      <c r="E250" s="5" t="n">
        <v>56396.98</v>
      </c>
      <c r="F250" s="4" t="s">
        <v>17</v>
      </c>
    </row>
    <row r="251" customFormat="false" ht="15" hidden="false" customHeight="false" outlineLevel="0" collapsed="false">
      <c r="A251" s="4" t="s">
        <v>363</v>
      </c>
      <c r="B251" s="4" t="s">
        <v>289</v>
      </c>
      <c r="C251" s="4" t="s">
        <v>36</v>
      </c>
      <c r="D251" s="4" t="s">
        <v>37</v>
      </c>
      <c r="E251" s="5" t="n">
        <v>2733.45</v>
      </c>
      <c r="F251" s="4" t="s">
        <v>38</v>
      </c>
    </row>
    <row r="252" customFormat="false" ht="15" hidden="false" customHeight="false" outlineLevel="0" collapsed="false">
      <c r="A252" s="4" t="s">
        <v>364</v>
      </c>
      <c r="B252" s="4" t="s">
        <v>291</v>
      </c>
      <c r="C252" s="4" t="s">
        <v>24</v>
      </c>
      <c r="D252" s="4" t="s">
        <v>25</v>
      </c>
      <c r="E252" s="5" t="n">
        <v>66721.23</v>
      </c>
      <c r="F252" s="4" t="s">
        <v>17</v>
      </c>
    </row>
    <row r="253" customFormat="false" ht="15" hidden="false" customHeight="false" outlineLevel="0" collapsed="false">
      <c r="A253" s="4" t="s">
        <v>365</v>
      </c>
      <c r="B253" s="4" t="s">
        <v>357</v>
      </c>
      <c r="C253" s="4" t="s">
        <v>36</v>
      </c>
      <c r="D253" s="4" t="s">
        <v>37</v>
      </c>
      <c r="E253" s="5" t="n">
        <v>39450.67</v>
      </c>
      <c r="F253" s="4" t="s">
        <v>38</v>
      </c>
    </row>
    <row r="254" customFormat="false" ht="15" hidden="false" customHeight="false" outlineLevel="0" collapsed="false">
      <c r="A254" s="4" t="s">
        <v>366</v>
      </c>
      <c r="B254" s="4" t="s">
        <v>313</v>
      </c>
      <c r="C254" s="4" t="s">
        <v>62</v>
      </c>
      <c r="D254" s="4" t="s">
        <v>38</v>
      </c>
      <c r="E254" s="5" t="n">
        <v>66752.52</v>
      </c>
      <c r="F254" s="4" t="s">
        <v>38</v>
      </c>
    </row>
    <row r="255" customFormat="false" ht="15" hidden="false" customHeight="false" outlineLevel="0" collapsed="false">
      <c r="A255" s="4" t="s">
        <v>367</v>
      </c>
      <c r="B255" s="4" t="s">
        <v>309</v>
      </c>
      <c r="C255" s="4" t="s">
        <v>32</v>
      </c>
      <c r="D255" s="4" t="s">
        <v>33</v>
      </c>
      <c r="E255" s="5" t="n">
        <v>36765.99</v>
      </c>
      <c r="F255" s="4" t="s">
        <v>17</v>
      </c>
    </row>
    <row r="256" customFormat="false" ht="15" hidden="false" customHeight="false" outlineLevel="0" collapsed="false">
      <c r="A256" s="4" t="s">
        <v>368</v>
      </c>
      <c r="B256" s="4" t="s">
        <v>369</v>
      </c>
      <c r="C256" s="4" t="s">
        <v>67</v>
      </c>
      <c r="D256" s="4" t="s">
        <v>68</v>
      </c>
      <c r="E256" s="5" t="n">
        <v>31703.59</v>
      </c>
      <c r="F256" s="4" t="s">
        <v>17</v>
      </c>
    </row>
    <row r="257" customFormat="false" ht="15" hidden="false" customHeight="false" outlineLevel="0" collapsed="false">
      <c r="A257" s="4" t="s">
        <v>370</v>
      </c>
      <c r="B257" s="4" t="s">
        <v>297</v>
      </c>
      <c r="C257" s="4" t="s">
        <v>67</v>
      </c>
      <c r="D257" s="4" t="s">
        <v>68</v>
      </c>
      <c r="E257" s="5" t="n">
        <v>32209.03</v>
      </c>
      <c r="F257" s="4" t="s">
        <v>17</v>
      </c>
    </row>
    <row r="258" customFormat="false" ht="15" hidden="false" customHeight="false" outlineLevel="0" collapsed="false">
      <c r="A258" s="4" t="s">
        <v>371</v>
      </c>
      <c r="B258" s="4" t="s">
        <v>295</v>
      </c>
      <c r="C258" s="4" t="s">
        <v>67</v>
      </c>
      <c r="D258" s="4" t="s">
        <v>68</v>
      </c>
      <c r="E258" s="5" t="n">
        <v>31564.02</v>
      </c>
      <c r="F258" s="4" t="s">
        <v>17</v>
      </c>
    </row>
    <row r="259" customFormat="false" ht="15" hidden="false" customHeight="false" outlineLevel="0" collapsed="false">
      <c r="A259" s="4" t="s">
        <v>372</v>
      </c>
      <c r="B259" s="4" t="s">
        <v>348</v>
      </c>
      <c r="C259" s="4" t="s">
        <v>36</v>
      </c>
      <c r="D259" s="4" t="s">
        <v>37</v>
      </c>
      <c r="E259" s="5" t="n">
        <v>46426.37</v>
      </c>
      <c r="F259" s="4" t="s">
        <v>38</v>
      </c>
    </row>
    <row r="260" customFormat="false" ht="15" hidden="false" customHeight="false" outlineLevel="0" collapsed="false">
      <c r="A260" s="4" t="s">
        <v>373</v>
      </c>
      <c r="B260" s="4" t="s">
        <v>335</v>
      </c>
      <c r="C260" s="4" t="s">
        <v>41</v>
      </c>
      <c r="D260" s="4" t="s">
        <v>16</v>
      </c>
      <c r="E260" s="5" t="n">
        <v>54764.07</v>
      </c>
      <c r="F260" s="4" t="s">
        <v>17</v>
      </c>
    </row>
    <row r="261" customFormat="false" ht="15" hidden="false" customHeight="false" outlineLevel="0" collapsed="false">
      <c r="A261" s="4" t="s">
        <v>374</v>
      </c>
      <c r="B261" s="4" t="s">
        <v>318</v>
      </c>
      <c r="C261" s="4" t="s">
        <v>32</v>
      </c>
      <c r="D261" s="4" t="s">
        <v>33</v>
      </c>
      <c r="E261" s="5" t="n">
        <v>31961.6</v>
      </c>
      <c r="F261" s="4" t="s">
        <v>17</v>
      </c>
    </row>
    <row r="262" customFormat="false" ht="15" hidden="false" customHeight="false" outlineLevel="0" collapsed="false">
      <c r="A262" s="4" t="s">
        <v>375</v>
      </c>
      <c r="B262" s="4" t="s">
        <v>342</v>
      </c>
      <c r="C262" s="4" t="s">
        <v>94</v>
      </c>
      <c r="D262" s="4" t="s">
        <v>68</v>
      </c>
      <c r="E262" s="5" t="n">
        <v>16377.45</v>
      </c>
      <c r="F262" s="4" t="s">
        <v>17</v>
      </c>
    </row>
    <row r="263" customFormat="false" ht="15" hidden="false" customHeight="false" outlineLevel="0" collapsed="false">
      <c r="A263" s="4" t="s">
        <v>376</v>
      </c>
      <c r="B263" s="4" t="s">
        <v>283</v>
      </c>
      <c r="C263" s="4" t="s">
        <v>41</v>
      </c>
      <c r="D263" s="4" t="s">
        <v>16</v>
      </c>
      <c r="E263" s="5" t="n">
        <v>25694.92</v>
      </c>
      <c r="F263" s="4" t="s">
        <v>17</v>
      </c>
    </row>
    <row r="264" customFormat="false" ht="15" hidden="false" customHeight="false" outlineLevel="0" collapsed="false">
      <c r="A264" s="4" t="s">
        <v>377</v>
      </c>
      <c r="B264" s="4" t="s">
        <v>311</v>
      </c>
      <c r="C264" s="4" t="s">
        <v>67</v>
      </c>
      <c r="D264" s="4" t="s">
        <v>68</v>
      </c>
      <c r="E264" s="5" t="n">
        <v>39246.32</v>
      </c>
      <c r="F264" s="4" t="s">
        <v>17</v>
      </c>
    </row>
    <row r="265" customFormat="false" ht="15" hidden="false" customHeight="false" outlineLevel="0" collapsed="false">
      <c r="A265" s="4" t="s">
        <v>378</v>
      </c>
      <c r="B265" s="4" t="s">
        <v>320</v>
      </c>
      <c r="C265" s="4" t="s">
        <v>101</v>
      </c>
      <c r="D265" s="4" t="s">
        <v>33</v>
      </c>
      <c r="E265" s="5" t="n">
        <v>61071.04</v>
      </c>
      <c r="F265" s="4" t="s">
        <v>17</v>
      </c>
    </row>
    <row r="266" customFormat="false" ht="15" hidden="false" customHeight="false" outlineLevel="0" collapsed="false">
      <c r="A266" s="4" t="s">
        <v>379</v>
      </c>
      <c r="B266" s="4" t="s">
        <v>348</v>
      </c>
      <c r="C266" s="4" t="s">
        <v>36</v>
      </c>
      <c r="D266" s="4" t="s">
        <v>37</v>
      </c>
      <c r="E266" s="5" t="n">
        <v>66947.89</v>
      </c>
      <c r="F266" s="4" t="s">
        <v>38</v>
      </c>
    </row>
    <row r="267" customFormat="false" ht="15" hidden="false" customHeight="false" outlineLevel="0" collapsed="false">
      <c r="A267" s="4" t="s">
        <v>380</v>
      </c>
      <c r="B267" s="4" t="s">
        <v>340</v>
      </c>
      <c r="C267" s="4" t="s">
        <v>24</v>
      </c>
      <c r="D267" s="4" t="s">
        <v>25</v>
      </c>
      <c r="E267" s="5" t="n">
        <v>57642.64</v>
      </c>
      <c r="F267" s="4" t="s">
        <v>17</v>
      </c>
    </row>
    <row r="268" customFormat="false" ht="15" hidden="false" customHeight="false" outlineLevel="0" collapsed="false">
      <c r="A268" s="4" t="s">
        <v>381</v>
      </c>
      <c r="B268" s="4" t="s">
        <v>291</v>
      </c>
      <c r="C268" s="4" t="s">
        <v>62</v>
      </c>
      <c r="D268" s="4" t="s">
        <v>38</v>
      </c>
      <c r="E268" s="5" t="n">
        <v>25567.14</v>
      </c>
      <c r="F268" s="4" t="s">
        <v>38</v>
      </c>
    </row>
    <row r="269" customFormat="false" ht="15" hidden="false" customHeight="false" outlineLevel="0" collapsed="false">
      <c r="A269" s="4" t="s">
        <v>382</v>
      </c>
      <c r="B269" s="4" t="s">
        <v>342</v>
      </c>
      <c r="C269" s="4" t="s">
        <v>45</v>
      </c>
      <c r="D269" s="4" t="s">
        <v>38</v>
      </c>
      <c r="E269" s="5" t="n">
        <v>42601.16</v>
      </c>
      <c r="F269" s="4" t="s">
        <v>38</v>
      </c>
    </row>
    <row r="270" customFormat="false" ht="15" hidden="false" customHeight="false" outlineLevel="0" collapsed="false">
      <c r="A270" s="4" t="s">
        <v>383</v>
      </c>
      <c r="B270" s="4" t="s">
        <v>348</v>
      </c>
      <c r="C270" s="4" t="s">
        <v>45</v>
      </c>
      <c r="D270" s="4" t="s">
        <v>38</v>
      </c>
      <c r="E270" s="5" t="n">
        <v>32549.19</v>
      </c>
      <c r="F270" s="4" t="s">
        <v>38</v>
      </c>
    </row>
    <row r="271" customFormat="false" ht="15" hidden="false" customHeight="false" outlineLevel="0" collapsed="false">
      <c r="A271" s="4" t="s">
        <v>384</v>
      </c>
      <c r="B271" s="4" t="s">
        <v>352</v>
      </c>
      <c r="C271" s="4" t="s">
        <v>15</v>
      </c>
      <c r="D271" s="4" t="s">
        <v>16</v>
      </c>
      <c r="E271" s="5" t="n">
        <v>46805.82</v>
      </c>
      <c r="F271" s="4" t="s">
        <v>17</v>
      </c>
    </row>
    <row r="272" customFormat="false" ht="15" hidden="false" customHeight="false" outlineLevel="0" collapsed="false">
      <c r="A272" s="4" t="s">
        <v>385</v>
      </c>
      <c r="B272" s="4" t="s">
        <v>289</v>
      </c>
      <c r="C272" s="4" t="s">
        <v>24</v>
      </c>
      <c r="D272" s="4" t="s">
        <v>25</v>
      </c>
      <c r="E272" s="5" t="n">
        <v>42635.34</v>
      </c>
      <c r="F272" s="4" t="s">
        <v>17</v>
      </c>
    </row>
    <row r="273" customFormat="false" ht="15" hidden="false" customHeight="false" outlineLevel="0" collapsed="false">
      <c r="A273" s="4" t="s">
        <v>386</v>
      </c>
      <c r="B273" s="4" t="s">
        <v>285</v>
      </c>
      <c r="C273" s="4" t="s">
        <v>45</v>
      </c>
      <c r="D273" s="4" t="s">
        <v>38</v>
      </c>
      <c r="E273" s="5" t="n">
        <v>46449.17</v>
      </c>
      <c r="F273" s="4" t="s">
        <v>38</v>
      </c>
    </row>
    <row r="274" customFormat="false" ht="15" hidden="false" customHeight="false" outlineLevel="0" collapsed="false">
      <c r="A274" s="4" t="s">
        <v>387</v>
      </c>
      <c r="B274" s="4" t="s">
        <v>287</v>
      </c>
      <c r="C274" s="4" t="s">
        <v>24</v>
      </c>
      <c r="D274" s="4" t="s">
        <v>25</v>
      </c>
      <c r="E274" s="5" t="n">
        <v>55256.9</v>
      </c>
      <c r="F274" s="4" t="s">
        <v>17</v>
      </c>
    </row>
    <row r="275" customFormat="false" ht="15" hidden="false" customHeight="false" outlineLevel="0" collapsed="false">
      <c r="A275" s="4" t="s">
        <v>388</v>
      </c>
      <c r="B275" s="4" t="s">
        <v>369</v>
      </c>
      <c r="C275" s="4" t="s">
        <v>67</v>
      </c>
      <c r="D275" s="4" t="s">
        <v>68</v>
      </c>
      <c r="E275" s="5" t="n">
        <v>1806.06</v>
      </c>
      <c r="F275" s="4" t="s">
        <v>17</v>
      </c>
    </row>
    <row r="276" customFormat="false" ht="15" hidden="false" customHeight="false" outlineLevel="0" collapsed="false">
      <c r="A276" s="4" t="s">
        <v>389</v>
      </c>
      <c r="B276" s="4" t="s">
        <v>318</v>
      </c>
      <c r="C276" s="4" t="s">
        <v>67</v>
      </c>
      <c r="D276" s="4" t="s">
        <v>68</v>
      </c>
      <c r="E276" s="5" t="n">
        <v>35280.43</v>
      </c>
      <c r="F276" s="4" t="s">
        <v>17</v>
      </c>
    </row>
    <row r="277" customFormat="false" ht="15" hidden="false" customHeight="false" outlineLevel="0" collapsed="false">
      <c r="A277" s="4" t="s">
        <v>390</v>
      </c>
      <c r="B277" s="4" t="s">
        <v>279</v>
      </c>
      <c r="C277" s="4" t="s">
        <v>20</v>
      </c>
      <c r="D277" s="4" t="s">
        <v>21</v>
      </c>
      <c r="E277" s="5" t="n">
        <v>38196.34</v>
      </c>
      <c r="F277" s="4" t="s">
        <v>17</v>
      </c>
    </row>
    <row r="278" customFormat="false" ht="15" hidden="false" customHeight="false" outlineLevel="0" collapsed="false">
      <c r="A278" s="4" t="s">
        <v>391</v>
      </c>
      <c r="B278" s="4" t="s">
        <v>318</v>
      </c>
      <c r="C278" s="4" t="s">
        <v>24</v>
      </c>
      <c r="D278" s="4" t="s">
        <v>25</v>
      </c>
      <c r="E278" s="5" t="n">
        <v>47163.37</v>
      </c>
      <c r="F278" s="4" t="s">
        <v>17</v>
      </c>
    </row>
    <row r="279" customFormat="false" ht="15" hidden="false" customHeight="false" outlineLevel="0" collapsed="false">
      <c r="A279" s="4" t="s">
        <v>392</v>
      </c>
      <c r="B279" s="4" t="s">
        <v>335</v>
      </c>
      <c r="C279" s="4" t="s">
        <v>15</v>
      </c>
      <c r="D279" s="4" t="s">
        <v>16</v>
      </c>
      <c r="E279" s="5" t="n">
        <v>3823.07</v>
      </c>
      <c r="F279" s="4" t="s">
        <v>17</v>
      </c>
    </row>
    <row r="280" customFormat="false" ht="15" hidden="false" customHeight="false" outlineLevel="0" collapsed="false">
      <c r="A280" s="4" t="s">
        <v>393</v>
      </c>
      <c r="B280" s="4" t="s">
        <v>345</v>
      </c>
      <c r="C280" s="4" t="s">
        <v>20</v>
      </c>
      <c r="D280" s="4" t="s">
        <v>21</v>
      </c>
      <c r="E280" s="5" t="n">
        <v>24310.99</v>
      </c>
      <c r="F280" s="4" t="s">
        <v>17</v>
      </c>
    </row>
    <row r="281" customFormat="false" ht="15" hidden="false" customHeight="false" outlineLevel="0" collapsed="false">
      <c r="A281" s="4" t="s">
        <v>394</v>
      </c>
      <c r="B281" s="4" t="s">
        <v>320</v>
      </c>
      <c r="C281" s="4" t="s">
        <v>45</v>
      </c>
      <c r="D281" s="4" t="s">
        <v>38</v>
      </c>
      <c r="E281" s="5" t="n">
        <v>14831.03</v>
      </c>
      <c r="F281" s="4" t="s">
        <v>38</v>
      </c>
    </row>
    <row r="282" customFormat="false" ht="15" hidden="false" customHeight="false" outlineLevel="0" collapsed="false">
      <c r="A282" s="4" t="s">
        <v>395</v>
      </c>
      <c r="B282" s="4" t="s">
        <v>396</v>
      </c>
      <c r="C282" s="4" t="s">
        <v>67</v>
      </c>
      <c r="D282" s="4" t="s">
        <v>68</v>
      </c>
      <c r="E282" s="5" t="n">
        <v>67089.62</v>
      </c>
      <c r="F282" s="4" t="s">
        <v>17</v>
      </c>
    </row>
    <row r="283" customFormat="false" ht="15" hidden="false" customHeight="false" outlineLevel="0" collapsed="false">
      <c r="A283" s="4" t="s">
        <v>397</v>
      </c>
      <c r="B283" s="4" t="s">
        <v>398</v>
      </c>
      <c r="C283" s="4" t="s">
        <v>36</v>
      </c>
      <c r="D283" s="4" t="s">
        <v>37</v>
      </c>
      <c r="E283" s="5" t="n">
        <v>21007.31</v>
      </c>
      <c r="F283" s="4" t="s">
        <v>38</v>
      </c>
    </row>
    <row r="284" customFormat="false" ht="15" hidden="false" customHeight="false" outlineLevel="0" collapsed="false">
      <c r="A284" s="4" t="s">
        <v>399</v>
      </c>
      <c r="B284" s="4" t="s">
        <v>400</v>
      </c>
      <c r="C284" s="4" t="s">
        <v>54</v>
      </c>
      <c r="D284" s="4" t="s">
        <v>21</v>
      </c>
      <c r="E284" s="5" t="n">
        <v>62401.08</v>
      </c>
      <c r="F284" s="4" t="s">
        <v>17</v>
      </c>
    </row>
    <row r="285" customFormat="false" ht="15" hidden="false" customHeight="false" outlineLevel="0" collapsed="false">
      <c r="A285" s="4" t="s">
        <v>401</v>
      </c>
      <c r="B285" s="4" t="s">
        <v>396</v>
      </c>
      <c r="C285" s="4" t="s">
        <v>67</v>
      </c>
      <c r="D285" s="4" t="s">
        <v>68</v>
      </c>
      <c r="E285" s="5" t="n">
        <v>19708.14</v>
      </c>
      <c r="F285" s="4" t="s">
        <v>17</v>
      </c>
    </row>
    <row r="286" customFormat="false" ht="15" hidden="false" customHeight="false" outlineLevel="0" collapsed="false">
      <c r="A286" s="4" t="s">
        <v>402</v>
      </c>
      <c r="B286" s="4" t="s">
        <v>398</v>
      </c>
      <c r="C286" s="4" t="s">
        <v>41</v>
      </c>
      <c r="D286" s="4" t="s">
        <v>16</v>
      </c>
      <c r="E286" s="5" t="n">
        <v>12686.38</v>
      </c>
      <c r="F286" s="4" t="s">
        <v>17</v>
      </c>
    </row>
    <row r="287" customFormat="false" ht="15" hidden="false" customHeight="false" outlineLevel="0" collapsed="false">
      <c r="A287" s="4" t="s">
        <v>403</v>
      </c>
      <c r="B287" s="4" t="s">
        <v>404</v>
      </c>
      <c r="C287" s="4" t="s">
        <v>101</v>
      </c>
      <c r="D287" s="4" t="s">
        <v>33</v>
      </c>
      <c r="E287" s="5" t="n">
        <v>34085.15</v>
      </c>
      <c r="F287" s="4" t="s">
        <v>17</v>
      </c>
    </row>
    <row r="288" customFormat="false" ht="15" hidden="false" customHeight="false" outlineLevel="0" collapsed="false">
      <c r="A288" s="4" t="s">
        <v>405</v>
      </c>
      <c r="B288" s="4" t="s">
        <v>406</v>
      </c>
      <c r="C288" s="4" t="s">
        <v>45</v>
      </c>
      <c r="D288" s="4" t="s">
        <v>38</v>
      </c>
      <c r="E288" s="5" t="n">
        <v>45247.22</v>
      </c>
      <c r="F288" s="4" t="s">
        <v>38</v>
      </c>
    </row>
    <row r="289" customFormat="false" ht="15" hidden="false" customHeight="false" outlineLevel="0" collapsed="false">
      <c r="A289" s="4" t="s">
        <v>407</v>
      </c>
      <c r="B289" s="4" t="s">
        <v>406</v>
      </c>
      <c r="C289" s="4" t="s">
        <v>62</v>
      </c>
      <c r="D289" s="4" t="s">
        <v>38</v>
      </c>
      <c r="E289" s="5" t="n">
        <v>41036.11</v>
      </c>
      <c r="F289" s="4" t="s">
        <v>38</v>
      </c>
    </row>
    <row r="290" customFormat="false" ht="15" hidden="false" customHeight="false" outlineLevel="0" collapsed="false">
      <c r="A290" s="4" t="s">
        <v>408</v>
      </c>
      <c r="B290" s="4" t="s">
        <v>409</v>
      </c>
      <c r="C290" s="4" t="s">
        <v>94</v>
      </c>
      <c r="D290" s="4" t="s">
        <v>68</v>
      </c>
      <c r="E290" s="5" t="n">
        <v>50400.9</v>
      </c>
      <c r="F290" s="4" t="s">
        <v>17</v>
      </c>
    </row>
    <row r="291" customFormat="false" ht="15" hidden="false" customHeight="false" outlineLevel="0" collapsed="false">
      <c r="A291" s="4" t="s">
        <v>410</v>
      </c>
      <c r="B291" s="4" t="s">
        <v>411</v>
      </c>
      <c r="C291" s="4" t="s">
        <v>45</v>
      </c>
      <c r="D291" s="4" t="s">
        <v>38</v>
      </c>
      <c r="E291" s="5" t="n">
        <v>45112.21</v>
      </c>
      <c r="F291" s="4" t="s">
        <v>38</v>
      </c>
    </row>
    <row r="292" customFormat="false" ht="15" hidden="false" customHeight="false" outlineLevel="0" collapsed="false">
      <c r="A292" s="4" t="s">
        <v>412</v>
      </c>
      <c r="B292" s="4" t="s">
        <v>404</v>
      </c>
      <c r="C292" s="4" t="s">
        <v>67</v>
      </c>
      <c r="D292" s="4" t="s">
        <v>68</v>
      </c>
      <c r="E292" s="5" t="n">
        <v>42664.86</v>
      </c>
      <c r="F292" s="4" t="s">
        <v>17</v>
      </c>
    </row>
    <row r="293" customFormat="false" ht="15" hidden="false" customHeight="false" outlineLevel="0" collapsed="false">
      <c r="A293" s="4" t="s">
        <v>413</v>
      </c>
      <c r="B293" s="4" t="s">
        <v>414</v>
      </c>
      <c r="C293" s="4" t="s">
        <v>36</v>
      </c>
      <c r="D293" s="4" t="s">
        <v>37</v>
      </c>
      <c r="E293" s="5" t="n">
        <v>43595.38</v>
      </c>
      <c r="F293" s="4" t="s">
        <v>38</v>
      </c>
    </row>
    <row r="294" customFormat="false" ht="15" hidden="false" customHeight="false" outlineLevel="0" collapsed="false">
      <c r="A294" s="4" t="s">
        <v>415</v>
      </c>
      <c r="B294" s="4" t="s">
        <v>416</v>
      </c>
      <c r="C294" s="4" t="s">
        <v>54</v>
      </c>
      <c r="D294" s="4" t="s">
        <v>21</v>
      </c>
      <c r="E294" s="5" t="n">
        <v>6707.4</v>
      </c>
      <c r="F294" s="4" t="s">
        <v>17</v>
      </c>
    </row>
    <row r="295" customFormat="false" ht="15" hidden="false" customHeight="false" outlineLevel="0" collapsed="false">
      <c r="A295" s="4" t="s">
        <v>417</v>
      </c>
      <c r="B295" s="4" t="s">
        <v>418</v>
      </c>
      <c r="C295" s="4" t="s">
        <v>24</v>
      </c>
      <c r="D295" s="4" t="s">
        <v>25</v>
      </c>
      <c r="E295" s="5" t="n">
        <v>55308.38</v>
      </c>
      <c r="F295" s="4" t="s">
        <v>17</v>
      </c>
    </row>
    <row r="296" customFormat="false" ht="15" hidden="false" customHeight="false" outlineLevel="0" collapsed="false">
      <c r="A296" s="4" t="s">
        <v>419</v>
      </c>
      <c r="B296" s="4" t="s">
        <v>420</v>
      </c>
      <c r="C296" s="4" t="s">
        <v>94</v>
      </c>
      <c r="D296" s="4" t="s">
        <v>68</v>
      </c>
      <c r="E296" s="5" t="n">
        <v>58268.97</v>
      </c>
      <c r="F296" s="4" t="s">
        <v>17</v>
      </c>
    </row>
    <row r="297" customFormat="false" ht="15" hidden="false" customHeight="false" outlineLevel="0" collapsed="false">
      <c r="A297" s="4" t="s">
        <v>421</v>
      </c>
      <c r="B297" s="4" t="s">
        <v>422</v>
      </c>
      <c r="C297" s="4" t="s">
        <v>62</v>
      </c>
      <c r="D297" s="4" t="s">
        <v>38</v>
      </c>
      <c r="E297" s="5" t="n">
        <v>44577</v>
      </c>
      <c r="F297" s="4" t="s">
        <v>38</v>
      </c>
    </row>
    <row r="298" customFormat="false" ht="15" hidden="false" customHeight="false" outlineLevel="0" collapsed="false">
      <c r="A298" s="4" t="s">
        <v>423</v>
      </c>
      <c r="B298" s="4" t="s">
        <v>424</v>
      </c>
      <c r="C298" s="4" t="s">
        <v>24</v>
      </c>
      <c r="D298" s="4" t="s">
        <v>25</v>
      </c>
      <c r="E298" s="5" t="n">
        <v>10125.61</v>
      </c>
      <c r="F298" s="4" t="s">
        <v>17</v>
      </c>
    </row>
    <row r="299" customFormat="false" ht="15" hidden="false" customHeight="false" outlineLevel="0" collapsed="false">
      <c r="A299" s="4" t="s">
        <v>425</v>
      </c>
      <c r="B299" s="4" t="s">
        <v>396</v>
      </c>
      <c r="C299" s="4" t="s">
        <v>62</v>
      </c>
      <c r="D299" s="4" t="s">
        <v>38</v>
      </c>
      <c r="E299" s="5" t="n">
        <v>17548.95</v>
      </c>
      <c r="F299" s="4" t="s">
        <v>38</v>
      </c>
    </row>
    <row r="300" customFormat="false" ht="15" hidden="false" customHeight="false" outlineLevel="0" collapsed="false">
      <c r="A300" s="4" t="s">
        <v>426</v>
      </c>
      <c r="B300" s="4" t="s">
        <v>424</v>
      </c>
      <c r="C300" s="4" t="s">
        <v>101</v>
      </c>
      <c r="D300" s="4" t="s">
        <v>33</v>
      </c>
      <c r="E300" s="5" t="n">
        <v>41434.3</v>
      </c>
      <c r="F300" s="4" t="s">
        <v>17</v>
      </c>
    </row>
    <row r="301" customFormat="false" ht="15" hidden="false" customHeight="false" outlineLevel="0" collapsed="false">
      <c r="A301" s="4" t="s">
        <v>427</v>
      </c>
      <c r="B301" s="4" t="s">
        <v>428</v>
      </c>
      <c r="C301" s="4" t="s">
        <v>20</v>
      </c>
      <c r="D301" s="4" t="s">
        <v>21</v>
      </c>
      <c r="E301" s="5" t="n">
        <v>49710.84</v>
      </c>
      <c r="F301" s="4" t="s">
        <v>17</v>
      </c>
    </row>
    <row r="302" customFormat="false" ht="15" hidden="false" customHeight="false" outlineLevel="0" collapsed="false">
      <c r="A302" s="4" t="s">
        <v>429</v>
      </c>
      <c r="B302" s="4" t="s">
        <v>411</v>
      </c>
      <c r="C302" s="4" t="s">
        <v>54</v>
      </c>
      <c r="D302" s="4" t="s">
        <v>21</v>
      </c>
      <c r="E302" s="5" t="n">
        <v>36360.52</v>
      </c>
      <c r="F302" s="4" t="s">
        <v>17</v>
      </c>
    </row>
    <row r="303" customFormat="false" ht="15" hidden="false" customHeight="false" outlineLevel="0" collapsed="false">
      <c r="A303" s="4" t="s">
        <v>430</v>
      </c>
      <c r="B303" s="4" t="s">
        <v>431</v>
      </c>
      <c r="C303" s="4" t="s">
        <v>62</v>
      </c>
      <c r="D303" s="4" t="s">
        <v>38</v>
      </c>
      <c r="E303" s="5" t="n">
        <v>59919.92</v>
      </c>
      <c r="F303" s="4" t="s">
        <v>38</v>
      </c>
    </row>
    <row r="304" customFormat="false" ht="15" hidden="false" customHeight="false" outlineLevel="0" collapsed="false">
      <c r="A304" s="4" t="s">
        <v>432</v>
      </c>
      <c r="B304" s="4" t="s">
        <v>424</v>
      </c>
      <c r="C304" s="4" t="s">
        <v>36</v>
      </c>
      <c r="D304" s="4" t="s">
        <v>37</v>
      </c>
      <c r="E304" s="5" t="n">
        <v>18703.43</v>
      </c>
      <c r="F304" s="4" t="s">
        <v>38</v>
      </c>
    </row>
    <row r="305" customFormat="false" ht="15" hidden="false" customHeight="false" outlineLevel="0" collapsed="false">
      <c r="A305" s="4" t="s">
        <v>433</v>
      </c>
      <c r="B305" s="4" t="s">
        <v>404</v>
      </c>
      <c r="C305" s="4" t="s">
        <v>32</v>
      </c>
      <c r="D305" s="4" t="s">
        <v>33</v>
      </c>
      <c r="E305" s="5" t="n">
        <v>30821.6</v>
      </c>
      <c r="F305" s="4" t="s">
        <v>17</v>
      </c>
    </row>
    <row r="306" customFormat="false" ht="15" hidden="false" customHeight="false" outlineLevel="0" collapsed="false">
      <c r="A306" s="4" t="s">
        <v>434</v>
      </c>
      <c r="B306" s="4" t="s">
        <v>400</v>
      </c>
      <c r="C306" s="4" t="s">
        <v>62</v>
      </c>
      <c r="D306" s="4" t="s">
        <v>38</v>
      </c>
      <c r="E306" s="5" t="n">
        <v>20097.24</v>
      </c>
      <c r="F306" s="4" t="s">
        <v>38</v>
      </c>
    </row>
    <row r="307" customFormat="false" ht="15" hidden="false" customHeight="false" outlineLevel="0" collapsed="false">
      <c r="A307" s="4" t="s">
        <v>435</v>
      </c>
      <c r="B307" s="4" t="s">
        <v>396</v>
      </c>
      <c r="C307" s="4" t="s">
        <v>41</v>
      </c>
      <c r="D307" s="4" t="s">
        <v>16</v>
      </c>
      <c r="E307" s="5" t="n">
        <v>52894.67</v>
      </c>
      <c r="F307" s="4" t="s">
        <v>17</v>
      </c>
    </row>
    <row r="308" customFormat="false" ht="15" hidden="false" customHeight="false" outlineLevel="0" collapsed="false">
      <c r="A308" s="4" t="s">
        <v>436</v>
      </c>
      <c r="B308" s="4" t="s">
        <v>418</v>
      </c>
      <c r="C308" s="4" t="s">
        <v>20</v>
      </c>
      <c r="D308" s="4" t="s">
        <v>21</v>
      </c>
      <c r="E308" s="5" t="n">
        <v>1984.88</v>
      </c>
      <c r="F308" s="4" t="s">
        <v>17</v>
      </c>
    </row>
    <row r="309" customFormat="false" ht="15" hidden="false" customHeight="false" outlineLevel="0" collapsed="false">
      <c r="A309" s="4" t="s">
        <v>437</v>
      </c>
      <c r="B309" s="4" t="s">
        <v>438</v>
      </c>
      <c r="C309" s="4" t="s">
        <v>20</v>
      </c>
      <c r="D309" s="4" t="s">
        <v>21</v>
      </c>
      <c r="E309" s="5" t="n">
        <v>15858.16</v>
      </c>
      <c r="F309" s="4" t="s">
        <v>17</v>
      </c>
    </row>
    <row r="310" customFormat="false" ht="15" hidden="false" customHeight="false" outlineLevel="0" collapsed="false">
      <c r="A310" s="4" t="s">
        <v>439</v>
      </c>
      <c r="B310" s="4" t="s">
        <v>411</v>
      </c>
      <c r="C310" s="4" t="s">
        <v>20</v>
      </c>
      <c r="D310" s="4" t="s">
        <v>21</v>
      </c>
      <c r="E310" s="5" t="n">
        <v>26229.59</v>
      </c>
      <c r="F310" s="4" t="s">
        <v>17</v>
      </c>
    </row>
    <row r="311" customFormat="false" ht="15" hidden="false" customHeight="false" outlineLevel="0" collapsed="false">
      <c r="A311" s="4" t="s">
        <v>440</v>
      </c>
      <c r="B311" s="4" t="s">
        <v>438</v>
      </c>
      <c r="C311" s="4" t="s">
        <v>36</v>
      </c>
      <c r="D311" s="4" t="s">
        <v>37</v>
      </c>
      <c r="E311" s="5" t="n">
        <v>14034.51</v>
      </c>
      <c r="F311" s="4" t="s">
        <v>38</v>
      </c>
    </row>
    <row r="312" customFormat="false" ht="15" hidden="false" customHeight="false" outlineLevel="0" collapsed="false">
      <c r="A312" s="4" t="s">
        <v>441</v>
      </c>
      <c r="B312" s="4" t="s">
        <v>442</v>
      </c>
      <c r="C312" s="4" t="s">
        <v>36</v>
      </c>
      <c r="D312" s="4" t="s">
        <v>37</v>
      </c>
      <c r="E312" s="5" t="n">
        <v>9537.56</v>
      </c>
      <c r="F312" s="4" t="s">
        <v>38</v>
      </c>
    </row>
    <row r="313" customFormat="false" ht="15" hidden="false" customHeight="false" outlineLevel="0" collapsed="false">
      <c r="A313" s="4" t="s">
        <v>443</v>
      </c>
      <c r="B313" s="4" t="s">
        <v>438</v>
      </c>
      <c r="C313" s="4" t="s">
        <v>36</v>
      </c>
      <c r="D313" s="4" t="s">
        <v>37</v>
      </c>
      <c r="E313" s="5" t="n">
        <v>26755.03</v>
      </c>
      <c r="F313" s="4" t="s">
        <v>38</v>
      </c>
    </row>
    <row r="314" customFormat="false" ht="15" hidden="false" customHeight="false" outlineLevel="0" collapsed="false">
      <c r="A314" s="4" t="s">
        <v>444</v>
      </c>
      <c r="B314" s="4" t="s">
        <v>420</v>
      </c>
      <c r="C314" s="4" t="s">
        <v>20</v>
      </c>
      <c r="D314" s="4" t="s">
        <v>21</v>
      </c>
      <c r="E314" s="5" t="n">
        <v>4352.81</v>
      </c>
      <c r="F314" s="4" t="s">
        <v>17</v>
      </c>
    </row>
    <row r="315" customFormat="false" ht="15" hidden="false" customHeight="false" outlineLevel="0" collapsed="false">
      <c r="A315" s="4" t="s">
        <v>445</v>
      </c>
      <c r="B315" s="4" t="s">
        <v>414</v>
      </c>
      <c r="C315" s="4" t="s">
        <v>41</v>
      </c>
      <c r="D315" s="4" t="s">
        <v>16</v>
      </c>
      <c r="E315" s="5" t="n">
        <v>33068.79</v>
      </c>
      <c r="F315" s="4" t="s">
        <v>17</v>
      </c>
    </row>
    <row r="316" customFormat="false" ht="15" hidden="false" customHeight="false" outlineLevel="0" collapsed="false">
      <c r="A316" s="4" t="s">
        <v>446</v>
      </c>
      <c r="B316" s="4" t="s">
        <v>406</v>
      </c>
      <c r="C316" s="4" t="s">
        <v>32</v>
      </c>
      <c r="D316" s="4" t="s">
        <v>33</v>
      </c>
      <c r="E316" s="5" t="n">
        <v>5181.61</v>
      </c>
      <c r="F316" s="4" t="s">
        <v>17</v>
      </c>
    </row>
    <row r="317" customFormat="false" ht="15" hidden="false" customHeight="false" outlineLevel="0" collapsed="false">
      <c r="A317" s="4" t="s">
        <v>447</v>
      </c>
      <c r="B317" s="4" t="s">
        <v>424</v>
      </c>
      <c r="C317" s="4" t="s">
        <v>94</v>
      </c>
      <c r="D317" s="4" t="s">
        <v>68</v>
      </c>
      <c r="E317" s="5" t="n">
        <v>7309.51</v>
      </c>
      <c r="F317" s="4" t="s">
        <v>17</v>
      </c>
    </row>
    <row r="318" customFormat="false" ht="15" hidden="false" customHeight="false" outlineLevel="0" collapsed="false">
      <c r="A318" s="4" t="s">
        <v>448</v>
      </c>
      <c r="B318" s="4" t="s">
        <v>398</v>
      </c>
      <c r="C318" s="4" t="s">
        <v>54</v>
      </c>
      <c r="D318" s="4" t="s">
        <v>21</v>
      </c>
      <c r="E318" s="5" t="n">
        <v>60014.1</v>
      </c>
      <c r="F318" s="4" t="s">
        <v>17</v>
      </c>
    </row>
    <row r="319" customFormat="false" ht="15" hidden="false" customHeight="false" outlineLevel="0" collapsed="false">
      <c r="A319" s="4" t="s">
        <v>449</v>
      </c>
      <c r="B319" s="4" t="s">
        <v>422</v>
      </c>
      <c r="C319" s="4" t="s">
        <v>101</v>
      </c>
      <c r="D319" s="4" t="s">
        <v>33</v>
      </c>
      <c r="E319" s="5" t="n">
        <v>55418.06</v>
      </c>
      <c r="F319" s="4" t="s">
        <v>17</v>
      </c>
    </row>
    <row r="320" customFormat="false" ht="15" hidden="false" customHeight="false" outlineLevel="0" collapsed="false">
      <c r="A320" s="4" t="s">
        <v>450</v>
      </c>
      <c r="B320" s="4" t="s">
        <v>451</v>
      </c>
      <c r="C320" s="4" t="s">
        <v>94</v>
      </c>
      <c r="D320" s="4" t="s">
        <v>68</v>
      </c>
      <c r="E320" s="5" t="n">
        <v>57255.66</v>
      </c>
      <c r="F320" s="4" t="s">
        <v>17</v>
      </c>
    </row>
    <row r="321" customFormat="false" ht="15" hidden="false" customHeight="false" outlineLevel="0" collapsed="false">
      <c r="A321" s="4" t="s">
        <v>452</v>
      </c>
      <c r="B321" s="4" t="s">
        <v>438</v>
      </c>
      <c r="C321" s="4" t="s">
        <v>15</v>
      </c>
      <c r="D321" s="4" t="s">
        <v>16</v>
      </c>
      <c r="E321" s="5" t="n">
        <v>4551.66</v>
      </c>
      <c r="F321" s="4" t="s">
        <v>17</v>
      </c>
    </row>
    <row r="322" customFormat="false" ht="15" hidden="false" customHeight="false" outlineLevel="0" collapsed="false">
      <c r="A322" s="4" t="s">
        <v>453</v>
      </c>
      <c r="B322" s="4" t="s">
        <v>409</v>
      </c>
      <c r="C322" s="4" t="s">
        <v>101</v>
      </c>
      <c r="D322" s="4" t="s">
        <v>33</v>
      </c>
      <c r="E322" s="5" t="n">
        <v>28606.15</v>
      </c>
      <c r="F322" s="4" t="s">
        <v>17</v>
      </c>
    </row>
    <row r="323" customFormat="false" ht="15" hidden="false" customHeight="false" outlineLevel="0" collapsed="false">
      <c r="A323" s="4" t="s">
        <v>454</v>
      </c>
      <c r="B323" s="4" t="s">
        <v>414</v>
      </c>
      <c r="C323" s="4" t="s">
        <v>32</v>
      </c>
      <c r="D323" s="4" t="s">
        <v>33</v>
      </c>
      <c r="E323" s="5" t="n">
        <v>59311.73</v>
      </c>
      <c r="F323" s="4" t="s">
        <v>17</v>
      </c>
    </row>
    <row r="324" customFormat="false" ht="15" hidden="false" customHeight="false" outlineLevel="0" collapsed="false">
      <c r="A324" s="4" t="s">
        <v>455</v>
      </c>
      <c r="B324" s="4" t="s">
        <v>398</v>
      </c>
      <c r="C324" s="4" t="s">
        <v>24</v>
      </c>
      <c r="D324" s="4" t="s">
        <v>25</v>
      </c>
      <c r="E324" s="5" t="n">
        <v>40164.82</v>
      </c>
      <c r="F324" s="4" t="s">
        <v>17</v>
      </c>
    </row>
    <row r="325" customFormat="false" ht="15" hidden="false" customHeight="false" outlineLevel="0" collapsed="false">
      <c r="A325" s="4" t="s">
        <v>456</v>
      </c>
      <c r="B325" s="4" t="s">
        <v>411</v>
      </c>
      <c r="C325" s="4" t="s">
        <v>32</v>
      </c>
      <c r="D325" s="4" t="s">
        <v>33</v>
      </c>
      <c r="E325" s="5" t="n">
        <v>60741.7</v>
      </c>
      <c r="F325" s="4" t="s">
        <v>17</v>
      </c>
    </row>
    <row r="326" customFormat="false" ht="15" hidden="false" customHeight="false" outlineLevel="0" collapsed="false">
      <c r="A326" s="4" t="s">
        <v>457</v>
      </c>
      <c r="B326" s="4" t="s">
        <v>442</v>
      </c>
      <c r="C326" s="4" t="s">
        <v>45</v>
      </c>
      <c r="D326" s="4" t="s">
        <v>38</v>
      </c>
      <c r="E326" s="5" t="n">
        <v>20195.32</v>
      </c>
      <c r="F326" s="4" t="s">
        <v>38</v>
      </c>
    </row>
    <row r="327" customFormat="false" ht="15" hidden="false" customHeight="false" outlineLevel="0" collapsed="false">
      <c r="A327" s="4" t="s">
        <v>458</v>
      </c>
      <c r="B327" s="4" t="s">
        <v>406</v>
      </c>
      <c r="C327" s="4" t="s">
        <v>94</v>
      </c>
      <c r="D327" s="4" t="s">
        <v>68</v>
      </c>
      <c r="E327" s="5" t="n">
        <v>47495.19</v>
      </c>
      <c r="F327" s="4" t="s">
        <v>17</v>
      </c>
    </row>
    <row r="328" customFormat="false" ht="15" hidden="false" customHeight="false" outlineLevel="0" collapsed="false">
      <c r="A328" s="4" t="s">
        <v>459</v>
      </c>
      <c r="B328" s="4" t="s">
        <v>438</v>
      </c>
      <c r="C328" s="4" t="s">
        <v>67</v>
      </c>
      <c r="D328" s="4" t="s">
        <v>68</v>
      </c>
      <c r="E328" s="5" t="n">
        <v>58940.64</v>
      </c>
      <c r="F328" s="4" t="s">
        <v>17</v>
      </c>
    </row>
    <row r="329" customFormat="false" ht="15" hidden="false" customHeight="false" outlineLevel="0" collapsed="false">
      <c r="A329" s="4" t="s">
        <v>460</v>
      </c>
      <c r="B329" s="4" t="s">
        <v>400</v>
      </c>
      <c r="C329" s="4" t="s">
        <v>41</v>
      </c>
      <c r="D329" s="4" t="s">
        <v>16</v>
      </c>
      <c r="E329" s="5" t="n">
        <v>17968.06</v>
      </c>
      <c r="F329" s="4" t="s">
        <v>17</v>
      </c>
    </row>
    <row r="330" customFormat="false" ht="15" hidden="false" customHeight="false" outlineLevel="0" collapsed="false">
      <c r="A330" s="4" t="s">
        <v>461</v>
      </c>
      <c r="B330" s="4" t="s">
        <v>398</v>
      </c>
      <c r="C330" s="4" t="s">
        <v>101</v>
      </c>
      <c r="D330" s="4" t="s">
        <v>33</v>
      </c>
      <c r="E330" s="5" t="n">
        <v>61578.03</v>
      </c>
      <c r="F330" s="4" t="s">
        <v>17</v>
      </c>
    </row>
    <row r="331" customFormat="false" ht="15" hidden="false" customHeight="false" outlineLevel="0" collapsed="false">
      <c r="A331" s="4" t="s">
        <v>462</v>
      </c>
      <c r="B331" s="4" t="s">
        <v>420</v>
      </c>
      <c r="C331" s="4" t="s">
        <v>36</v>
      </c>
      <c r="D331" s="4" t="s">
        <v>37</v>
      </c>
      <c r="E331" s="5" t="n">
        <v>42685.52</v>
      </c>
      <c r="F331" s="4" t="s">
        <v>38</v>
      </c>
    </row>
    <row r="332" customFormat="false" ht="15" hidden="false" customHeight="false" outlineLevel="0" collapsed="false">
      <c r="A332" s="4" t="s">
        <v>463</v>
      </c>
      <c r="B332" s="4" t="s">
        <v>464</v>
      </c>
      <c r="C332" s="4" t="s">
        <v>15</v>
      </c>
      <c r="D332" s="4" t="s">
        <v>16</v>
      </c>
      <c r="E332" s="5" t="n">
        <v>23822.34</v>
      </c>
      <c r="F332" s="4" t="s">
        <v>17</v>
      </c>
    </row>
    <row r="333" customFormat="false" ht="15" hidden="false" customHeight="false" outlineLevel="0" collapsed="false">
      <c r="A333" s="4" t="s">
        <v>465</v>
      </c>
      <c r="B333" s="4" t="s">
        <v>466</v>
      </c>
      <c r="C333" s="4" t="s">
        <v>41</v>
      </c>
      <c r="D333" s="4" t="s">
        <v>16</v>
      </c>
      <c r="E333" s="5" t="n">
        <v>48629.36</v>
      </c>
      <c r="F333" s="4" t="s">
        <v>17</v>
      </c>
    </row>
    <row r="334" customFormat="false" ht="15" hidden="false" customHeight="false" outlineLevel="0" collapsed="false">
      <c r="A334" s="4" t="s">
        <v>467</v>
      </c>
      <c r="B334" s="4" t="s">
        <v>404</v>
      </c>
      <c r="C334" s="4" t="s">
        <v>36</v>
      </c>
      <c r="D334" s="4" t="s">
        <v>37</v>
      </c>
      <c r="E334" s="5" t="n">
        <v>20364.53</v>
      </c>
      <c r="F334" s="4" t="s">
        <v>38</v>
      </c>
    </row>
    <row r="335" customFormat="false" ht="15" hidden="false" customHeight="false" outlineLevel="0" collapsed="false">
      <c r="A335" s="4" t="s">
        <v>468</v>
      </c>
      <c r="B335" s="4" t="s">
        <v>469</v>
      </c>
      <c r="C335" s="4" t="s">
        <v>15</v>
      </c>
      <c r="D335" s="4" t="s">
        <v>16</v>
      </c>
      <c r="E335" s="5" t="n">
        <v>5049.26</v>
      </c>
      <c r="F335" s="4" t="s">
        <v>17</v>
      </c>
    </row>
    <row r="336" customFormat="false" ht="15" hidden="false" customHeight="false" outlineLevel="0" collapsed="false">
      <c r="A336" s="4" t="s">
        <v>470</v>
      </c>
      <c r="B336" s="4" t="s">
        <v>396</v>
      </c>
      <c r="C336" s="4" t="s">
        <v>41</v>
      </c>
      <c r="D336" s="4" t="s">
        <v>16</v>
      </c>
      <c r="E336" s="5" t="n">
        <v>13406.11</v>
      </c>
      <c r="F336" s="4" t="s">
        <v>17</v>
      </c>
    </row>
    <row r="337" customFormat="false" ht="15" hidden="false" customHeight="false" outlineLevel="0" collapsed="false">
      <c r="A337" s="4" t="s">
        <v>471</v>
      </c>
      <c r="B337" s="4" t="s">
        <v>406</v>
      </c>
      <c r="C337" s="4" t="s">
        <v>67</v>
      </c>
      <c r="D337" s="4" t="s">
        <v>68</v>
      </c>
      <c r="E337" s="5" t="n">
        <v>4487.22</v>
      </c>
      <c r="F337" s="4" t="s">
        <v>17</v>
      </c>
    </row>
    <row r="338" customFormat="false" ht="15" hidden="false" customHeight="false" outlineLevel="0" collapsed="false">
      <c r="A338" s="4" t="s">
        <v>472</v>
      </c>
      <c r="B338" s="4" t="s">
        <v>400</v>
      </c>
      <c r="C338" s="4" t="s">
        <v>20</v>
      </c>
      <c r="D338" s="4" t="s">
        <v>21</v>
      </c>
      <c r="E338" s="5" t="n">
        <v>8826.64</v>
      </c>
      <c r="F338" s="4" t="s">
        <v>17</v>
      </c>
    </row>
    <row r="339" customFormat="false" ht="15" hidden="false" customHeight="false" outlineLevel="0" collapsed="false">
      <c r="A339" s="4" t="s">
        <v>473</v>
      </c>
      <c r="B339" s="4" t="s">
        <v>411</v>
      </c>
      <c r="C339" s="4" t="s">
        <v>36</v>
      </c>
      <c r="D339" s="4" t="s">
        <v>37</v>
      </c>
      <c r="E339" s="5" t="n">
        <v>23305.21</v>
      </c>
      <c r="F339" s="4" t="s">
        <v>38</v>
      </c>
    </row>
    <row r="340" customFormat="false" ht="15" hidden="false" customHeight="false" outlineLevel="0" collapsed="false">
      <c r="A340" s="4" t="s">
        <v>474</v>
      </c>
      <c r="B340" s="4" t="s">
        <v>420</v>
      </c>
      <c r="C340" s="4" t="s">
        <v>94</v>
      </c>
      <c r="D340" s="4" t="s">
        <v>68</v>
      </c>
      <c r="E340" s="5" t="n">
        <v>66454.09</v>
      </c>
      <c r="F340" s="4" t="s">
        <v>17</v>
      </c>
    </row>
    <row r="341" customFormat="false" ht="15" hidden="false" customHeight="false" outlineLevel="0" collapsed="false">
      <c r="A341" s="4" t="s">
        <v>475</v>
      </c>
      <c r="B341" s="4" t="s">
        <v>396</v>
      </c>
      <c r="C341" s="4" t="s">
        <v>36</v>
      </c>
      <c r="D341" s="4" t="s">
        <v>37</v>
      </c>
      <c r="E341" s="5" t="n">
        <v>60096.62</v>
      </c>
      <c r="F341" s="4" t="s">
        <v>38</v>
      </c>
    </row>
    <row r="342" customFormat="false" ht="15" hidden="false" customHeight="false" outlineLevel="0" collapsed="false">
      <c r="A342" s="4" t="s">
        <v>476</v>
      </c>
      <c r="B342" s="4" t="s">
        <v>398</v>
      </c>
      <c r="C342" s="4" t="s">
        <v>36</v>
      </c>
      <c r="D342" s="4" t="s">
        <v>37</v>
      </c>
      <c r="E342" s="5" t="n">
        <v>43650.86</v>
      </c>
      <c r="F342" s="4" t="s">
        <v>38</v>
      </c>
    </row>
    <row r="343" customFormat="false" ht="15" hidden="false" customHeight="false" outlineLevel="0" collapsed="false">
      <c r="A343" s="4" t="s">
        <v>477</v>
      </c>
      <c r="B343" s="4" t="s">
        <v>418</v>
      </c>
      <c r="C343" s="4" t="s">
        <v>20</v>
      </c>
      <c r="D343" s="4" t="s">
        <v>21</v>
      </c>
      <c r="E343" s="5" t="n">
        <v>14554.77</v>
      </c>
      <c r="F343" s="4" t="s">
        <v>17</v>
      </c>
    </row>
    <row r="344" customFormat="false" ht="15" hidden="false" customHeight="false" outlineLevel="0" collapsed="false">
      <c r="A344" s="4" t="s">
        <v>478</v>
      </c>
      <c r="B344" s="4" t="s">
        <v>420</v>
      </c>
      <c r="C344" s="4" t="s">
        <v>41</v>
      </c>
      <c r="D344" s="4" t="s">
        <v>16</v>
      </c>
      <c r="E344" s="5" t="n">
        <v>29903.23</v>
      </c>
      <c r="F344" s="4" t="s">
        <v>17</v>
      </c>
    </row>
    <row r="345" customFormat="false" ht="15" hidden="false" customHeight="false" outlineLevel="0" collapsed="false">
      <c r="A345" s="4" t="s">
        <v>479</v>
      </c>
      <c r="B345" s="4" t="s">
        <v>451</v>
      </c>
      <c r="C345" s="4" t="s">
        <v>94</v>
      </c>
      <c r="D345" s="4" t="s">
        <v>68</v>
      </c>
      <c r="E345" s="5" t="n">
        <v>15795.03</v>
      </c>
      <c r="F345" s="4" t="s">
        <v>17</v>
      </c>
    </row>
    <row r="346" customFormat="false" ht="15" hidden="false" customHeight="false" outlineLevel="0" collapsed="false">
      <c r="A346" s="4" t="s">
        <v>480</v>
      </c>
      <c r="B346" s="4" t="s">
        <v>416</v>
      </c>
      <c r="C346" s="4" t="s">
        <v>45</v>
      </c>
      <c r="D346" s="4" t="s">
        <v>38</v>
      </c>
      <c r="E346" s="5" t="n">
        <v>58837.03</v>
      </c>
      <c r="F346" s="4" t="s">
        <v>38</v>
      </c>
    </row>
    <row r="347" customFormat="false" ht="15" hidden="false" customHeight="false" outlineLevel="0" collapsed="false">
      <c r="A347" s="4" t="s">
        <v>481</v>
      </c>
      <c r="B347" s="4" t="s">
        <v>396</v>
      </c>
      <c r="C347" s="4" t="s">
        <v>94</v>
      </c>
      <c r="D347" s="4" t="s">
        <v>68</v>
      </c>
      <c r="E347" s="5" t="n">
        <v>48436.66</v>
      </c>
      <c r="F347" s="4" t="s">
        <v>17</v>
      </c>
    </row>
    <row r="348" customFormat="false" ht="15" hidden="false" customHeight="false" outlineLevel="0" collapsed="false">
      <c r="A348" s="4" t="s">
        <v>482</v>
      </c>
      <c r="B348" s="4" t="s">
        <v>400</v>
      </c>
      <c r="C348" s="4" t="s">
        <v>20</v>
      </c>
      <c r="D348" s="4" t="s">
        <v>21</v>
      </c>
      <c r="E348" s="5" t="n">
        <v>40737.8</v>
      </c>
      <c r="F348" s="4" t="s">
        <v>17</v>
      </c>
    </row>
    <row r="349" customFormat="false" ht="15" hidden="false" customHeight="false" outlineLevel="0" collapsed="false">
      <c r="A349" s="4" t="s">
        <v>483</v>
      </c>
      <c r="B349" s="4" t="s">
        <v>406</v>
      </c>
      <c r="C349" s="4" t="s">
        <v>62</v>
      </c>
      <c r="D349" s="4" t="s">
        <v>38</v>
      </c>
      <c r="E349" s="5" t="n">
        <v>3024.64</v>
      </c>
      <c r="F349" s="4" t="s">
        <v>38</v>
      </c>
    </row>
    <row r="350" customFormat="false" ht="15" hidden="false" customHeight="false" outlineLevel="0" collapsed="false">
      <c r="A350" s="4" t="s">
        <v>484</v>
      </c>
      <c r="B350" s="4" t="s">
        <v>466</v>
      </c>
      <c r="C350" s="4" t="s">
        <v>62</v>
      </c>
      <c r="D350" s="4" t="s">
        <v>38</v>
      </c>
      <c r="E350" s="5" t="n">
        <v>45967.32</v>
      </c>
      <c r="F350" s="4" t="s">
        <v>38</v>
      </c>
    </row>
    <row r="351" customFormat="false" ht="15" hidden="false" customHeight="false" outlineLevel="0" collapsed="false">
      <c r="A351" s="4" t="s">
        <v>485</v>
      </c>
      <c r="B351" s="4" t="s">
        <v>442</v>
      </c>
      <c r="C351" s="4" t="s">
        <v>24</v>
      </c>
      <c r="D351" s="4" t="s">
        <v>25</v>
      </c>
      <c r="E351" s="5" t="n">
        <v>47136.15</v>
      </c>
      <c r="F351" s="4" t="s">
        <v>17</v>
      </c>
    </row>
    <row r="352" customFormat="false" ht="15" hidden="false" customHeight="false" outlineLevel="0" collapsed="false">
      <c r="A352" s="4" t="s">
        <v>486</v>
      </c>
      <c r="B352" s="4" t="s">
        <v>414</v>
      </c>
      <c r="C352" s="4" t="s">
        <v>41</v>
      </c>
      <c r="D352" s="4" t="s">
        <v>16</v>
      </c>
      <c r="E352" s="5" t="n">
        <v>13851.01</v>
      </c>
      <c r="F352" s="4" t="s">
        <v>17</v>
      </c>
    </row>
    <row r="353" customFormat="false" ht="15" hidden="false" customHeight="false" outlineLevel="0" collapsed="false">
      <c r="A353" s="4" t="s">
        <v>487</v>
      </c>
      <c r="B353" s="4" t="s">
        <v>400</v>
      </c>
      <c r="C353" s="4" t="s">
        <v>41</v>
      </c>
      <c r="D353" s="4" t="s">
        <v>16</v>
      </c>
      <c r="E353" s="5" t="n">
        <v>49792.24</v>
      </c>
      <c r="F353" s="4" t="s">
        <v>17</v>
      </c>
    </row>
    <row r="354" customFormat="false" ht="15" hidden="false" customHeight="false" outlineLevel="0" collapsed="false">
      <c r="A354" s="4" t="s">
        <v>488</v>
      </c>
      <c r="B354" s="4" t="s">
        <v>442</v>
      </c>
      <c r="C354" s="4" t="s">
        <v>20</v>
      </c>
      <c r="D354" s="4" t="s">
        <v>21</v>
      </c>
      <c r="E354" s="5" t="n">
        <v>32779.68</v>
      </c>
      <c r="F354" s="4" t="s">
        <v>17</v>
      </c>
    </row>
    <row r="355" customFormat="false" ht="15" hidden="false" customHeight="false" outlineLevel="0" collapsed="false">
      <c r="A355" s="4" t="s">
        <v>489</v>
      </c>
      <c r="B355" s="4" t="s">
        <v>469</v>
      </c>
      <c r="C355" s="4" t="s">
        <v>45</v>
      </c>
      <c r="D355" s="4" t="s">
        <v>38</v>
      </c>
      <c r="E355" s="5" t="n">
        <v>5520.76</v>
      </c>
      <c r="F355" s="4" t="s">
        <v>38</v>
      </c>
    </row>
    <row r="356" customFormat="false" ht="15" hidden="false" customHeight="false" outlineLevel="0" collapsed="false">
      <c r="A356" s="4" t="s">
        <v>490</v>
      </c>
      <c r="B356" s="4" t="s">
        <v>422</v>
      </c>
      <c r="C356" s="4" t="s">
        <v>24</v>
      </c>
      <c r="D356" s="4" t="s">
        <v>25</v>
      </c>
      <c r="E356" s="5" t="n">
        <v>57768.21</v>
      </c>
      <c r="F356" s="4" t="s">
        <v>17</v>
      </c>
    </row>
    <row r="357" customFormat="false" ht="15" hidden="false" customHeight="false" outlineLevel="0" collapsed="false">
      <c r="A357" s="4" t="s">
        <v>491</v>
      </c>
      <c r="B357" s="4" t="s">
        <v>492</v>
      </c>
      <c r="C357" s="4" t="s">
        <v>20</v>
      </c>
      <c r="D357" s="4" t="s">
        <v>21</v>
      </c>
      <c r="E357" s="5" t="n">
        <v>46733.3</v>
      </c>
      <c r="F357" s="4" t="s">
        <v>17</v>
      </c>
    </row>
    <row r="358" customFormat="false" ht="15" hidden="false" customHeight="false" outlineLevel="0" collapsed="false">
      <c r="A358" s="4" t="s">
        <v>493</v>
      </c>
      <c r="B358" s="4" t="s">
        <v>418</v>
      </c>
      <c r="C358" s="4" t="s">
        <v>101</v>
      </c>
      <c r="D358" s="4" t="s">
        <v>33</v>
      </c>
      <c r="E358" s="5" t="n">
        <v>41381</v>
      </c>
      <c r="F358" s="4" t="s">
        <v>17</v>
      </c>
    </row>
    <row r="359" customFormat="false" ht="15" hidden="false" customHeight="false" outlineLevel="0" collapsed="false">
      <c r="A359" s="4" t="s">
        <v>494</v>
      </c>
      <c r="B359" s="4" t="s">
        <v>492</v>
      </c>
      <c r="C359" s="4" t="s">
        <v>54</v>
      </c>
      <c r="D359" s="4" t="s">
        <v>21</v>
      </c>
      <c r="E359" s="5" t="n">
        <v>28041.93</v>
      </c>
      <c r="F359" s="4" t="s">
        <v>17</v>
      </c>
    </row>
    <row r="360" customFormat="false" ht="15" hidden="false" customHeight="false" outlineLevel="0" collapsed="false">
      <c r="A360" s="4" t="s">
        <v>495</v>
      </c>
      <c r="B360" s="4" t="s">
        <v>464</v>
      </c>
      <c r="C360" s="4" t="s">
        <v>32</v>
      </c>
      <c r="D360" s="4" t="s">
        <v>33</v>
      </c>
      <c r="E360" s="5" t="n">
        <v>39404.03</v>
      </c>
      <c r="F360" s="4" t="s">
        <v>17</v>
      </c>
    </row>
    <row r="361" customFormat="false" ht="15" hidden="false" customHeight="false" outlineLevel="0" collapsed="false">
      <c r="A361" s="4" t="s">
        <v>496</v>
      </c>
      <c r="B361" s="4" t="s">
        <v>420</v>
      </c>
      <c r="C361" s="4" t="s">
        <v>32</v>
      </c>
      <c r="D361" s="4" t="s">
        <v>33</v>
      </c>
      <c r="E361" s="5" t="n">
        <v>34216.95</v>
      </c>
      <c r="F361" s="4" t="s">
        <v>17</v>
      </c>
    </row>
    <row r="362" customFormat="false" ht="15" hidden="false" customHeight="false" outlineLevel="0" collapsed="false">
      <c r="A362" s="4" t="s">
        <v>497</v>
      </c>
      <c r="B362" s="4" t="s">
        <v>498</v>
      </c>
      <c r="C362" s="4" t="s">
        <v>62</v>
      </c>
      <c r="D362" s="4" t="s">
        <v>38</v>
      </c>
      <c r="E362" s="5" t="n">
        <v>41281.74</v>
      </c>
      <c r="F362" s="4" t="s">
        <v>38</v>
      </c>
    </row>
    <row r="363" customFormat="false" ht="15" hidden="false" customHeight="false" outlineLevel="0" collapsed="false">
      <c r="A363" s="4" t="s">
        <v>499</v>
      </c>
      <c r="B363" s="4" t="s">
        <v>428</v>
      </c>
      <c r="C363" s="4" t="s">
        <v>20</v>
      </c>
      <c r="D363" s="4" t="s">
        <v>21</v>
      </c>
      <c r="E363" s="5" t="n">
        <v>65698.61</v>
      </c>
      <c r="F363" s="4" t="s">
        <v>17</v>
      </c>
    </row>
    <row r="364" customFormat="false" ht="15" hidden="false" customHeight="false" outlineLevel="0" collapsed="false">
      <c r="A364" s="4" t="s">
        <v>500</v>
      </c>
      <c r="B364" s="4" t="s">
        <v>398</v>
      </c>
      <c r="C364" s="4" t="s">
        <v>15</v>
      </c>
      <c r="D364" s="4" t="s">
        <v>16</v>
      </c>
      <c r="E364" s="5" t="n">
        <v>48042.2</v>
      </c>
      <c r="F364" s="4" t="s">
        <v>17</v>
      </c>
    </row>
    <row r="365" customFormat="false" ht="15" hidden="false" customHeight="false" outlineLevel="0" collapsed="false">
      <c r="A365" s="4" t="s">
        <v>501</v>
      </c>
      <c r="B365" s="4" t="s">
        <v>409</v>
      </c>
      <c r="C365" s="4" t="s">
        <v>32</v>
      </c>
      <c r="D365" s="4" t="s">
        <v>33</v>
      </c>
      <c r="E365" s="5" t="n">
        <v>34632.25</v>
      </c>
      <c r="F365" s="4" t="s">
        <v>17</v>
      </c>
    </row>
    <row r="366" customFormat="false" ht="15" hidden="false" customHeight="false" outlineLevel="0" collapsed="false">
      <c r="A366" s="4" t="s">
        <v>502</v>
      </c>
      <c r="B366" s="4" t="s">
        <v>422</v>
      </c>
      <c r="C366" s="4" t="s">
        <v>45</v>
      </c>
      <c r="D366" s="4" t="s">
        <v>38</v>
      </c>
      <c r="E366" s="5" t="n">
        <v>2097.27</v>
      </c>
      <c r="F366" s="4" t="s">
        <v>38</v>
      </c>
    </row>
    <row r="367" customFormat="false" ht="15" hidden="false" customHeight="false" outlineLevel="0" collapsed="false">
      <c r="A367" s="4" t="s">
        <v>503</v>
      </c>
      <c r="B367" s="4" t="s">
        <v>424</v>
      </c>
      <c r="C367" s="4" t="s">
        <v>20</v>
      </c>
      <c r="D367" s="4" t="s">
        <v>21</v>
      </c>
      <c r="E367" s="5" t="n">
        <v>53270.35</v>
      </c>
      <c r="F367" s="4" t="s">
        <v>17</v>
      </c>
    </row>
    <row r="368" customFormat="false" ht="15" hidden="false" customHeight="false" outlineLevel="0" collapsed="false">
      <c r="A368" s="4" t="s">
        <v>504</v>
      </c>
      <c r="B368" s="4" t="s">
        <v>466</v>
      </c>
      <c r="C368" s="4" t="s">
        <v>45</v>
      </c>
      <c r="D368" s="4" t="s">
        <v>38</v>
      </c>
      <c r="E368" s="5" t="n">
        <v>39988.84</v>
      </c>
      <c r="F368" s="4" t="s">
        <v>38</v>
      </c>
    </row>
    <row r="369" customFormat="false" ht="15" hidden="false" customHeight="false" outlineLevel="0" collapsed="false">
      <c r="A369" s="4" t="s">
        <v>505</v>
      </c>
      <c r="B369" s="4" t="s">
        <v>466</v>
      </c>
      <c r="C369" s="4" t="s">
        <v>41</v>
      </c>
      <c r="D369" s="4" t="s">
        <v>16</v>
      </c>
      <c r="E369" s="5" t="n">
        <v>43259.91</v>
      </c>
      <c r="F369" s="4" t="s">
        <v>17</v>
      </c>
    </row>
    <row r="370" customFormat="false" ht="15" hidden="false" customHeight="false" outlineLevel="0" collapsed="false">
      <c r="A370" s="4" t="s">
        <v>506</v>
      </c>
      <c r="B370" s="4" t="s">
        <v>416</v>
      </c>
      <c r="C370" s="4" t="s">
        <v>67</v>
      </c>
      <c r="D370" s="4" t="s">
        <v>68</v>
      </c>
      <c r="E370" s="5" t="n">
        <v>57693.98</v>
      </c>
      <c r="F370" s="4" t="s">
        <v>17</v>
      </c>
    </row>
    <row r="371" customFormat="false" ht="15" hidden="false" customHeight="false" outlineLevel="0" collapsed="false">
      <c r="A371" s="4" t="s">
        <v>507</v>
      </c>
      <c r="B371" s="4" t="s">
        <v>404</v>
      </c>
      <c r="C371" s="4" t="s">
        <v>15</v>
      </c>
      <c r="D371" s="4" t="s">
        <v>16</v>
      </c>
      <c r="E371" s="5" t="n">
        <v>60448.77</v>
      </c>
      <c r="F371" s="4" t="s">
        <v>17</v>
      </c>
    </row>
    <row r="372" customFormat="false" ht="15" hidden="false" customHeight="false" outlineLevel="0" collapsed="false">
      <c r="A372" s="4" t="s">
        <v>508</v>
      </c>
      <c r="B372" s="4" t="s">
        <v>396</v>
      </c>
      <c r="C372" s="4" t="s">
        <v>67</v>
      </c>
      <c r="D372" s="4" t="s">
        <v>68</v>
      </c>
      <c r="E372" s="5" t="n">
        <v>19277.32</v>
      </c>
      <c r="F372" s="4" t="s">
        <v>17</v>
      </c>
    </row>
    <row r="373" customFormat="false" ht="15" hidden="false" customHeight="false" outlineLevel="0" collapsed="false">
      <c r="A373" s="4" t="s">
        <v>509</v>
      </c>
      <c r="B373" s="4" t="s">
        <v>409</v>
      </c>
      <c r="C373" s="4" t="s">
        <v>41</v>
      </c>
      <c r="D373" s="4" t="s">
        <v>16</v>
      </c>
      <c r="E373" s="5" t="n">
        <v>65713.59</v>
      </c>
      <c r="F373" s="4" t="s">
        <v>17</v>
      </c>
    </row>
    <row r="374" customFormat="false" ht="15" hidden="false" customHeight="false" outlineLevel="0" collapsed="false">
      <c r="A374" s="4" t="s">
        <v>510</v>
      </c>
      <c r="B374" s="4" t="s">
        <v>511</v>
      </c>
      <c r="C374" s="4" t="s">
        <v>20</v>
      </c>
      <c r="D374" s="4" t="s">
        <v>21</v>
      </c>
      <c r="E374" s="5" t="n">
        <v>46768.57</v>
      </c>
      <c r="F374" s="4" t="s">
        <v>17</v>
      </c>
    </row>
    <row r="375" customFormat="false" ht="15" hidden="false" customHeight="false" outlineLevel="0" collapsed="false">
      <c r="A375" s="4" t="s">
        <v>512</v>
      </c>
      <c r="B375" s="4" t="s">
        <v>513</v>
      </c>
      <c r="C375" s="4" t="s">
        <v>45</v>
      </c>
      <c r="D375" s="4" t="s">
        <v>38</v>
      </c>
      <c r="E375" s="5" t="n">
        <v>36805.39</v>
      </c>
      <c r="F375" s="4" t="s">
        <v>38</v>
      </c>
    </row>
    <row r="376" customFormat="false" ht="15" hidden="false" customHeight="false" outlineLevel="0" collapsed="false">
      <c r="A376" s="4" t="s">
        <v>514</v>
      </c>
      <c r="B376" s="4" t="s">
        <v>515</v>
      </c>
      <c r="C376" s="4" t="s">
        <v>20</v>
      </c>
      <c r="D376" s="4" t="s">
        <v>21</v>
      </c>
      <c r="E376" s="5" t="n">
        <v>65937.52</v>
      </c>
      <c r="F376" s="4" t="s">
        <v>17</v>
      </c>
    </row>
    <row r="377" customFormat="false" ht="15" hidden="false" customHeight="false" outlineLevel="0" collapsed="false">
      <c r="A377" s="4" t="s">
        <v>516</v>
      </c>
      <c r="B377" s="4" t="s">
        <v>517</v>
      </c>
      <c r="C377" s="4" t="s">
        <v>41</v>
      </c>
      <c r="D377" s="4" t="s">
        <v>16</v>
      </c>
      <c r="E377" s="5" t="n">
        <v>16661.87</v>
      </c>
      <c r="F377" s="4" t="s">
        <v>17</v>
      </c>
    </row>
    <row r="378" customFormat="false" ht="15" hidden="false" customHeight="false" outlineLevel="0" collapsed="false">
      <c r="A378" s="4" t="s">
        <v>518</v>
      </c>
      <c r="B378" s="4" t="s">
        <v>519</v>
      </c>
      <c r="C378" s="4" t="s">
        <v>62</v>
      </c>
      <c r="D378" s="4" t="s">
        <v>38</v>
      </c>
      <c r="E378" s="5" t="n">
        <v>32252.27</v>
      </c>
      <c r="F378" s="4" t="s">
        <v>38</v>
      </c>
    </row>
    <row r="379" customFormat="false" ht="15" hidden="false" customHeight="false" outlineLevel="0" collapsed="false">
      <c r="A379" s="4" t="s">
        <v>520</v>
      </c>
      <c r="B379" s="4" t="s">
        <v>521</v>
      </c>
      <c r="C379" s="4" t="s">
        <v>62</v>
      </c>
      <c r="D379" s="4" t="s">
        <v>38</v>
      </c>
      <c r="E379" s="5" t="n">
        <v>45385.62</v>
      </c>
      <c r="F379" s="4" t="s">
        <v>38</v>
      </c>
    </row>
    <row r="380" customFormat="false" ht="15" hidden="false" customHeight="false" outlineLevel="0" collapsed="false">
      <c r="A380" s="4" t="s">
        <v>522</v>
      </c>
      <c r="B380" s="4" t="s">
        <v>511</v>
      </c>
      <c r="C380" s="4" t="s">
        <v>24</v>
      </c>
      <c r="D380" s="4" t="s">
        <v>25</v>
      </c>
      <c r="E380" s="5" t="n">
        <v>1981.38</v>
      </c>
      <c r="F380" s="4" t="s">
        <v>17</v>
      </c>
    </row>
    <row r="381" customFormat="false" ht="15" hidden="false" customHeight="false" outlineLevel="0" collapsed="false">
      <c r="A381" s="4" t="s">
        <v>523</v>
      </c>
      <c r="B381" s="4" t="s">
        <v>524</v>
      </c>
      <c r="C381" s="4" t="s">
        <v>94</v>
      </c>
      <c r="D381" s="4" t="s">
        <v>68</v>
      </c>
      <c r="E381" s="5" t="n">
        <v>42742.71</v>
      </c>
      <c r="F381" s="4" t="s">
        <v>17</v>
      </c>
    </row>
    <row r="382" customFormat="false" ht="15" hidden="false" customHeight="false" outlineLevel="0" collapsed="false">
      <c r="A382" s="4" t="s">
        <v>525</v>
      </c>
      <c r="B382" s="4" t="s">
        <v>526</v>
      </c>
      <c r="C382" s="4" t="s">
        <v>101</v>
      </c>
      <c r="D382" s="4" t="s">
        <v>33</v>
      </c>
      <c r="E382" s="5" t="n">
        <v>35685.84</v>
      </c>
      <c r="F382" s="4" t="s">
        <v>17</v>
      </c>
    </row>
    <row r="383" customFormat="false" ht="15" hidden="false" customHeight="false" outlineLevel="0" collapsed="false">
      <c r="A383" s="4" t="s">
        <v>527</v>
      </c>
      <c r="B383" s="4" t="s">
        <v>528</v>
      </c>
      <c r="C383" s="4" t="s">
        <v>41</v>
      </c>
      <c r="D383" s="4" t="s">
        <v>16</v>
      </c>
      <c r="E383" s="5" t="n">
        <v>14077.96</v>
      </c>
      <c r="F383" s="4" t="s">
        <v>17</v>
      </c>
    </row>
    <row r="384" customFormat="false" ht="15" hidden="false" customHeight="false" outlineLevel="0" collapsed="false">
      <c r="A384" s="4" t="s">
        <v>529</v>
      </c>
      <c r="B384" s="4" t="s">
        <v>530</v>
      </c>
      <c r="C384" s="4" t="s">
        <v>45</v>
      </c>
      <c r="D384" s="4" t="s">
        <v>38</v>
      </c>
      <c r="E384" s="5" t="n">
        <v>38346.39</v>
      </c>
      <c r="F384" s="4" t="s">
        <v>38</v>
      </c>
    </row>
    <row r="385" customFormat="false" ht="15" hidden="false" customHeight="false" outlineLevel="0" collapsed="false">
      <c r="A385" s="4" t="s">
        <v>531</v>
      </c>
      <c r="B385" s="4" t="s">
        <v>532</v>
      </c>
      <c r="C385" s="4" t="s">
        <v>20</v>
      </c>
      <c r="D385" s="4" t="s">
        <v>21</v>
      </c>
      <c r="E385" s="5" t="n">
        <v>17783.07</v>
      </c>
      <c r="F385" s="4" t="s">
        <v>17</v>
      </c>
    </row>
    <row r="386" customFormat="false" ht="15" hidden="false" customHeight="false" outlineLevel="0" collapsed="false">
      <c r="A386" s="4" t="s">
        <v>533</v>
      </c>
      <c r="B386" s="4" t="s">
        <v>513</v>
      </c>
      <c r="C386" s="4" t="s">
        <v>67</v>
      </c>
      <c r="D386" s="4" t="s">
        <v>68</v>
      </c>
      <c r="E386" s="5" t="n">
        <v>54938.64</v>
      </c>
      <c r="F386" s="4" t="s">
        <v>17</v>
      </c>
    </row>
    <row r="387" customFormat="false" ht="15" hidden="false" customHeight="false" outlineLevel="0" collapsed="false">
      <c r="A387" s="4" t="s">
        <v>534</v>
      </c>
      <c r="B387" s="4" t="s">
        <v>535</v>
      </c>
      <c r="C387" s="4" t="s">
        <v>32</v>
      </c>
      <c r="D387" s="4" t="s">
        <v>33</v>
      </c>
      <c r="E387" s="5" t="n">
        <v>50667.25</v>
      </c>
      <c r="F387" s="4" t="s">
        <v>17</v>
      </c>
    </row>
    <row r="388" customFormat="false" ht="15" hidden="false" customHeight="false" outlineLevel="0" collapsed="false">
      <c r="A388" s="4" t="s">
        <v>536</v>
      </c>
      <c r="B388" s="4" t="s">
        <v>517</v>
      </c>
      <c r="C388" s="4" t="s">
        <v>67</v>
      </c>
      <c r="D388" s="4" t="s">
        <v>68</v>
      </c>
      <c r="E388" s="5" t="n">
        <v>34247.78</v>
      </c>
      <c r="F388" s="4" t="s">
        <v>17</v>
      </c>
    </row>
    <row r="389" customFormat="false" ht="15" hidden="false" customHeight="false" outlineLevel="0" collapsed="false">
      <c r="A389" s="4" t="s">
        <v>537</v>
      </c>
      <c r="B389" s="4" t="s">
        <v>517</v>
      </c>
      <c r="C389" s="4" t="s">
        <v>62</v>
      </c>
      <c r="D389" s="4" t="s">
        <v>38</v>
      </c>
      <c r="E389" s="5" t="n">
        <v>51116.49</v>
      </c>
      <c r="F389" s="4" t="s">
        <v>38</v>
      </c>
    </row>
    <row r="390" customFormat="false" ht="15" hidden="false" customHeight="false" outlineLevel="0" collapsed="false">
      <c r="A390" s="4" t="s">
        <v>538</v>
      </c>
      <c r="B390" s="4" t="s">
        <v>513</v>
      </c>
      <c r="C390" s="4" t="s">
        <v>94</v>
      </c>
      <c r="D390" s="4" t="s">
        <v>68</v>
      </c>
      <c r="E390" s="5" t="n">
        <v>64552.99</v>
      </c>
      <c r="F390" s="4" t="s">
        <v>17</v>
      </c>
    </row>
    <row r="391" customFormat="false" ht="15" hidden="false" customHeight="false" outlineLevel="0" collapsed="false">
      <c r="A391" s="4" t="s">
        <v>539</v>
      </c>
      <c r="B391" s="4" t="s">
        <v>532</v>
      </c>
      <c r="C391" s="4" t="s">
        <v>41</v>
      </c>
      <c r="D391" s="4" t="s">
        <v>16</v>
      </c>
      <c r="E391" s="5" t="n">
        <v>38129.92</v>
      </c>
      <c r="F391" s="4" t="s">
        <v>17</v>
      </c>
    </row>
    <row r="392" customFormat="false" ht="15" hidden="false" customHeight="false" outlineLevel="0" collapsed="false">
      <c r="A392" s="4" t="s">
        <v>540</v>
      </c>
      <c r="B392" s="4" t="s">
        <v>541</v>
      </c>
      <c r="C392" s="4" t="s">
        <v>36</v>
      </c>
      <c r="D392" s="4" t="s">
        <v>37</v>
      </c>
      <c r="E392" s="5" t="n">
        <v>61416.5</v>
      </c>
      <c r="F392" s="4" t="s">
        <v>38</v>
      </c>
    </row>
    <row r="393" customFormat="false" ht="15" hidden="false" customHeight="false" outlineLevel="0" collapsed="false">
      <c r="A393" s="4" t="s">
        <v>542</v>
      </c>
      <c r="B393" s="4" t="s">
        <v>543</v>
      </c>
      <c r="C393" s="4" t="s">
        <v>36</v>
      </c>
      <c r="D393" s="4" t="s">
        <v>37</v>
      </c>
      <c r="E393" s="5" t="n">
        <v>15838.2</v>
      </c>
      <c r="F393" s="4" t="s">
        <v>38</v>
      </c>
    </row>
    <row r="394" customFormat="false" ht="15" hidden="false" customHeight="false" outlineLevel="0" collapsed="false">
      <c r="A394" s="4" t="s">
        <v>544</v>
      </c>
      <c r="B394" s="4" t="s">
        <v>545</v>
      </c>
      <c r="C394" s="4" t="s">
        <v>101</v>
      </c>
      <c r="D394" s="4" t="s">
        <v>33</v>
      </c>
      <c r="E394" s="5" t="n">
        <v>66119.23</v>
      </c>
      <c r="F394" s="4" t="s">
        <v>17</v>
      </c>
    </row>
    <row r="395" customFormat="false" ht="15" hidden="false" customHeight="false" outlineLevel="0" collapsed="false">
      <c r="A395" s="4" t="s">
        <v>546</v>
      </c>
      <c r="B395" s="4" t="s">
        <v>547</v>
      </c>
      <c r="C395" s="4" t="s">
        <v>45</v>
      </c>
      <c r="D395" s="4" t="s">
        <v>38</v>
      </c>
      <c r="E395" s="5" t="n">
        <v>43151.17</v>
      </c>
      <c r="F395" s="4" t="s">
        <v>38</v>
      </c>
    </row>
    <row r="396" customFormat="false" ht="15" hidden="false" customHeight="false" outlineLevel="0" collapsed="false">
      <c r="A396" s="4" t="s">
        <v>548</v>
      </c>
      <c r="B396" s="4" t="s">
        <v>521</v>
      </c>
      <c r="C396" s="4" t="s">
        <v>67</v>
      </c>
      <c r="D396" s="4" t="s">
        <v>68</v>
      </c>
      <c r="E396" s="5" t="n">
        <v>1837.75</v>
      </c>
      <c r="F396" s="4" t="s">
        <v>17</v>
      </c>
    </row>
    <row r="397" customFormat="false" ht="15" hidden="false" customHeight="false" outlineLevel="0" collapsed="false">
      <c r="A397" s="4" t="s">
        <v>549</v>
      </c>
      <c r="B397" s="4" t="s">
        <v>526</v>
      </c>
      <c r="C397" s="4" t="s">
        <v>62</v>
      </c>
      <c r="D397" s="4" t="s">
        <v>38</v>
      </c>
      <c r="E397" s="5" t="n">
        <v>11775.25</v>
      </c>
      <c r="F397" s="4" t="s">
        <v>38</v>
      </c>
    </row>
    <row r="398" customFormat="false" ht="15" hidden="false" customHeight="false" outlineLevel="0" collapsed="false">
      <c r="A398" s="4" t="s">
        <v>550</v>
      </c>
      <c r="B398" s="4" t="s">
        <v>551</v>
      </c>
      <c r="C398" s="4" t="s">
        <v>36</v>
      </c>
      <c r="D398" s="4" t="s">
        <v>37</v>
      </c>
      <c r="E398" s="5" t="n">
        <v>53452.32</v>
      </c>
      <c r="F398" s="4" t="s">
        <v>38</v>
      </c>
    </row>
    <row r="399" customFormat="false" ht="15" hidden="false" customHeight="false" outlineLevel="0" collapsed="false">
      <c r="A399" s="4" t="s">
        <v>552</v>
      </c>
      <c r="B399" s="4" t="s">
        <v>543</v>
      </c>
      <c r="C399" s="4" t="s">
        <v>54</v>
      </c>
      <c r="D399" s="4" t="s">
        <v>21</v>
      </c>
      <c r="E399" s="5" t="n">
        <v>25546.6</v>
      </c>
      <c r="F399" s="4" t="s">
        <v>17</v>
      </c>
    </row>
    <row r="400" customFormat="false" ht="15" hidden="false" customHeight="false" outlineLevel="0" collapsed="false">
      <c r="A400" s="4" t="s">
        <v>553</v>
      </c>
      <c r="B400" s="4" t="s">
        <v>554</v>
      </c>
      <c r="C400" s="4" t="s">
        <v>24</v>
      </c>
      <c r="D400" s="4" t="s">
        <v>25</v>
      </c>
      <c r="E400" s="5" t="n">
        <v>4011.32</v>
      </c>
      <c r="F400" s="4" t="s">
        <v>17</v>
      </c>
    </row>
    <row r="401" customFormat="false" ht="15" hidden="false" customHeight="false" outlineLevel="0" collapsed="false">
      <c r="A401" s="4" t="s">
        <v>555</v>
      </c>
      <c r="B401" s="4" t="s">
        <v>532</v>
      </c>
      <c r="C401" s="4" t="s">
        <v>36</v>
      </c>
      <c r="D401" s="4" t="s">
        <v>37</v>
      </c>
      <c r="E401" s="5" t="n">
        <v>64514.14</v>
      </c>
      <c r="F401" s="4" t="s">
        <v>38</v>
      </c>
    </row>
    <row r="402" customFormat="false" ht="15" hidden="false" customHeight="false" outlineLevel="0" collapsed="false">
      <c r="A402" s="4" t="s">
        <v>556</v>
      </c>
      <c r="B402" s="4" t="s">
        <v>543</v>
      </c>
      <c r="C402" s="4" t="s">
        <v>36</v>
      </c>
      <c r="D402" s="4" t="s">
        <v>37</v>
      </c>
      <c r="E402" s="5" t="n">
        <v>28246.66</v>
      </c>
      <c r="F402" s="4" t="s">
        <v>38</v>
      </c>
    </row>
    <row r="403" customFormat="false" ht="15" hidden="false" customHeight="false" outlineLevel="0" collapsed="false">
      <c r="A403" s="4" t="s">
        <v>557</v>
      </c>
      <c r="B403" s="4" t="s">
        <v>526</v>
      </c>
      <c r="C403" s="4" t="s">
        <v>32</v>
      </c>
      <c r="D403" s="4" t="s">
        <v>33</v>
      </c>
      <c r="E403" s="5" t="n">
        <v>2918.5</v>
      </c>
      <c r="F403" s="4" t="s">
        <v>17</v>
      </c>
    </row>
    <row r="404" customFormat="false" ht="15" hidden="false" customHeight="false" outlineLevel="0" collapsed="false">
      <c r="A404" s="4" t="s">
        <v>558</v>
      </c>
      <c r="B404" s="4" t="s">
        <v>547</v>
      </c>
      <c r="C404" s="4" t="s">
        <v>101</v>
      </c>
      <c r="D404" s="4" t="s">
        <v>33</v>
      </c>
      <c r="E404" s="5" t="n">
        <v>62031.92</v>
      </c>
      <c r="F404" s="4" t="s">
        <v>17</v>
      </c>
    </row>
    <row r="405" customFormat="false" ht="15" hidden="false" customHeight="false" outlineLevel="0" collapsed="false">
      <c r="A405" s="4" t="s">
        <v>559</v>
      </c>
      <c r="B405" s="4" t="s">
        <v>560</v>
      </c>
      <c r="C405" s="4" t="s">
        <v>67</v>
      </c>
      <c r="D405" s="4" t="s">
        <v>68</v>
      </c>
      <c r="E405" s="5" t="n">
        <v>24949.51</v>
      </c>
      <c r="F405" s="4" t="s">
        <v>17</v>
      </c>
    </row>
    <row r="406" customFormat="false" ht="15" hidden="false" customHeight="false" outlineLevel="0" collapsed="false">
      <c r="A406" s="4" t="s">
        <v>561</v>
      </c>
      <c r="B406" s="4" t="s">
        <v>526</v>
      </c>
      <c r="C406" s="4" t="s">
        <v>32</v>
      </c>
      <c r="D406" s="4" t="s">
        <v>33</v>
      </c>
      <c r="E406" s="5" t="n">
        <v>3451.88</v>
      </c>
      <c r="F406" s="4" t="s">
        <v>17</v>
      </c>
    </row>
    <row r="407" customFormat="false" ht="15" hidden="false" customHeight="false" outlineLevel="0" collapsed="false">
      <c r="A407" s="4" t="s">
        <v>562</v>
      </c>
      <c r="B407" s="4" t="s">
        <v>515</v>
      </c>
      <c r="C407" s="4" t="s">
        <v>24</v>
      </c>
      <c r="D407" s="4" t="s">
        <v>25</v>
      </c>
      <c r="E407" s="5" t="n">
        <v>40945.71</v>
      </c>
      <c r="F407" s="4" t="s">
        <v>17</v>
      </c>
    </row>
    <row r="408" customFormat="false" ht="15" hidden="false" customHeight="false" outlineLevel="0" collapsed="false">
      <c r="A408" s="4" t="s">
        <v>563</v>
      </c>
      <c r="B408" s="4" t="s">
        <v>515</v>
      </c>
      <c r="C408" s="4" t="s">
        <v>62</v>
      </c>
      <c r="D408" s="4" t="s">
        <v>38</v>
      </c>
      <c r="E408" s="5" t="n">
        <v>19799.37</v>
      </c>
      <c r="F408" s="4" t="s">
        <v>38</v>
      </c>
    </row>
    <row r="409" customFormat="false" ht="15" hidden="false" customHeight="false" outlineLevel="0" collapsed="false">
      <c r="A409" s="4" t="s">
        <v>564</v>
      </c>
      <c r="B409" s="4" t="s">
        <v>532</v>
      </c>
      <c r="C409" s="4" t="s">
        <v>41</v>
      </c>
      <c r="D409" s="4" t="s">
        <v>16</v>
      </c>
      <c r="E409" s="5" t="n">
        <v>54986.65</v>
      </c>
      <c r="F409" s="4" t="s">
        <v>17</v>
      </c>
    </row>
    <row r="410" customFormat="false" ht="15" hidden="false" customHeight="false" outlineLevel="0" collapsed="false">
      <c r="A410" s="4" t="s">
        <v>565</v>
      </c>
      <c r="B410" s="4" t="s">
        <v>566</v>
      </c>
      <c r="C410" s="4" t="s">
        <v>45</v>
      </c>
      <c r="D410" s="4" t="s">
        <v>38</v>
      </c>
      <c r="E410" s="5" t="n">
        <v>15363.94</v>
      </c>
      <c r="F410" s="4" t="s">
        <v>38</v>
      </c>
    </row>
    <row r="411" customFormat="false" ht="15" hidden="false" customHeight="false" outlineLevel="0" collapsed="false">
      <c r="A411" s="4" t="s">
        <v>567</v>
      </c>
      <c r="B411" s="4" t="s">
        <v>528</v>
      </c>
      <c r="C411" s="4" t="s">
        <v>41</v>
      </c>
      <c r="D411" s="4" t="s">
        <v>16</v>
      </c>
      <c r="E411" s="5" t="n">
        <v>9312.09</v>
      </c>
      <c r="F411" s="4" t="s">
        <v>17</v>
      </c>
    </row>
    <row r="412" customFormat="false" ht="15" hidden="false" customHeight="false" outlineLevel="0" collapsed="false">
      <c r="A412" s="4" t="s">
        <v>568</v>
      </c>
      <c r="B412" s="4" t="s">
        <v>543</v>
      </c>
      <c r="C412" s="4" t="s">
        <v>24</v>
      </c>
      <c r="D412" s="4" t="s">
        <v>25</v>
      </c>
      <c r="E412" s="5" t="n">
        <v>42015.65</v>
      </c>
      <c r="F412" s="4" t="s">
        <v>17</v>
      </c>
    </row>
    <row r="413" customFormat="false" ht="15" hidden="false" customHeight="false" outlineLevel="0" collapsed="false">
      <c r="A413" s="4" t="s">
        <v>569</v>
      </c>
      <c r="B413" s="4" t="s">
        <v>570</v>
      </c>
      <c r="C413" s="4" t="s">
        <v>15</v>
      </c>
      <c r="D413" s="4" t="s">
        <v>16</v>
      </c>
      <c r="E413" s="5" t="n">
        <v>38635.34</v>
      </c>
      <c r="F413" s="4" t="s">
        <v>17</v>
      </c>
    </row>
    <row r="414" customFormat="false" ht="15" hidden="false" customHeight="false" outlineLevel="0" collapsed="false">
      <c r="A414" s="4" t="s">
        <v>571</v>
      </c>
      <c r="B414" s="4" t="s">
        <v>554</v>
      </c>
      <c r="C414" s="4" t="s">
        <v>41</v>
      </c>
      <c r="D414" s="4" t="s">
        <v>16</v>
      </c>
      <c r="E414" s="5" t="n">
        <v>2962.44</v>
      </c>
      <c r="F414" s="4" t="s">
        <v>17</v>
      </c>
    </row>
    <row r="415" customFormat="false" ht="15" hidden="false" customHeight="false" outlineLevel="0" collapsed="false">
      <c r="A415" s="4" t="s">
        <v>572</v>
      </c>
      <c r="B415" s="4" t="s">
        <v>573</v>
      </c>
      <c r="C415" s="4" t="s">
        <v>32</v>
      </c>
      <c r="D415" s="4" t="s">
        <v>33</v>
      </c>
      <c r="E415" s="5" t="n">
        <v>6712.67</v>
      </c>
      <c r="F415" s="4" t="s">
        <v>17</v>
      </c>
    </row>
    <row r="416" customFormat="false" ht="15" hidden="false" customHeight="false" outlineLevel="0" collapsed="false">
      <c r="A416" s="4" t="s">
        <v>574</v>
      </c>
      <c r="B416" s="4" t="s">
        <v>575</v>
      </c>
      <c r="C416" s="4" t="s">
        <v>101</v>
      </c>
      <c r="D416" s="4" t="s">
        <v>33</v>
      </c>
      <c r="E416" s="5" t="n">
        <v>48035.59</v>
      </c>
      <c r="F416" s="4" t="s">
        <v>17</v>
      </c>
    </row>
    <row r="417" customFormat="false" ht="15" hidden="false" customHeight="false" outlineLevel="0" collapsed="false">
      <c r="A417" s="4" t="s">
        <v>576</v>
      </c>
      <c r="B417" s="4" t="s">
        <v>517</v>
      </c>
      <c r="C417" s="4" t="s">
        <v>54</v>
      </c>
      <c r="D417" s="4" t="s">
        <v>21</v>
      </c>
      <c r="E417" s="5" t="n">
        <v>58312.51</v>
      </c>
      <c r="F417" s="4" t="s">
        <v>17</v>
      </c>
    </row>
    <row r="418" customFormat="false" ht="15" hidden="false" customHeight="false" outlineLevel="0" collapsed="false">
      <c r="A418" s="4" t="s">
        <v>577</v>
      </c>
      <c r="B418" s="4" t="s">
        <v>545</v>
      </c>
      <c r="C418" s="4" t="s">
        <v>101</v>
      </c>
      <c r="D418" s="4" t="s">
        <v>33</v>
      </c>
      <c r="E418" s="5" t="n">
        <v>55215.22</v>
      </c>
      <c r="F418" s="4" t="s">
        <v>17</v>
      </c>
    </row>
    <row r="419" customFormat="false" ht="15" hidden="false" customHeight="false" outlineLevel="0" collapsed="false">
      <c r="A419" s="4" t="s">
        <v>578</v>
      </c>
      <c r="B419" s="4" t="s">
        <v>551</v>
      </c>
      <c r="C419" s="4" t="s">
        <v>94</v>
      </c>
      <c r="D419" s="4" t="s">
        <v>68</v>
      </c>
      <c r="E419" s="5" t="n">
        <v>36634.98</v>
      </c>
      <c r="F419" s="4" t="s">
        <v>17</v>
      </c>
    </row>
    <row r="420" customFormat="false" ht="15" hidden="false" customHeight="false" outlineLevel="0" collapsed="false">
      <c r="A420" s="4" t="s">
        <v>579</v>
      </c>
      <c r="B420" s="4" t="s">
        <v>580</v>
      </c>
      <c r="C420" s="4" t="s">
        <v>54</v>
      </c>
      <c r="D420" s="4" t="s">
        <v>21</v>
      </c>
      <c r="E420" s="5" t="n">
        <v>3663.42</v>
      </c>
      <c r="F420" s="4" t="s">
        <v>17</v>
      </c>
    </row>
    <row r="421" customFormat="false" ht="15" hidden="false" customHeight="false" outlineLevel="0" collapsed="false">
      <c r="A421" s="4" t="s">
        <v>581</v>
      </c>
      <c r="B421" s="4" t="s">
        <v>547</v>
      </c>
      <c r="C421" s="4" t="s">
        <v>41</v>
      </c>
      <c r="D421" s="4" t="s">
        <v>16</v>
      </c>
      <c r="E421" s="5" t="n">
        <v>61984.64</v>
      </c>
      <c r="F421" s="4" t="s">
        <v>17</v>
      </c>
    </row>
    <row r="422" customFormat="false" ht="15" hidden="false" customHeight="false" outlineLevel="0" collapsed="false">
      <c r="A422" s="4" t="s">
        <v>582</v>
      </c>
      <c r="B422" s="4" t="s">
        <v>521</v>
      </c>
      <c r="C422" s="4" t="s">
        <v>94</v>
      </c>
      <c r="D422" s="4" t="s">
        <v>68</v>
      </c>
      <c r="E422" s="5" t="n">
        <v>36790.66</v>
      </c>
      <c r="F422" s="4" t="s">
        <v>17</v>
      </c>
    </row>
    <row r="423" customFormat="false" ht="15" hidden="false" customHeight="false" outlineLevel="0" collapsed="false">
      <c r="A423" s="4" t="s">
        <v>583</v>
      </c>
      <c r="B423" s="4" t="s">
        <v>517</v>
      </c>
      <c r="C423" s="4" t="s">
        <v>45</v>
      </c>
      <c r="D423" s="4" t="s">
        <v>38</v>
      </c>
      <c r="E423" s="5" t="n">
        <v>15964.72</v>
      </c>
      <c r="F423" s="4" t="s">
        <v>38</v>
      </c>
    </row>
    <row r="424" customFormat="false" ht="15" hidden="false" customHeight="false" outlineLevel="0" collapsed="false">
      <c r="A424" s="4" t="s">
        <v>584</v>
      </c>
      <c r="B424" s="4" t="s">
        <v>530</v>
      </c>
      <c r="C424" s="4" t="s">
        <v>62</v>
      </c>
      <c r="D424" s="4" t="s">
        <v>38</v>
      </c>
      <c r="E424" s="5" t="n">
        <v>30990.42</v>
      </c>
      <c r="F424" s="4" t="s">
        <v>38</v>
      </c>
    </row>
    <row r="425" customFormat="false" ht="15" hidden="false" customHeight="false" outlineLevel="0" collapsed="false">
      <c r="A425" s="4" t="s">
        <v>585</v>
      </c>
      <c r="B425" s="4" t="s">
        <v>543</v>
      </c>
      <c r="C425" s="4" t="s">
        <v>45</v>
      </c>
      <c r="D425" s="4" t="s">
        <v>38</v>
      </c>
      <c r="E425" s="5" t="n">
        <v>41400.2</v>
      </c>
      <c r="F425" s="4" t="s">
        <v>38</v>
      </c>
    </row>
    <row r="426" customFormat="false" ht="15" hidden="false" customHeight="false" outlineLevel="0" collapsed="false">
      <c r="A426" s="4" t="s">
        <v>586</v>
      </c>
      <c r="B426" s="4" t="s">
        <v>541</v>
      </c>
      <c r="C426" s="4" t="s">
        <v>36</v>
      </c>
      <c r="D426" s="4" t="s">
        <v>37</v>
      </c>
      <c r="E426" s="5" t="n">
        <v>55454.68</v>
      </c>
      <c r="F426" s="4" t="s">
        <v>38</v>
      </c>
    </row>
    <row r="427" customFormat="false" ht="15" hidden="false" customHeight="false" outlineLevel="0" collapsed="false">
      <c r="A427" s="4" t="s">
        <v>587</v>
      </c>
      <c r="B427" s="4" t="s">
        <v>521</v>
      </c>
      <c r="C427" s="4" t="s">
        <v>101</v>
      </c>
      <c r="D427" s="4" t="s">
        <v>33</v>
      </c>
      <c r="E427" s="5" t="n">
        <v>19514.53</v>
      </c>
      <c r="F427" s="4" t="s">
        <v>17</v>
      </c>
    </row>
    <row r="428" customFormat="false" ht="15" hidden="false" customHeight="false" outlineLevel="0" collapsed="false">
      <c r="A428" s="4" t="s">
        <v>588</v>
      </c>
      <c r="B428" s="4" t="s">
        <v>570</v>
      </c>
      <c r="C428" s="4" t="s">
        <v>62</v>
      </c>
      <c r="D428" s="4" t="s">
        <v>38</v>
      </c>
      <c r="E428" s="5" t="n">
        <v>43932.64</v>
      </c>
      <c r="F428" s="4" t="s">
        <v>38</v>
      </c>
    </row>
    <row r="429" customFormat="false" ht="15" hidden="false" customHeight="false" outlineLevel="0" collapsed="false">
      <c r="A429" s="4" t="s">
        <v>589</v>
      </c>
      <c r="B429" s="4" t="s">
        <v>551</v>
      </c>
      <c r="C429" s="4" t="s">
        <v>32</v>
      </c>
      <c r="D429" s="4" t="s">
        <v>33</v>
      </c>
      <c r="E429" s="5" t="n">
        <v>36496.74</v>
      </c>
      <c r="F429" s="4" t="s">
        <v>17</v>
      </c>
    </row>
    <row r="430" customFormat="false" ht="15" hidden="false" customHeight="false" outlineLevel="0" collapsed="false">
      <c r="A430" s="4" t="s">
        <v>590</v>
      </c>
      <c r="B430" s="4" t="s">
        <v>573</v>
      </c>
      <c r="C430" s="4" t="s">
        <v>62</v>
      </c>
      <c r="D430" s="4" t="s">
        <v>38</v>
      </c>
      <c r="E430" s="5" t="n">
        <v>58558.42</v>
      </c>
      <c r="F430" s="4" t="s">
        <v>38</v>
      </c>
    </row>
    <row r="431" customFormat="false" ht="15" hidden="false" customHeight="false" outlineLevel="0" collapsed="false">
      <c r="A431" s="4" t="s">
        <v>591</v>
      </c>
      <c r="B431" s="4" t="s">
        <v>528</v>
      </c>
      <c r="C431" s="4" t="s">
        <v>101</v>
      </c>
      <c r="D431" s="4" t="s">
        <v>33</v>
      </c>
      <c r="E431" s="5" t="n">
        <v>33820.3</v>
      </c>
      <c r="F431" s="4" t="s">
        <v>17</v>
      </c>
    </row>
    <row r="432" customFormat="false" ht="15" hidden="false" customHeight="false" outlineLevel="0" collapsed="false">
      <c r="A432" s="4" t="s">
        <v>592</v>
      </c>
      <c r="B432" s="4" t="s">
        <v>517</v>
      </c>
      <c r="C432" s="4" t="s">
        <v>24</v>
      </c>
      <c r="D432" s="4" t="s">
        <v>25</v>
      </c>
      <c r="E432" s="5" t="n">
        <v>13988.29</v>
      </c>
      <c r="F432" s="4" t="s">
        <v>17</v>
      </c>
    </row>
    <row r="433" customFormat="false" ht="15" hidden="false" customHeight="false" outlineLevel="0" collapsed="false">
      <c r="A433" s="4" t="s">
        <v>593</v>
      </c>
      <c r="B433" s="4" t="s">
        <v>513</v>
      </c>
      <c r="C433" s="4" t="s">
        <v>101</v>
      </c>
      <c r="D433" s="4" t="s">
        <v>33</v>
      </c>
      <c r="E433" s="5" t="n">
        <v>30533.29</v>
      </c>
      <c r="F433" s="4" t="s">
        <v>17</v>
      </c>
    </row>
    <row r="434" customFormat="false" ht="15" hidden="false" customHeight="false" outlineLevel="0" collapsed="false">
      <c r="A434" s="4" t="s">
        <v>594</v>
      </c>
      <c r="B434" s="4" t="s">
        <v>528</v>
      </c>
      <c r="C434" s="4" t="s">
        <v>101</v>
      </c>
      <c r="D434" s="4" t="s">
        <v>33</v>
      </c>
      <c r="E434" s="5" t="n">
        <v>40527.62</v>
      </c>
      <c r="F434" s="4" t="s">
        <v>17</v>
      </c>
    </row>
    <row r="435" customFormat="false" ht="15" hidden="false" customHeight="false" outlineLevel="0" collapsed="false">
      <c r="A435" s="4" t="s">
        <v>595</v>
      </c>
      <c r="B435" s="4" t="s">
        <v>566</v>
      </c>
      <c r="C435" s="4" t="s">
        <v>15</v>
      </c>
      <c r="D435" s="4" t="s">
        <v>16</v>
      </c>
      <c r="E435" s="5" t="n">
        <v>35045.48</v>
      </c>
      <c r="F435" s="4" t="s">
        <v>17</v>
      </c>
    </row>
    <row r="436" customFormat="false" ht="15" hidden="false" customHeight="false" outlineLevel="0" collapsed="false">
      <c r="A436" s="4" t="s">
        <v>596</v>
      </c>
      <c r="B436" s="4" t="s">
        <v>597</v>
      </c>
      <c r="C436" s="4" t="s">
        <v>62</v>
      </c>
      <c r="D436" s="4" t="s">
        <v>38</v>
      </c>
      <c r="E436" s="5" t="n">
        <v>25781.12</v>
      </c>
      <c r="F436" s="4" t="s">
        <v>38</v>
      </c>
    </row>
    <row r="437" customFormat="false" ht="15" hidden="false" customHeight="false" outlineLevel="0" collapsed="false">
      <c r="A437" s="4" t="s">
        <v>598</v>
      </c>
      <c r="B437" s="4" t="s">
        <v>517</v>
      </c>
      <c r="C437" s="4" t="s">
        <v>24</v>
      </c>
      <c r="D437" s="4" t="s">
        <v>25</v>
      </c>
      <c r="E437" s="5" t="n">
        <v>29350.38</v>
      </c>
      <c r="F437" s="4" t="s">
        <v>17</v>
      </c>
    </row>
    <row r="438" customFormat="false" ht="15" hidden="false" customHeight="false" outlineLevel="0" collapsed="false">
      <c r="A438" s="4" t="s">
        <v>599</v>
      </c>
      <c r="B438" s="4" t="s">
        <v>535</v>
      </c>
      <c r="C438" s="4" t="s">
        <v>20</v>
      </c>
      <c r="D438" s="4" t="s">
        <v>21</v>
      </c>
      <c r="E438" s="5" t="n">
        <v>45481.99</v>
      </c>
      <c r="F438" s="4" t="s">
        <v>17</v>
      </c>
    </row>
    <row r="439" customFormat="false" ht="15" hidden="false" customHeight="false" outlineLevel="0" collapsed="false">
      <c r="A439" s="4" t="s">
        <v>600</v>
      </c>
      <c r="B439" s="4" t="s">
        <v>601</v>
      </c>
      <c r="C439" s="4" t="s">
        <v>62</v>
      </c>
      <c r="D439" s="4" t="s">
        <v>38</v>
      </c>
      <c r="E439" s="5" t="n">
        <v>61700.04</v>
      </c>
      <c r="F439" s="4" t="s">
        <v>38</v>
      </c>
    </row>
    <row r="440" customFormat="false" ht="15" hidden="false" customHeight="false" outlineLevel="0" collapsed="false">
      <c r="A440" s="4" t="s">
        <v>602</v>
      </c>
      <c r="B440" s="4" t="s">
        <v>517</v>
      </c>
      <c r="C440" s="4" t="s">
        <v>41</v>
      </c>
      <c r="D440" s="4" t="s">
        <v>16</v>
      </c>
      <c r="E440" s="5" t="n">
        <v>17704.61</v>
      </c>
      <c r="F440" s="4" t="s">
        <v>17</v>
      </c>
    </row>
    <row r="441" customFormat="false" ht="15" hidden="false" customHeight="false" outlineLevel="0" collapsed="false">
      <c r="A441" s="4" t="s">
        <v>603</v>
      </c>
      <c r="B441" s="4" t="s">
        <v>541</v>
      </c>
      <c r="C441" s="4" t="s">
        <v>15</v>
      </c>
      <c r="D441" s="4" t="s">
        <v>16</v>
      </c>
      <c r="E441" s="5" t="n">
        <v>39749.97</v>
      </c>
      <c r="F441" s="4" t="s">
        <v>17</v>
      </c>
    </row>
    <row r="442" customFormat="false" ht="15" hidden="false" customHeight="false" outlineLevel="0" collapsed="false">
      <c r="A442" s="4" t="s">
        <v>604</v>
      </c>
      <c r="B442" s="4" t="s">
        <v>526</v>
      </c>
      <c r="C442" s="4" t="s">
        <v>54</v>
      </c>
      <c r="D442" s="4" t="s">
        <v>21</v>
      </c>
      <c r="E442" s="5" t="n">
        <v>58184.06</v>
      </c>
      <c r="F442" s="4" t="s">
        <v>17</v>
      </c>
    </row>
    <row r="443" customFormat="false" ht="15" hidden="false" customHeight="false" outlineLevel="0" collapsed="false">
      <c r="A443" s="4" t="s">
        <v>605</v>
      </c>
      <c r="B443" s="4" t="s">
        <v>513</v>
      </c>
      <c r="C443" s="4" t="s">
        <v>62</v>
      </c>
      <c r="D443" s="4" t="s">
        <v>38</v>
      </c>
      <c r="E443" s="5" t="n">
        <v>57690.24</v>
      </c>
      <c r="F443" s="4" t="s">
        <v>38</v>
      </c>
    </row>
    <row r="444" customFormat="false" ht="15" hidden="false" customHeight="false" outlineLevel="0" collapsed="false">
      <c r="A444" s="4" t="s">
        <v>606</v>
      </c>
      <c r="B444" s="4" t="s">
        <v>607</v>
      </c>
      <c r="C444" s="4" t="s">
        <v>54</v>
      </c>
      <c r="D444" s="4" t="s">
        <v>21</v>
      </c>
      <c r="E444" s="5" t="n">
        <v>34870.23</v>
      </c>
      <c r="F444" s="4" t="s">
        <v>17</v>
      </c>
    </row>
    <row r="445" customFormat="false" ht="15" hidden="false" customHeight="false" outlineLevel="0" collapsed="false">
      <c r="A445" s="4" t="s">
        <v>608</v>
      </c>
      <c r="B445" s="4" t="s">
        <v>570</v>
      </c>
      <c r="C445" s="4" t="s">
        <v>15</v>
      </c>
      <c r="D445" s="4" t="s">
        <v>16</v>
      </c>
      <c r="E445" s="5" t="n">
        <v>46401.27</v>
      </c>
      <c r="F445" s="4" t="s">
        <v>17</v>
      </c>
    </row>
    <row r="446" customFormat="false" ht="15" hidden="false" customHeight="false" outlineLevel="0" collapsed="false">
      <c r="A446" s="4" t="s">
        <v>609</v>
      </c>
      <c r="B446" s="4" t="s">
        <v>575</v>
      </c>
      <c r="C446" s="4" t="s">
        <v>41</v>
      </c>
      <c r="D446" s="4" t="s">
        <v>16</v>
      </c>
      <c r="E446" s="5" t="n">
        <v>56333.05</v>
      </c>
      <c r="F446" s="4" t="s">
        <v>17</v>
      </c>
    </row>
    <row r="447" customFormat="false" ht="15" hidden="false" customHeight="false" outlineLevel="0" collapsed="false">
      <c r="A447" s="4" t="s">
        <v>610</v>
      </c>
      <c r="B447" s="4" t="s">
        <v>511</v>
      </c>
      <c r="C447" s="4" t="s">
        <v>94</v>
      </c>
      <c r="D447" s="4" t="s">
        <v>68</v>
      </c>
      <c r="E447" s="5" t="n">
        <v>35581.17</v>
      </c>
      <c r="F447" s="4" t="s">
        <v>17</v>
      </c>
    </row>
    <row r="448" customFormat="false" ht="15" hidden="false" customHeight="false" outlineLevel="0" collapsed="false">
      <c r="A448" s="4" t="s">
        <v>611</v>
      </c>
      <c r="B448" s="4" t="s">
        <v>521</v>
      </c>
      <c r="C448" s="4" t="s">
        <v>36</v>
      </c>
      <c r="D448" s="4" t="s">
        <v>37</v>
      </c>
      <c r="E448" s="5" t="n">
        <v>50673.49</v>
      </c>
      <c r="F448" s="4" t="s">
        <v>38</v>
      </c>
    </row>
    <row r="449" customFormat="false" ht="15" hidden="false" customHeight="false" outlineLevel="0" collapsed="false">
      <c r="A449" s="4" t="s">
        <v>612</v>
      </c>
      <c r="B449" s="4" t="s">
        <v>517</v>
      </c>
      <c r="C449" s="4" t="s">
        <v>62</v>
      </c>
      <c r="D449" s="4" t="s">
        <v>38</v>
      </c>
      <c r="E449" s="5" t="n">
        <v>50516.77</v>
      </c>
      <c r="F449" s="4" t="s">
        <v>38</v>
      </c>
    </row>
    <row r="450" customFormat="false" ht="15" hidden="false" customHeight="false" outlineLevel="0" collapsed="false">
      <c r="A450" s="4" t="s">
        <v>613</v>
      </c>
      <c r="B450" s="4" t="s">
        <v>513</v>
      </c>
      <c r="C450" s="4" t="s">
        <v>36</v>
      </c>
      <c r="D450" s="4" t="s">
        <v>37</v>
      </c>
      <c r="E450" s="5" t="n">
        <v>10559.31</v>
      </c>
      <c r="F450" s="4" t="s">
        <v>38</v>
      </c>
    </row>
    <row r="451" customFormat="false" ht="15" hidden="false" customHeight="false" outlineLevel="0" collapsed="false">
      <c r="A451" s="4" t="s">
        <v>614</v>
      </c>
      <c r="B451" s="4" t="s">
        <v>511</v>
      </c>
      <c r="C451" s="4" t="s">
        <v>94</v>
      </c>
      <c r="D451" s="4" t="s">
        <v>68</v>
      </c>
      <c r="E451" s="5" t="n">
        <v>28580.26</v>
      </c>
      <c r="F451" s="4" t="s">
        <v>17</v>
      </c>
    </row>
    <row r="452" customFormat="false" ht="15" hidden="false" customHeight="false" outlineLevel="0" collapsed="false">
      <c r="A452" s="4" t="s">
        <v>615</v>
      </c>
      <c r="B452" s="4" t="s">
        <v>570</v>
      </c>
      <c r="C452" s="4" t="s">
        <v>41</v>
      </c>
      <c r="D452" s="4" t="s">
        <v>16</v>
      </c>
      <c r="E452" s="5" t="n">
        <v>17282.25</v>
      </c>
      <c r="F452" s="4" t="s">
        <v>17</v>
      </c>
    </row>
    <row r="453" customFormat="false" ht="15" hidden="false" customHeight="false" outlineLevel="0" collapsed="false">
      <c r="A453" s="4" t="s">
        <v>616</v>
      </c>
      <c r="B453" s="4" t="s">
        <v>528</v>
      </c>
      <c r="C453" s="4" t="s">
        <v>41</v>
      </c>
      <c r="D453" s="4" t="s">
        <v>16</v>
      </c>
      <c r="E453" s="5" t="n">
        <v>31000.71</v>
      </c>
      <c r="F453" s="4" t="s">
        <v>17</v>
      </c>
    </row>
    <row r="454" customFormat="false" ht="15" hidden="false" customHeight="false" outlineLevel="0" collapsed="false">
      <c r="A454" s="4" t="s">
        <v>617</v>
      </c>
      <c r="B454" s="4" t="s">
        <v>547</v>
      </c>
      <c r="C454" s="4" t="s">
        <v>67</v>
      </c>
      <c r="D454" s="4" t="s">
        <v>68</v>
      </c>
      <c r="E454" s="5" t="n">
        <v>41111.37</v>
      </c>
      <c r="F454" s="4" t="s">
        <v>17</v>
      </c>
    </row>
    <row r="455" customFormat="false" ht="15" hidden="false" customHeight="false" outlineLevel="0" collapsed="false">
      <c r="A455" s="4" t="s">
        <v>618</v>
      </c>
      <c r="B455" s="4" t="s">
        <v>526</v>
      </c>
      <c r="C455" s="4" t="s">
        <v>62</v>
      </c>
      <c r="D455" s="4" t="s">
        <v>38</v>
      </c>
      <c r="E455" s="5" t="n">
        <v>53626.31</v>
      </c>
      <c r="F455" s="4" t="s">
        <v>38</v>
      </c>
    </row>
    <row r="456" customFormat="false" ht="15" hidden="false" customHeight="false" outlineLevel="0" collapsed="false">
      <c r="A456" s="4" t="s">
        <v>619</v>
      </c>
      <c r="B456" s="4" t="s">
        <v>543</v>
      </c>
      <c r="C456" s="4" t="s">
        <v>54</v>
      </c>
      <c r="D456" s="4" t="s">
        <v>21</v>
      </c>
      <c r="E456" s="5" t="n">
        <v>54694.9</v>
      </c>
      <c r="F456" s="4" t="s">
        <v>17</v>
      </c>
    </row>
    <row r="457" customFormat="false" ht="15" hidden="false" customHeight="false" outlineLevel="0" collapsed="false">
      <c r="A457" s="4" t="s">
        <v>620</v>
      </c>
      <c r="B457" s="4" t="s">
        <v>517</v>
      </c>
      <c r="C457" s="4" t="s">
        <v>62</v>
      </c>
      <c r="D457" s="4" t="s">
        <v>38</v>
      </c>
      <c r="E457" s="5" t="n">
        <v>58752.69</v>
      </c>
      <c r="F457" s="4" t="s">
        <v>38</v>
      </c>
    </row>
    <row r="458" customFormat="false" ht="15" hidden="false" customHeight="false" outlineLevel="0" collapsed="false">
      <c r="A458" s="4" t="s">
        <v>621</v>
      </c>
      <c r="B458" s="4" t="s">
        <v>545</v>
      </c>
      <c r="C458" s="4" t="s">
        <v>20</v>
      </c>
      <c r="D458" s="4" t="s">
        <v>21</v>
      </c>
      <c r="E458" s="5" t="n">
        <v>6673.9</v>
      </c>
      <c r="F458" s="4" t="s">
        <v>17</v>
      </c>
    </row>
    <row r="459" customFormat="false" ht="15" hidden="false" customHeight="false" outlineLevel="0" collapsed="false">
      <c r="A459" s="4" t="s">
        <v>622</v>
      </c>
      <c r="B459" s="4" t="s">
        <v>554</v>
      </c>
      <c r="C459" s="4" t="s">
        <v>20</v>
      </c>
      <c r="D459" s="4" t="s">
        <v>21</v>
      </c>
      <c r="E459" s="5" t="n">
        <v>51816.05</v>
      </c>
      <c r="F459" s="4" t="s">
        <v>17</v>
      </c>
    </row>
    <row r="460" customFormat="false" ht="15" hidden="false" customHeight="false" outlineLevel="0" collapsed="false">
      <c r="A460" s="4" t="s">
        <v>623</v>
      </c>
      <c r="B460" s="4" t="s">
        <v>597</v>
      </c>
      <c r="C460" s="4" t="s">
        <v>24</v>
      </c>
      <c r="D460" s="4" t="s">
        <v>25</v>
      </c>
      <c r="E460" s="5" t="n">
        <v>11644.14</v>
      </c>
      <c r="F460" s="4" t="s">
        <v>17</v>
      </c>
    </row>
    <row r="461" customFormat="false" ht="15" hidden="false" customHeight="false" outlineLevel="0" collapsed="false">
      <c r="A461" s="4" t="s">
        <v>624</v>
      </c>
      <c r="B461" s="4" t="s">
        <v>625</v>
      </c>
      <c r="C461" s="4" t="s">
        <v>62</v>
      </c>
      <c r="D461" s="4" t="s">
        <v>38</v>
      </c>
      <c r="E461" s="5" t="n">
        <v>21451.67</v>
      </c>
      <c r="F461" s="4" t="s">
        <v>38</v>
      </c>
    </row>
    <row r="462" customFormat="false" ht="15" hidden="false" customHeight="false" outlineLevel="0" collapsed="false">
      <c r="A462" s="4" t="s">
        <v>626</v>
      </c>
      <c r="B462" s="4" t="s">
        <v>627</v>
      </c>
      <c r="C462" s="4" t="s">
        <v>45</v>
      </c>
      <c r="D462" s="4" t="s">
        <v>38</v>
      </c>
      <c r="E462" s="5" t="n">
        <v>43234.43</v>
      </c>
      <c r="F462" s="4" t="s">
        <v>38</v>
      </c>
    </row>
    <row r="463" customFormat="false" ht="15" hidden="false" customHeight="false" outlineLevel="0" collapsed="false">
      <c r="A463" s="4" t="s">
        <v>628</v>
      </c>
      <c r="B463" s="4" t="s">
        <v>629</v>
      </c>
      <c r="C463" s="4" t="s">
        <v>94</v>
      </c>
      <c r="D463" s="4" t="s">
        <v>68</v>
      </c>
      <c r="E463" s="5" t="n">
        <v>26244.91</v>
      </c>
      <c r="F463" s="4" t="s">
        <v>17</v>
      </c>
    </row>
    <row r="464" customFormat="false" ht="15" hidden="false" customHeight="false" outlineLevel="0" collapsed="false">
      <c r="A464" s="4" t="s">
        <v>630</v>
      </c>
      <c r="B464" s="4" t="s">
        <v>631</v>
      </c>
      <c r="C464" s="4" t="s">
        <v>101</v>
      </c>
      <c r="D464" s="4" t="s">
        <v>33</v>
      </c>
      <c r="E464" s="5" t="n">
        <v>26100.83</v>
      </c>
      <c r="F464" s="4" t="s">
        <v>17</v>
      </c>
    </row>
    <row r="465" customFormat="false" ht="15" hidden="false" customHeight="false" outlineLevel="0" collapsed="false">
      <c r="A465" s="4" t="s">
        <v>632</v>
      </c>
      <c r="B465" s="4" t="s">
        <v>633</v>
      </c>
      <c r="C465" s="4" t="s">
        <v>15</v>
      </c>
      <c r="D465" s="4" t="s">
        <v>16</v>
      </c>
      <c r="E465" s="5" t="n">
        <v>9891.7</v>
      </c>
      <c r="F465" s="4" t="s">
        <v>17</v>
      </c>
    </row>
    <row r="466" customFormat="false" ht="15" hidden="false" customHeight="false" outlineLevel="0" collapsed="false">
      <c r="A466" s="4" t="s">
        <v>634</v>
      </c>
      <c r="B466" s="4" t="s">
        <v>635</v>
      </c>
      <c r="C466" s="4" t="s">
        <v>45</v>
      </c>
      <c r="D466" s="4" t="s">
        <v>38</v>
      </c>
      <c r="E466" s="5" t="n">
        <v>11367.59</v>
      </c>
      <c r="F466" s="4" t="s">
        <v>38</v>
      </c>
    </row>
    <row r="467" customFormat="false" ht="15" hidden="false" customHeight="false" outlineLevel="0" collapsed="false">
      <c r="A467" s="4" t="s">
        <v>636</v>
      </c>
      <c r="B467" s="4" t="s">
        <v>637</v>
      </c>
      <c r="C467" s="4" t="s">
        <v>54</v>
      </c>
      <c r="D467" s="4" t="s">
        <v>21</v>
      </c>
      <c r="E467" s="5" t="n">
        <v>40521.84</v>
      </c>
      <c r="F467" s="4" t="s">
        <v>17</v>
      </c>
    </row>
    <row r="468" customFormat="false" ht="15" hidden="false" customHeight="false" outlineLevel="0" collapsed="false">
      <c r="A468" s="4" t="s">
        <v>638</v>
      </c>
      <c r="B468" s="4" t="s">
        <v>627</v>
      </c>
      <c r="C468" s="4" t="s">
        <v>32</v>
      </c>
      <c r="D468" s="4" t="s">
        <v>33</v>
      </c>
      <c r="E468" s="5" t="n">
        <v>33588.08</v>
      </c>
      <c r="F468" s="4" t="s">
        <v>17</v>
      </c>
    </row>
    <row r="469" customFormat="false" ht="15" hidden="false" customHeight="false" outlineLevel="0" collapsed="false">
      <c r="A469" s="4" t="s">
        <v>639</v>
      </c>
      <c r="B469" s="4" t="s">
        <v>627</v>
      </c>
      <c r="C469" s="4" t="s">
        <v>36</v>
      </c>
      <c r="D469" s="4" t="s">
        <v>37</v>
      </c>
      <c r="E469" s="5" t="n">
        <v>4062.74</v>
      </c>
      <c r="F469" s="4" t="s">
        <v>38</v>
      </c>
    </row>
    <row r="470" customFormat="false" ht="15" hidden="false" customHeight="false" outlineLevel="0" collapsed="false">
      <c r="A470" s="4" t="s">
        <v>640</v>
      </c>
      <c r="B470" s="4" t="s">
        <v>629</v>
      </c>
      <c r="C470" s="4" t="s">
        <v>41</v>
      </c>
      <c r="D470" s="4" t="s">
        <v>16</v>
      </c>
      <c r="E470" s="5" t="n">
        <v>48761.21</v>
      </c>
      <c r="F470" s="4" t="s">
        <v>17</v>
      </c>
    </row>
    <row r="471" customFormat="false" ht="15" hidden="false" customHeight="false" outlineLevel="0" collapsed="false">
      <c r="A471" s="4" t="s">
        <v>641</v>
      </c>
      <c r="B471" s="4" t="s">
        <v>642</v>
      </c>
      <c r="C471" s="4" t="s">
        <v>62</v>
      </c>
      <c r="D471" s="4" t="s">
        <v>38</v>
      </c>
      <c r="E471" s="5" t="n">
        <v>60865.04</v>
      </c>
      <c r="F471" s="4" t="s">
        <v>38</v>
      </c>
    </row>
    <row r="472" customFormat="false" ht="15" hidden="false" customHeight="false" outlineLevel="0" collapsed="false">
      <c r="A472" s="4" t="s">
        <v>643</v>
      </c>
      <c r="B472" s="4" t="s">
        <v>635</v>
      </c>
      <c r="C472" s="4" t="s">
        <v>94</v>
      </c>
      <c r="D472" s="4" t="s">
        <v>68</v>
      </c>
      <c r="E472" s="5" t="n">
        <v>37903.38</v>
      </c>
      <c r="F472" s="4" t="s">
        <v>17</v>
      </c>
    </row>
    <row r="473" customFormat="false" ht="15" hidden="false" customHeight="false" outlineLevel="0" collapsed="false">
      <c r="A473" s="4" t="s">
        <v>644</v>
      </c>
      <c r="B473" s="4" t="s">
        <v>645</v>
      </c>
      <c r="C473" s="4" t="s">
        <v>36</v>
      </c>
      <c r="D473" s="4" t="s">
        <v>37</v>
      </c>
      <c r="E473" s="5" t="n">
        <v>47251.27</v>
      </c>
      <c r="F473" s="4" t="s">
        <v>38</v>
      </c>
    </row>
    <row r="474" customFormat="false" ht="15" hidden="false" customHeight="false" outlineLevel="0" collapsed="false">
      <c r="A474" s="4" t="s">
        <v>646</v>
      </c>
      <c r="B474" s="4" t="s">
        <v>647</v>
      </c>
      <c r="C474" s="4" t="s">
        <v>45</v>
      </c>
      <c r="D474" s="4" t="s">
        <v>38</v>
      </c>
      <c r="E474" s="5" t="n">
        <v>61109.81</v>
      </c>
      <c r="F474" s="4" t="s">
        <v>38</v>
      </c>
    </row>
    <row r="475" customFormat="false" ht="15" hidden="false" customHeight="false" outlineLevel="0" collapsed="false">
      <c r="A475" s="4" t="s">
        <v>648</v>
      </c>
      <c r="B475" s="4" t="s">
        <v>649</v>
      </c>
      <c r="C475" s="4" t="s">
        <v>15</v>
      </c>
      <c r="D475" s="4" t="s">
        <v>16</v>
      </c>
      <c r="E475" s="5" t="n">
        <v>30519.06</v>
      </c>
      <c r="F475" s="4" t="s">
        <v>17</v>
      </c>
    </row>
    <row r="476" customFormat="false" ht="15" hidden="false" customHeight="false" outlineLevel="0" collapsed="false">
      <c r="A476" s="4" t="s">
        <v>650</v>
      </c>
      <c r="B476" s="4" t="s">
        <v>651</v>
      </c>
      <c r="C476" s="4" t="s">
        <v>32</v>
      </c>
      <c r="D476" s="4" t="s">
        <v>33</v>
      </c>
      <c r="E476" s="5" t="n">
        <v>46570</v>
      </c>
      <c r="F476" s="4" t="s">
        <v>17</v>
      </c>
    </row>
    <row r="477" customFormat="false" ht="15" hidden="false" customHeight="false" outlineLevel="0" collapsed="false">
      <c r="A477" s="4" t="s">
        <v>652</v>
      </c>
      <c r="B477" s="4" t="s">
        <v>627</v>
      </c>
      <c r="C477" s="4" t="s">
        <v>67</v>
      </c>
      <c r="D477" s="4" t="s">
        <v>68</v>
      </c>
      <c r="E477" s="5" t="n">
        <v>45322.9</v>
      </c>
      <c r="F477" s="4" t="s">
        <v>17</v>
      </c>
    </row>
    <row r="478" customFormat="false" ht="15" hidden="false" customHeight="false" outlineLevel="0" collapsed="false">
      <c r="A478" s="4" t="s">
        <v>653</v>
      </c>
      <c r="B478" s="4" t="s">
        <v>654</v>
      </c>
      <c r="C478" s="4" t="s">
        <v>15</v>
      </c>
      <c r="D478" s="4" t="s">
        <v>16</v>
      </c>
      <c r="E478" s="5" t="n">
        <v>11743.53</v>
      </c>
      <c r="F478" s="4" t="s">
        <v>17</v>
      </c>
    </row>
    <row r="479" customFormat="false" ht="15" hidden="false" customHeight="false" outlineLevel="0" collapsed="false">
      <c r="A479" s="4" t="s">
        <v>655</v>
      </c>
      <c r="B479" s="4" t="s">
        <v>656</v>
      </c>
      <c r="C479" s="4" t="s">
        <v>36</v>
      </c>
      <c r="D479" s="4" t="s">
        <v>37</v>
      </c>
      <c r="E479" s="5" t="n">
        <v>16196.29</v>
      </c>
      <c r="F479" s="4" t="s">
        <v>38</v>
      </c>
    </row>
    <row r="480" customFormat="false" ht="15" hidden="false" customHeight="false" outlineLevel="0" collapsed="false">
      <c r="A480" s="4" t="s">
        <v>657</v>
      </c>
      <c r="B480" s="4" t="s">
        <v>645</v>
      </c>
      <c r="C480" s="4" t="s">
        <v>101</v>
      </c>
      <c r="D480" s="4" t="s">
        <v>33</v>
      </c>
      <c r="E480" s="5" t="n">
        <v>53138.8</v>
      </c>
      <c r="F480" s="4" t="s">
        <v>17</v>
      </c>
    </row>
    <row r="481" customFormat="false" ht="15" hidden="false" customHeight="false" outlineLevel="0" collapsed="false">
      <c r="A481" s="4" t="s">
        <v>658</v>
      </c>
      <c r="B481" s="4" t="s">
        <v>647</v>
      </c>
      <c r="C481" s="4" t="s">
        <v>45</v>
      </c>
      <c r="D481" s="4" t="s">
        <v>38</v>
      </c>
      <c r="E481" s="5" t="n">
        <v>19023.24</v>
      </c>
      <c r="F481" s="4" t="s">
        <v>38</v>
      </c>
    </row>
    <row r="482" customFormat="false" ht="15" hidden="false" customHeight="false" outlineLevel="0" collapsed="false">
      <c r="A482" s="4" t="s">
        <v>659</v>
      </c>
      <c r="B482" s="4" t="s">
        <v>660</v>
      </c>
      <c r="C482" s="4" t="s">
        <v>41</v>
      </c>
      <c r="D482" s="4" t="s">
        <v>16</v>
      </c>
      <c r="E482" s="5" t="n">
        <v>26477.67</v>
      </c>
      <c r="F482" s="4" t="s">
        <v>17</v>
      </c>
    </row>
    <row r="483" customFormat="false" ht="15" hidden="false" customHeight="false" outlineLevel="0" collapsed="false">
      <c r="A483" s="4" t="s">
        <v>661</v>
      </c>
      <c r="B483" s="4" t="s">
        <v>649</v>
      </c>
      <c r="C483" s="4" t="s">
        <v>101</v>
      </c>
      <c r="D483" s="4" t="s">
        <v>33</v>
      </c>
      <c r="E483" s="5" t="n">
        <v>62099.23</v>
      </c>
      <c r="F483" s="4" t="s">
        <v>17</v>
      </c>
    </row>
    <row r="484" customFormat="false" ht="15" hidden="false" customHeight="false" outlineLevel="0" collapsed="false">
      <c r="A484" s="4" t="s">
        <v>662</v>
      </c>
      <c r="B484" s="4" t="s">
        <v>627</v>
      </c>
      <c r="C484" s="4" t="s">
        <v>45</v>
      </c>
      <c r="D484" s="4" t="s">
        <v>38</v>
      </c>
      <c r="E484" s="5" t="n">
        <v>11310.43</v>
      </c>
      <c r="F484" s="4" t="s">
        <v>38</v>
      </c>
    </row>
    <row r="485" customFormat="false" ht="15" hidden="false" customHeight="false" outlineLevel="0" collapsed="false">
      <c r="A485" s="4" t="s">
        <v>663</v>
      </c>
      <c r="B485" s="4" t="s">
        <v>637</v>
      </c>
      <c r="C485" s="4" t="s">
        <v>67</v>
      </c>
      <c r="D485" s="4" t="s">
        <v>68</v>
      </c>
      <c r="E485" s="5" t="n">
        <v>25469.72</v>
      </c>
      <c r="F485" s="4" t="s">
        <v>17</v>
      </c>
    </row>
    <row r="486" customFormat="false" ht="15" hidden="false" customHeight="false" outlineLevel="0" collapsed="false">
      <c r="A486" s="4" t="s">
        <v>664</v>
      </c>
      <c r="B486" s="4" t="s">
        <v>665</v>
      </c>
      <c r="C486" s="4" t="s">
        <v>15</v>
      </c>
      <c r="D486" s="4" t="s">
        <v>16</v>
      </c>
      <c r="E486" s="5" t="n">
        <v>64137.27</v>
      </c>
      <c r="F486" s="4" t="s">
        <v>17</v>
      </c>
    </row>
    <row r="487" customFormat="false" ht="15" hidden="false" customHeight="false" outlineLevel="0" collapsed="false">
      <c r="A487" s="4" t="s">
        <v>666</v>
      </c>
      <c r="B487" s="4" t="s">
        <v>631</v>
      </c>
      <c r="C487" s="4" t="s">
        <v>62</v>
      </c>
      <c r="D487" s="4" t="s">
        <v>38</v>
      </c>
      <c r="E487" s="5" t="n">
        <v>64570.97</v>
      </c>
      <c r="F487" s="4" t="s">
        <v>38</v>
      </c>
    </row>
    <row r="488" customFormat="false" ht="15" hidden="false" customHeight="false" outlineLevel="0" collapsed="false">
      <c r="A488" s="4" t="s">
        <v>667</v>
      </c>
      <c r="B488" s="4" t="s">
        <v>660</v>
      </c>
      <c r="C488" s="4" t="s">
        <v>24</v>
      </c>
      <c r="D488" s="4" t="s">
        <v>25</v>
      </c>
      <c r="E488" s="5" t="n">
        <v>14930.22</v>
      </c>
      <c r="F488" s="4" t="s">
        <v>17</v>
      </c>
    </row>
    <row r="489" customFormat="false" ht="15" hidden="false" customHeight="false" outlineLevel="0" collapsed="false">
      <c r="A489" s="4" t="s">
        <v>668</v>
      </c>
      <c r="B489" s="4" t="s">
        <v>669</v>
      </c>
      <c r="C489" s="4" t="s">
        <v>45</v>
      </c>
      <c r="D489" s="4" t="s">
        <v>38</v>
      </c>
      <c r="E489" s="5" t="n">
        <v>61775.74</v>
      </c>
      <c r="F489" s="4" t="s">
        <v>38</v>
      </c>
    </row>
    <row r="490" customFormat="false" ht="15" hidden="false" customHeight="false" outlineLevel="0" collapsed="false">
      <c r="A490" s="4" t="s">
        <v>670</v>
      </c>
      <c r="B490" s="4" t="s">
        <v>635</v>
      </c>
      <c r="C490" s="4" t="s">
        <v>41</v>
      </c>
      <c r="D490" s="4" t="s">
        <v>16</v>
      </c>
      <c r="E490" s="5" t="n">
        <v>5216.16</v>
      </c>
      <c r="F490" s="4" t="s">
        <v>17</v>
      </c>
    </row>
    <row r="491" customFormat="false" ht="15" hidden="false" customHeight="false" outlineLevel="0" collapsed="false">
      <c r="A491" s="4" t="s">
        <v>671</v>
      </c>
      <c r="B491" s="4" t="s">
        <v>672</v>
      </c>
      <c r="C491" s="4" t="s">
        <v>62</v>
      </c>
      <c r="D491" s="4" t="s">
        <v>38</v>
      </c>
      <c r="E491" s="5" t="n">
        <v>23869.93</v>
      </c>
      <c r="F491" s="4" t="s">
        <v>38</v>
      </c>
    </row>
    <row r="492" customFormat="false" ht="15" hidden="false" customHeight="false" outlineLevel="0" collapsed="false">
      <c r="A492" s="4" t="s">
        <v>673</v>
      </c>
      <c r="B492" s="4" t="s">
        <v>642</v>
      </c>
      <c r="C492" s="4" t="s">
        <v>94</v>
      </c>
      <c r="D492" s="4" t="s">
        <v>68</v>
      </c>
      <c r="E492" s="5" t="n">
        <v>24987.28</v>
      </c>
      <c r="F492" s="4" t="s">
        <v>17</v>
      </c>
    </row>
    <row r="493" customFormat="false" ht="15" hidden="false" customHeight="false" outlineLevel="0" collapsed="false">
      <c r="A493" s="4" t="s">
        <v>674</v>
      </c>
      <c r="B493" s="4" t="s">
        <v>654</v>
      </c>
      <c r="C493" s="4" t="s">
        <v>62</v>
      </c>
      <c r="D493" s="4" t="s">
        <v>38</v>
      </c>
      <c r="E493" s="5" t="n">
        <v>60534.06</v>
      </c>
      <c r="F493" s="4" t="s">
        <v>38</v>
      </c>
    </row>
    <row r="494" customFormat="false" ht="15" hidden="false" customHeight="false" outlineLevel="0" collapsed="false">
      <c r="A494" s="4" t="s">
        <v>675</v>
      </c>
      <c r="B494" s="4" t="s">
        <v>660</v>
      </c>
      <c r="C494" s="4" t="s">
        <v>67</v>
      </c>
      <c r="D494" s="4" t="s">
        <v>68</v>
      </c>
      <c r="E494" s="5" t="n">
        <v>54794.44</v>
      </c>
      <c r="F494" s="4" t="s">
        <v>17</v>
      </c>
    </row>
    <row r="495" customFormat="false" ht="15" hidden="false" customHeight="false" outlineLevel="0" collapsed="false">
      <c r="A495" s="4" t="s">
        <v>676</v>
      </c>
      <c r="B495" s="4" t="s">
        <v>677</v>
      </c>
      <c r="C495" s="4" t="s">
        <v>67</v>
      </c>
      <c r="D495" s="4" t="s">
        <v>68</v>
      </c>
      <c r="E495" s="5" t="n">
        <v>67474.83</v>
      </c>
      <c r="F495" s="4" t="s">
        <v>17</v>
      </c>
    </row>
    <row r="496" customFormat="false" ht="15" hidden="false" customHeight="false" outlineLevel="0" collapsed="false">
      <c r="A496" s="4" t="s">
        <v>678</v>
      </c>
      <c r="B496" s="4" t="s">
        <v>637</v>
      </c>
      <c r="C496" s="4" t="s">
        <v>32</v>
      </c>
      <c r="D496" s="4" t="s">
        <v>33</v>
      </c>
      <c r="E496" s="5" t="n">
        <v>15035.23</v>
      </c>
      <c r="F496" s="4" t="s">
        <v>17</v>
      </c>
    </row>
    <row r="497" customFormat="false" ht="15" hidden="false" customHeight="false" outlineLevel="0" collapsed="false">
      <c r="A497" s="4" t="s">
        <v>679</v>
      </c>
      <c r="B497" s="4" t="s">
        <v>629</v>
      </c>
      <c r="C497" s="4" t="s">
        <v>24</v>
      </c>
      <c r="D497" s="4" t="s">
        <v>25</v>
      </c>
      <c r="E497" s="5" t="n">
        <v>33663.01</v>
      </c>
      <c r="F497" s="4" t="s">
        <v>17</v>
      </c>
    </row>
    <row r="498" customFormat="false" ht="15" hidden="false" customHeight="false" outlineLevel="0" collapsed="false">
      <c r="A498" s="4" t="s">
        <v>680</v>
      </c>
      <c r="B498" s="4" t="s">
        <v>681</v>
      </c>
      <c r="C498" s="4" t="s">
        <v>67</v>
      </c>
      <c r="D498" s="4" t="s">
        <v>68</v>
      </c>
      <c r="E498" s="5" t="n">
        <v>29081.62</v>
      </c>
      <c r="F498" s="4" t="s">
        <v>17</v>
      </c>
    </row>
    <row r="499" customFormat="false" ht="15" hidden="false" customHeight="false" outlineLevel="0" collapsed="false">
      <c r="A499" s="4" t="s">
        <v>682</v>
      </c>
      <c r="B499" s="4" t="s">
        <v>642</v>
      </c>
      <c r="C499" s="4" t="s">
        <v>20</v>
      </c>
      <c r="D499" s="4" t="s">
        <v>21</v>
      </c>
      <c r="E499" s="5" t="n">
        <v>56054.75</v>
      </c>
      <c r="F499" s="4" t="s">
        <v>17</v>
      </c>
    </row>
    <row r="500" customFormat="false" ht="15" hidden="false" customHeight="false" outlineLevel="0" collapsed="false">
      <c r="A500" s="4" t="s">
        <v>683</v>
      </c>
      <c r="B500" s="4" t="s">
        <v>635</v>
      </c>
      <c r="C500" s="4" t="s">
        <v>62</v>
      </c>
      <c r="D500" s="4" t="s">
        <v>38</v>
      </c>
      <c r="E500" s="5" t="n">
        <v>51948.73</v>
      </c>
      <c r="F500" s="4" t="s">
        <v>38</v>
      </c>
    </row>
    <row r="501" customFormat="false" ht="15" hidden="false" customHeight="false" outlineLevel="0" collapsed="false">
      <c r="A501" s="4" t="s">
        <v>684</v>
      </c>
      <c r="B501" s="4" t="s">
        <v>656</v>
      </c>
      <c r="C501" s="4" t="s">
        <v>54</v>
      </c>
      <c r="D501" s="4" t="s">
        <v>21</v>
      </c>
      <c r="E501" s="5" t="n">
        <v>40105.19</v>
      </c>
      <c r="F501" s="4" t="s">
        <v>17</v>
      </c>
    </row>
    <row r="502" customFormat="false" ht="15" hidden="false" customHeight="false" outlineLevel="0" collapsed="false">
      <c r="A502" s="4" t="s">
        <v>685</v>
      </c>
      <c r="B502" s="4" t="s">
        <v>631</v>
      </c>
      <c r="C502" s="4" t="s">
        <v>20</v>
      </c>
      <c r="D502" s="4" t="s">
        <v>21</v>
      </c>
      <c r="E502" s="5" t="n">
        <v>29255.45</v>
      </c>
      <c r="F502" s="4" t="s">
        <v>17</v>
      </c>
    </row>
    <row r="503" customFormat="false" ht="15" hidden="false" customHeight="false" outlineLevel="0" collapsed="false">
      <c r="A503" s="4" t="s">
        <v>686</v>
      </c>
      <c r="B503" s="4" t="s">
        <v>687</v>
      </c>
      <c r="C503" s="4" t="s">
        <v>41</v>
      </c>
      <c r="D503" s="4" t="s">
        <v>16</v>
      </c>
      <c r="E503" s="5" t="n">
        <v>21031.26</v>
      </c>
      <c r="F503" s="4" t="s">
        <v>17</v>
      </c>
    </row>
    <row r="504" customFormat="false" ht="15" hidden="false" customHeight="false" outlineLevel="0" collapsed="false">
      <c r="A504" s="4" t="s">
        <v>688</v>
      </c>
      <c r="B504" s="4" t="s">
        <v>651</v>
      </c>
      <c r="C504" s="4" t="s">
        <v>45</v>
      </c>
      <c r="D504" s="4" t="s">
        <v>38</v>
      </c>
      <c r="E504" s="5" t="n">
        <v>7404.83</v>
      </c>
      <c r="F504" s="4" t="s">
        <v>38</v>
      </c>
    </row>
    <row r="505" customFormat="false" ht="15" hidden="false" customHeight="false" outlineLevel="0" collapsed="false">
      <c r="A505" s="4" t="s">
        <v>689</v>
      </c>
      <c r="B505" s="4" t="s">
        <v>651</v>
      </c>
      <c r="C505" s="4" t="s">
        <v>24</v>
      </c>
      <c r="D505" s="4" t="s">
        <v>25</v>
      </c>
      <c r="E505" s="5" t="n">
        <v>32858.02</v>
      </c>
      <c r="F505" s="4" t="s">
        <v>17</v>
      </c>
    </row>
    <row r="506" customFormat="false" ht="15" hidden="false" customHeight="false" outlineLevel="0" collapsed="false">
      <c r="A506" s="4" t="s">
        <v>690</v>
      </c>
      <c r="B506" s="4" t="s">
        <v>631</v>
      </c>
      <c r="C506" s="4" t="s">
        <v>101</v>
      </c>
      <c r="D506" s="4" t="s">
        <v>33</v>
      </c>
      <c r="E506" s="5" t="n">
        <v>7717.07</v>
      </c>
      <c r="F506" s="4" t="s">
        <v>17</v>
      </c>
    </row>
    <row r="507" customFormat="false" ht="15" hidden="false" customHeight="false" outlineLevel="0" collapsed="false">
      <c r="A507" s="4" t="s">
        <v>691</v>
      </c>
      <c r="B507" s="4" t="s">
        <v>672</v>
      </c>
      <c r="C507" s="4" t="s">
        <v>36</v>
      </c>
      <c r="D507" s="4" t="s">
        <v>37</v>
      </c>
      <c r="E507" s="5" t="n">
        <v>31876.64</v>
      </c>
      <c r="F507" s="4" t="s">
        <v>38</v>
      </c>
    </row>
    <row r="508" customFormat="false" ht="15" hidden="false" customHeight="false" outlineLevel="0" collapsed="false">
      <c r="A508" s="4" t="s">
        <v>692</v>
      </c>
      <c r="B508" s="4" t="s">
        <v>693</v>
      </c>
      <c r="C508" s="4" t="s">
        <v>32</v>
      </c>
      <c r="D508" s="4" t="s">
        <v>33</v>
      </c>
      <c r="E508" s="5" t="n">
        <v>27499.44</v>
      </c>
      <c r="F508" s="4" t="s">
        <v>17</v>
      </c>
    </row>
    <row r="509" customFormat="false" ht="15" hidden="false" customHeight="false" outlineLevel="0" collapsed="false">
      <c r="A509" s="4" t="s">
        <v>694</v>
      </c>
      <c r="B509" s="4" t="s">
        <v>642</v>
      </c>
      <c r="C509" s="4" t="s">
        <v>41</v>
      </c>
      <c r="D509" s="4" t="s">
        <v>16</v>
      </c>
      <c r="E509" s="5" t="n">
        <v>53266.02</v>
      </c>
      <c r="F509" s="4" t="s">
        <v>17</v>
      </c>
    </row>
    <row r="510" customFormat="false" ht="15" hidden="false" customHeight="false" outlineLevel="0" collapsed="false">
      <c r="A510" s="4" t="s">
        <v>695</v>
      </c>
      <c r="B510" s="4" t="s">
        <v>629</v>
      </c>
      <c r="C510" s="4" t="s">
        <v>24</v>
      </c>
      <c r="D510" s="4" t="s">
        <v>25</v>
      </c>
      <c r="E510" s="5" t="n">
        <v>65707.52</v>
      </c>
      <c r="F510" s="4" t="s">
        <v>17</v>
      </c>
    </row>
    <row r="511" customFormat="false" ht="15" hidden="false" customHeight="false" outlineLevel="0" collapsed="false">
      <c r="A511" s="4" t="s">
        <v>696</v>
      </c>
      <c r="B511" s="4" t="s">
        <v>645</v>
      </c>
      <c r="C511" s="4" t="s">
        <v>15</v>
      </c>
      <c r="D511" s="4" t="s">
        <v>16</v>
      </c>
      <c r="E511" s="5" t="n">
        <v>45937.27</v>
      </c>
      <c r="F511" s="4" t="s">
        <v>17</v>
      </c>
    </row>
    <row r="512" customFormat="false" ht="15" hidden="false" customHeight="false" outlineLevel="0" collapsed="false">
      <c r="A512" s="4" t="s">
        <v>697</v>
      </c>
      <c r="B512" s="4" t="s">
        <v>633</v>
      </c>
      <c r="C512" s="4" t="s">
        <v>41</v>
      </c>
      <c r="D512" s="4" t="s">
        <v>16</v>
      </c>
      <c r="E512" s="5" t="n">
        <v>36313.56</v>
      </c>
      <c r="F512" s="4" t="s">
        <v>17</v>
      </c>
    </row>
    <row r="513" customFormat="false" ht="15" hidden="false" customHeight="false" outlineLevel="0" collapsed="false">
      <c r="A513" s="4" t="s">
        <v>698</v>
      </c>
      <c r="B513" s="4" t="s">
        <v>669</v>
      </c>
      <c r="C513" s="4" t="s">
        <v>20</v>
      </c>
      <c r="D513" s="4" t="s">
        <v>21</v>
      </c>
      <c r="E513" s="5" t="n">
        <v>37830.39</v>
      </c>
      <c r="F513" s="4" t="s">
        <v>17</v>
      </c>
    </row>
    <row r="514" customFormat="false" ht="15" hidden="false" customHeight="false" outlineLevel="0" collapsed="false">
      <c r="A514" s="4" t="s">
        <v>699</v>
      </c>
      <c r="B514" s="4" t="s">
        <v>687</v>
      </c>
      <c r="C514" s="4" t="s">
        <v>24</v>
      </c>
      <c r="D514" s="4" t="s">
        <v>25</v>
      </c>
      <c r="E514" s="5" t="n">
        <v>3125.51</v>
      </c>
      <c r="F514" s="4" t="s">
        <v>17</v>
      </c>
    </row>
    <row r="515" customFormat="false" ht="15" hidden="false" customHeight="false" outlineLevel="0" collapsed="false">
      <c r="A515" s="4" t="s">
        <v>700</v>
      </c>
      <c r="B515" s="4" t="s">
        <v>637</v>
      </c>
      <c r="C515" s="4" t="s">
        <v>41</v>
      </c>
      <c r="D515" s="4" t="s">
        <v>16</v>
      </c>
      <c r="E515" s="5" t="n">
        <v>26008.83</v>
      </c>
      <c r="F515" s="4" t="s">
        <v>17</v>
      </c>
    </row>
    <row r="516" customFormat="false" ht="15" hidden="false" customHeight="false" outlineLevel="0" collapsed="false">
      <c r="A516" s="4" t="s">
        <v>701</v>
      </c>
      <c r="B516" s="4" t="s">
        <v>687</v>
      </c>
      <c r="C516" s="4" t="s">
        <v>20</v>
      </c>
      <c r="D516" s="4" t="s">
        <v>21</v>
      </c>
      <c r="E516" s="5" t="n">
        <v>14594.09</v>
      </c>
      <c r="F516" s="4" t="s">
        <v>17</v>
      </c>
    </row>
    <row r="517" customFormat="false" ht="15" hidden="false" customHeight="false" outlineLevel="0" collapsed="false">
      <c r="A517" s="4" t="s">
        <v>702</v>
      </c>
      <c r="B517" s="4" t="s">
        <v>665</v>
      </c>
      <c r="C517" s="4" t="s">
        <v>15</v>
      </c>
      <c r="D517" s="4" t="s">
        <v>16</v>
      </c>
      <c r="E517" s="5" t="n">
        <v>8683.79</v>
      </c>
      <c r="F517" s="4" t="s">
        <v>17</v>
      </c>
    </row>
    <row r="518" customFormat="false" ht="15" hidden="false" customHeight="false" outlineLevel="0" collapsed="false">
      <c r="A518" s="4" t="s">
        <v>703</v>
      </c>
      <c r="B518" s="4" t="s">
        <v>704</v>
      </c>
      <c r="C518" s="4" t="s">
        <v>32</v>
      </c>
      <c r="D518" s="4" t="s">
        <v>33</v>
      </c>
      <c r="E518" s="5" t="n">
        <v>13018.57</v>
      </c>
      <c r="F518" s="4" t="s">
        <v>17</v>
      </c>
    </row>
    <row r="519" customFormat="false" ht="15" hidden="false" customHeight="false" outlineLevel="0" collapsed="false">
      <c r="A519" s="4" t="s">
        <v>705</v>
      </c>
      <c r="B519" s="4" t="s">
        <v>681</v>
      </c>
      <c r="C519" s="4" t="s">
        <v>67</v>
      </c>
      <c r="D519" s="4" t="s">
        <v>68</v>
      </c>
      <c r="E519" s="5" t="n">
        <v>20454.86</v>
      </c>
      <c r="F519" s="4" t="s">
        <v>17</v>
      </c>
    </row>
    <row r="520" customFormat="false" ht="15" hidden="false" customHeight="false" outlineLevel="0" collapsed="false">
      <c r="A520" s="4" t="s">
        <v>706</v>
      </c>
      <c r="B520" s="4" t="s">
        <v>677</v>
      </c>
      <c r="C520" s="4" t="s">
        <v>36</v>
      </c>
      <c r="D520" s="4" t="s">
        <v>37</v>
      </c>
      <c r="E520" s="5" t="n">
        <v>48592.8</v>
      </c>
      <c r="F520" s="4" t="s">
        <v>38</v>
      </c>
    </row>
    <row r="521" customFormat="false" ht="15" hidden="false" customHeight="false" outlineLevel="0" collapsed="false">
      <c r="A521" s="4" t="s">
        <v>707</v>
      </c>
      <c r="B521" s="4" t="s">
        <v>631</v>
      </c>
      <c r="C521" s="4" t="s">
        <v>24</v>
      </c>
      <c r="D521" s="4" t="s">
        <v>25</v>
      </c>
      <c r="E521" s="5" t="n">
        <v>50282.25</v>
      </c>
      <c r="F521" s="4" t="s">
        <v>17</v>
      </c>
    </row>
    <row r="522" customFormat="false" ht="15" hidden="false" customHeight="false" outlineLevel="0" collapsed="false">
      <c r="A522" s="4" t="s">
        <v>708</v>
      </c>
      <c r="B522" s="4" t="s">
        <v>645</v>
      </c>
      <c r="C522" s="4" t="s">
        <v>32</v>
      </c>
      <c r="D522" s="4" t="s">
        <v>33</v>
      </c>
      <c r="E522" s="5" t="n">
        <v>64038.66</v>
      </c>
      <c r="F522" s="4" t="s">
        <v>17</v>
      </c>
    </row>
    <row r="523" customFormat="false" ht="15" hidden="false" customHeight="false" outlineLevel="0" collapsed="false">
      <c r="A523" s="4" t="s">
        <v>709</v>
      </c>
      <c r="B523" s="4" t="s">
        <v>681</v>
      </c>
      <c r="C523" s="4" t="s">
        <v>32</v>
      </c>
      <c r="D523" s="4" t="s">
        <v>33</v>
      </c>
      <c r="E523" s="5" t="n">
        <v>34734.99</v>
      </c>
      <c r="F523" s="4" t="s">
        <v>17</v>
      </c>
    </row>
    <row r="524" customFormat="false" ht="15" hidden="false" customHeight="false" outlineLevel="0" collapsed="false">
      <c r="A524" s="4" t="s">
        <v>710</v>
      </c>
      <c r="B524" s="4" t="s">
        <v>677</v>
      </c>
      <c r="C524" s="4" t="s">
        <v>101</v>
      </c>
      <c r="D524" s="4" t="s">
        <v>33</v>
      </c>
      <c r="E524" s="5" t="n">
        <v>61991.53</v>
      </c>
      <c r="F524" s="4" t="s">
        <v>17</v>
      </c>
    </row>
    <row r="525" customFormat="false" ht="15" hidden="false" customHeight="false" outlineLevel="0" collapsed="false">
      <c r="A525" s="4" t="s">
        <v>711</v>
      </c>
      <c r="B525" s="4" t="s">
        <v>712</v>
      </c>
      <c r="C525" s="4" t="s">
        <v>24</v>
      </c>
      <c r="D525" s="4" t="s">
        <v>25</v>
      </c>
      <c r="E525" s="5" t="n">
        <v>60650</v>
      </c>
      <c r="F525" s="4" t="s">
        <v>17</v>
      </c>
    </row>
    <row r="526" customFormat="false" ht="15" hidden="false" customHeight="false" outlineLevel="0" collapsed="false">
      <c r="A526" s="4" t="s">
        <v>713</v>
      </c>
      <c r="B526" s="4" t="s">
        <v>633</v>
      </c>
      <c r="C526" s="4" t="s">
        <v>20</v>
      </c>
      <c r="D526" s="4" t="s">
        <v>21</v>
      </c>
      <c r="E526" s="5" t="n">
        <v>43812.72</v>
      </c>
      <c r="F526" s="4" t="s">
        <v>17</v>
      </c>
    </row>
    <row r="527" customFormat="false" ht="15" hidden="false" customHeight="false" outlineLevel="0" collapsed="false">
      <c r="A527" s="4" t="s">
        <v>714</v>
      </c>
      <c r="B527" s="4" t="s">
        <v>687</v>
      </c>
      <c r="C527" s="4" t="s">
        <v>101</v>
      </c>
      <c r="D527" s="4" t="s">
        <v>33</v>
      </c>
      <c r="E527" s="5" t="n">
        <v>64251.86</v>
      </c>
      <c r="F527" s="4" t="s">
        <v>17</v>
      </c>
    </row>
    <row r="528" customFormat="false" ht="15" hidden="false" customHeight="false" outlineLevel="0" collapsed="false">
      <c r="A528" s="4" t="s">
        <v>715</v>
      </c>
      <c r="B528" s="4" t="s">
        <v>716</v>
      </c>
      <c r="C528" s="4" t="s">
        <v>20</v>
      </c>
      <c r="D528" s="4" t="s">
        <v>21</v>
      </c>
      <c r="E528" s="5" t="n">
        <v>36897.67</v>
      </c>
      <c r="F528" s="4" t="s">
        <v>17</v>
      </c>
    </row>
    <row r="529" customFormat="false" ht="15" hidden="false" customHeight="false" outlineLevel="0" collapsed="false">
      <c r="A529" s="4" t="s">
        <v>717</v>
      </c>
      <c r="B529" s="4" t="s">
        <v>718</v>
      </c>
      <c r="C529" s="4" t="s">
        <v>20</v>
      </c>
      <c r="D529" s="4" t="s">
        <v>21</v>
      </c>
      <c r="E529" s="5" t="n">
        <v>21260.75</v>
      </c>
      <c r="F529" s="4" t="s">
        <v>17</v>
      </c>
    </row>
    <row r="530" customFormat="false" ht="15" hidden="false" customHeight="false" outlineLevel="0" collapsed="false">
      <c r="A530" s="4" t="s">
        <v>719</v>
      </c>
      <c r="B530" s="4" t="s">
        <v>625</v>
      </c>
      <c r="C530" s="4" t="s">
        <v>20</v>
      </c>
      <c r="D530" s="4" t="s">
        <v>21</v>
      </c>
      <c r="E530" s="5" t="n">
        <v>8106.09</v>
      </c>
      <c r="F530" s="4" t="s">
        <v>17</v>
      </c>
    </row>
    <row r="531" customFormat="false" ht="15" hidden="false" customHeight="false" outlineLevel="0" collapsed="false">
      <c r="A531" s="4" t="s">
        <v>720</v>
      </c>
      <c r="B531" s="4" t="s">
        <v>645</v>
      </c>
      <c r="C531" s="4" t="s">
        <v>67</v>
      </c>
      <c r="D531" s="4" t="s">
        <v>68</v>
      </c>
      <c r="E531" s="5" t="n">
        <v>52899.5</v>
      </c>
      <c r="F531" s="4" t="s">
        <v>17</v>
      </c>
    </row>
    <row r="532" customFormat="false" ht="15" hidden="false" customHeight="false" outlineLevel="0" collapsed="false">
      <c r="A532" s="4" t="s">
        <v>721</v>
      </c>
      <c r="B532" s="4" t="s">
        <v>722</v>
      </c>
      <c r="C532" s="4" t="s">
        <v>67</v>
      </c>
      <c r="D532" s="4" t="s">
        <v>68</v>
      </c>
      <c r="E532" s="5" t="n">
        <v>18022.98</v>
      </c>
      <c r="F532" s="4" t="s">
        <v>17</v>
      </c>
    </row>
    <row r="533" customFormat="false" ht="15" hidden="false" customHeight="false" outlineLevel="0" collapsed="false">
      <c r="A533" s="4" t="s">
        <v>723</v>
      </c>
      <c r="B533" s="4" t="s">
        <v>712</v>
      </c>
      <c r="C533" s="4" t="s">
        <v>101</v>
      </c>
      <c r="D533" s="4" t="s">
        <v>33</v>
      </c>
      <c r="E533" s="5" t="n">
        <v>50653.36</v>
      </c>
      <c r="F533" s="4" t="s">
        <v>17</v>
      </c>
    </row>
    <row r="534" customFormat="false" ht="15" hidden="false" customHeight="false" outlineLevel="0" collapsed="false">
      <c r="A534" s="4" t="s">
        <v>724</v>
      </c>
      <c r="B534" s="4" t="s">
        <v>631</v>
      </c>
      <c r="C534" s="4" t="s">
        <v>32</v>
      </c>
      <c r="D534" s="4" t="s">
        <v>33</v>
      </c>
      <c r="E534" s="5" t="n">
        <v>21382.01</v>
      </c>
      <c r="F534" s="4" t="s">
        <v>17</v>
      </c>
    </row>
    <row r="535" customFormat="false" ht="15" hidden="false" customHeight="false" outlineLevel="0" collapsed="false">
      <c r="A535" s="4" t="s">
        <v>725</v>
      </c>
      <c r="B535" s="4" t="s">
        <v>704</v>
      </c>
      <c r="C535" s="4" t="s">
        <v>15</v>
      </c>
      <c r="D535" s="4" t="s">
        <v>16</v>
      </c>
      <c r="E535" s="5" t="n">
        <v>13842.01</v>
      </c>
      <c r="F535" s="4" t="s">
        <v>17</v>
      </c>
    </row>
    <row r="536" customFormat="false" ht="15" hidden="false" customHeight="false" outlineLevel="0" collapsed="false">
      <c r="A536" s="4" t="s">
        <v>726</v>
      </c>
      <c r="B536" s="4" t="s">
        <v>645</v>
      </c>
      <c r="C536" s="4" t="s">
        <v>54</v>
      </c>
      <c r="D536" s="4" t="s">
        <v>21</v>
      </c>
      <c r="E536" s="5" t="n">
        <v>52434</v>
      </c>
      <c r="F536" s="4" t="s">
        <v>17</v>
      </c>
    </row>
    <row r="537" customFormat="false" ht="15" hidden="false" customHeight="false" outlineLevel="0" collapsed="false">
      <c r="A537" s="4" t="s">
        <v>727</v>
      </c>
      <c r="B537" s="4" t="s">
        <v>649</v>
      </c>
      <c r="C537" s="4" t="s">
        <v>94</v>
      </c>
      <c r="D537" s="4" t="s">
        <v>68</v>
      </c>
      <c r="E537" s="5" t="n">
        <v>33468.85</v>
      </c>
      <c r="F537" s="4" t="s">
        <v>17</v>
      </c>
    </row>
    <row r="538" customFormat="false" ht="15" hidden="false" customHeight="false" outlineLevel="0" collapsed="false">
      <c r="A538" s="4" t="s">
        <v>728</v>
      </c>
      <c r="B538" s="4" t="s">
        <v>635</v>
      </c>
      <c r="C538" s="4" t="s">
        <v>54</v>
      </c>
      <c r="D538" s="4" t="s">
        <v>21</v>
      </c>
      <c r="E538" s="5" t="n">
        <v>55775.44</v>
      </c>
      <c r="F538" s="4" t="s">
        <v>17</v>
      </c>
    </row>
    <row r="539" customFormat="false" ht="15" hidden="false" customHeight="false" outlineLevel="0" collapsed="false">
      <c r="A539" s="4" t="s">
        <v>729</v>
      </c>
      <c r="B539" s="4" t="s">
        <v>722</v>
      </c>
      <c r="C539" s="4" t="s">
        <v>94</v>
      </c>
      <c r="D539" s="4" t="s">
        <v>68</v>
      </c>
      <c r="E539" s="5" t="n">
        <v>57907.13</v>
      </c>
      <c r="F539" s="4" t="s">
        <v>17</v>
      </c>
    </row>
    <row r="540" customFormat="false" ht="15" hidden="false" customHeight="false" outlineLevel="0" collapsed="false">
      <c r="A540" s="4" t="s">
        <v>730</v>
      </c>
      <c r="B540" s="4" t="s">
        <v>716</v>
      </c>
      <c r="C540" s="4" t="s">
        <v>45</v>
      </c>
      <c r="D540" s="4" t="s">
        <v>38</v>
      </c>
      <c r="E540" s="5" t="n">
        <v>44608.24</v>
      </c>
      <c r="F540" s="4" t="s">
        <v>38</v>
      </c>
    </row>
    <row r="541" customFormat="false" ht="15" hidden="false" customHeight="false" outlineLevel="0" collapsed="false">
      <c r="A541" s="4" t="s">
        <v>731</v>
      </c>
      <c r="B541" s="4" t="s">
        <v>625</v>
      </c>
      <c r="C541" s="4" t="s">
        <v>24</v>
      </c>
      <c r="D541" s="4" t="s">
        <v>25</v>
      </c>
      <c r="E541" s="5" t="n">
        <v>52371.42</v>
      </c>
      <c r="F541" s="4" t="s">
        <v>17</v>
      </c>
    </row>
    <row r="542" customFormat="false" ht="15" hidden="false" customHeight="false" outlineLevel="0" collapsed="false">
      <c r="A542" s="4" t="s">
        <v>732</v>
      </c>
      <c r="B542" s="4" t="s">
        <v>645</v>
      </c>
      <c r="C542" s="4" t="s">
        <v>45</v>
      </c>
      <c r="D542" s="4" t="s">
        <v>38</v>
      </c>
      <c r="E542" s="5" t="n">
        <v>41351.52</v>
      </c>
      <c r="F542" s="4" t="s">
        <v>38</v>
      </c>
    </row>
    <row r="543" customFormat="false" ht="15" hidden="false" customHeight="false" outlineLevel="0" collapsed="false">
      <c r="A543" s="4" t="s">
        <v>733</v>
      </c>
      <c r="B543" s="4" t="s">
        <v>642</v>
      </c>
      <c r="C543" s="4" t="s">
        <v>67</v>
      </c>
      <c r="D543" s="4" t="s">
        <v>68</v>
      </c>
      <c r="E543" s="5" t="n">
        <v>17434.59</v>
      </c>
      <c r="F543" s="4" t="s">
        <v>17</v>
      </c>
    </row>
    <row r="544" customFormat="false" ht="15" hidden="false" customHeight="false" outlineLevel="0" collapsed="false">
      <c r="A544" s="4" t="s">
        <v>734</v>
      </c>
      <c r="B544" s="4" t="s">
        <v>687</v>
      </c>
      <c r="C544" s="4" t="s">
        <v>24</v>
      </c>
      <c r="D544" s="4" t="s">
        <v>25</v>
      </c>
      <c r="E544" s="5" t="n">
        <v>23262.91</v>
      </c>
      <c r="F544" s="4" t="s">
        <v>17</v>
      </c>
    </row>
    <row r="545" customFormat="false" ht="15" hidden="false" customHeight="false" outlineLevel="0" collapsed="false">
      <c r="A545" s="4" t="s">
        <v>735</v>
      </c>
      <c r="B545" s="4" t="s">
        <v>627</v>
      </c>
      <c r="C545" s="4" t="s">
        <v>24</v>
      </c>
      <c r="D545" s="4" t="s">
        <v>25</v>
      </c>
      <c r="E545" s="5" t="n">
        <v>47588.26</v>
      </c>
      <c r="F545" s="4" t="s">
        <v>17</v>
      </c>
    </row>
    <row r="546" customFormat="false" ht="15" hidden="false" customHeight="false" outlineLevel="0" collapsed="false">
      <c r="A546" s="4" t="s">
        <v>736</v>
      </c>
      <c r="B546" s="4" t="s">
        <v>635</v>
      </c>
      <c r="C546" s="4" t="s">
        <v>45</v>
      </c>
      <c r="D546" s="4" t="s">
        <v>38</v>
      </c>
      <c r="E546" s="5" t="n">
        <v>56348.46</v>
      </c>
      <c r="F546" s="4" t="s">
        <v>38</v>
      </c>
    </row>
    <row r="547" customFormat="false" ht="15" hidden="false" customHeight="false" outlineLevel="0" collapsed="false">
      <c r="A547" s="4" t="s">
        <v>737</v>
      </c>
      <c r="B547" s="4" t="s">
        <v>704</v>
      </c>
      <c r="C547" s="4" t="s">
        <v>94</v>
      </c>
      <c r="D547" s="4" t="s">
        <v>68</v>
      </c>
      <c r="E547" s="5" t="n">
        <v>42024.03</v>
      </c>
      <c r="F547" s="4" t="s">
        <v>17</v>
      </c>
    </row>
    <row r="548" customFormat="false" ht="15" hidden="false" customHeight="false" outlineLevel="0" collapsed="false">
      <c r="A548" s="4" t="s">
        <v>738</v>
      </c>
      <c r="B548" s="4" t="s">
        <v>718</v>
      </c>
      <c r="C548" s="4" t="s">
        <v>94</v>
      </c>
      <c r="D548" s="4" t="s">
        <v>68</v>
      </c>
      <c r="E548" s="5" t="n">
        <v>27313.33</v>
      </c>
      <c r="F548" s="4" t="s">
        <v>17</v>
      </c>
    </row>
    <row r="549" customFormat="false" ht="15" hidden="false" customHeight="false" outlineLevel="0" collapsed="false">
      <c r="A549" s="4" t="s">
        <v>739</v>
      </c>
      <c r="B549" s="4" t="s">
        <v>722</v>
      </c>
      <c r="C549" s="4" t="s">
        <v>24</v>
      </c>
      <c r="D549" s="4" t="s">
        <v>25</v>
      </c>
      <c r="E549" s="5" t="n">
        <v>7372.75</v>
      </c>
      <c r="F549" s="4" t="s">
        <v>17</v>
      </c>
    </row>
    <row r="550" customFormat="false" ht="15" hidden="false" customHeight="false" outlineLevel="0" collapsed="false">
      <c r="A550" s="4" t="s">
        <v>740</v>
      </c>
      <c r="B550" s="4" t="s">
        <v>716</v>
      </c>
      <c r="C550" s="4" t="s">
        <v>67</v>
      </c>
      <c r="D550" s="4" t="s">
        <v>68</v>
      </c>
      <c r="E550" s="5" t="n">
        <v>55727.26</v>
      </c>
      <c r="F550" s="4" t="s">
        <v>17</v>
      </c>
    </row>
    <row r="551" customFormat="false" ht="15" hidden="false" customHeight="false" outlineLevel="0" collapsed="false">
      <c r="A551" s="4" t="s">
        <v>741</v>
      </c>
      <c r="B551" s="4" t="s">
        <v>651</v>
      </c>
      <c r="C551" s="4" t="s">
        <v>36</v>
      </c>
      <c r="D551" s="4" t="s">
        <v>37</v>
      </c>
      <c r="E551" s="5" t="n">
        <v>42504.2</v>
      </c>
      <c r="F551" s="4" t="s">
        <v>38</v>
      </c>
    </row>
    <row r="552" customFormat="false" ht="15" hidden="false" customHeight="false" outlineLevel="0" collapsed="false">
      <c r="A552" s="4" t="s">
        <v>742</v>
      </c>
      <c r="B552" s="4" t="s">
        <v>651</v>
      </c>
      <c r="C552" s="4" t="s">
        <v>32</v>
      </c>
      <c r="D552" s="4" t="s">
        <v>33</v>
      </c>
      <c r="E552" s="5" t="n">
        <v>7608.12</v>
      </c>
      <c r="F552" s="4" t="s">
        <v>17</v>
      </c>
    </row>
    <row r="553" customFormat="false" ht="15" hidden="false" customHeight="false" outlineLevel="0" collapsed="false">
      <c r="A553" s="4" t="s">
        <v>743</v>
      </c>
      <c r="B553" s="4" t="s">
        <v>693</v>
      </c>
      <c r="C553" s="4" t="s">
        <v>62</v>
      </c>
      <c r="D553" s="4" t="s">
        <v>38</v>
      </c>
      <c r="E553" s="5" t="n">
        <v>55237.73</v>
      </c>
      <c r="F553" s="4" t="s">
        <v>38</v>
      </c>
    </row>
    <row r="554" customFormat="false" ht="15" hidden="false" customHeight="false" outlineLevel="0" collapsed="false">
      <c r="A554" s="4" t="s">
        <v>744</v>
      </c>
      <c r="B554" s="4" t="s">
        <v>716</v>
      </c>
      <c r="C554" s="4" t="s">
        <v>94</v>
      </c>
      <c r="D554" s="4" t="s">
        <v>68</v>
      </c>
      <c r="E554" s="5" t="n">
        <v>44964.03</v>
      </c>
      <c r="F554" s="4" t="s">
        <v>17</v>
      </c>
    </row>
    <row r="555" customFormat="false" ht="15" hidden="false" customHeight="false" outlineLevel="0" collapsed="false">
      <c r="A555" s="4" t="s">
        <v>745</v>
      </c>
      <c r="B555" s="4" t="s">
        <v>649</v>
      </c>
      <c r="C555" s="4" t="s">
        <v>36</v>
      </c>
      <c r="D555" s="4" t="s">
        <v>37</v>
      </c>
      <c r="E555" s="5" t="n">
        <v>20063.39</v>
      </c>
      <c r="F555" s="4" t="s">
        <v>38</v>
      </c>
    </row>
    <row r="556" customFormat="false" ht="15" hidden="false" customHeight="false" outlineLevel="0" collapsed="false">
      <c r="A556" s="4" t="s">
        <v>746</v>
      </c>
      <c r="B556" s="4" t="s">
        <v>637</v>
      </c>
      <c r="C556" s="4" t="s">
        <v>24</v>
      </c>
      <c r="D556" s="4" t="s">
        <v>25</v>
      </c>
      <c r="E556" s="5" t="n">
        <v>26693.84</v>
      </c>
      <c r="F556" s="4" t="s">
        <v>17</v>
      </c>
    </row>
    <row r="557" customFormat="false" ht="15" hidden="false" customHeight="false" outlineLevel="0" collapsed="false">
      <c r="A557" s="4" t="s">
        <v>747</v>
      </c>
      <c r="B557" s="4" t="s">
        <v>748</v>
      </c>
      <c r="C557" s="4" t="s">
        <v>41</v>
      </c>
      <c r="D557" s="4" t="s">
        <v>16</v>
      </c>
      <c r="E557" s="5" t="n">
        <v>57818.22</v>
      </c>
      <c r="F557" s="4" t="s">
        <v>17</v>
      </c>
    </row>
    <row r="558" customFormat="false" ht="15" hidden="false" customHeight="false" outlineLevel="0" collapsed="false">
      <c r="A558" s="4" t="s">
        <v>749</v>
      </c>
      <c r="B558" s="4" t="s">
        <v>748</v>
      </c>
      <c r="C558" s="4" t="s">
        <v>67</v>
      </c>
      <c r="D558" s="4" t="s">
        <v>68</v>
      </c>
      <c r="E558" s="5" t="n">
        <v>19339.89</v>
      </c>
      <c r="F558" s="4" t="s">
        <v>17</v>
      </c>
    </row>
    <row r="559" customFormat="false" ht="15" hidden="false" customHeight="false" outlineLevel="0" collapsed="false">
      <c r="A559" s="4" t="s">
        <v>750</v>
      </c>
      <c r="B559" s="4" t="s">
        <v>751</v>
      </c>
      <c r="C559" s="4" t="s">
        <v>67</v>
      </c>
      <c r="D559" s="4" t="s">
        <v>68</v>
      </c>
      <c r="E559" s="5" t="n">
        <v>27466.45</v>
      </c>
      <c r="F559" s="4" t="s">
        <v>17</v>
      </c>
    </row>
    <row r="560" customFormat="false" ht="15" hidden="false" customHeight="false" outlineLevel="0" collapsed="false">
      <c r="A560" s="4" t="s">
        <v>752</v>
      </c>
      <c r="B560" s="4" t="s">
        <v>753</v>
      </c>
      <c r="C560" s="4" t="s">
        <v>20</v>
      </c>
      <c r="D560" s="4" t="s">
        <v>21</v>
      </c>
      <c r="E560" s="5" t="n">
        <v>5747.78</v>
      </c>
      <c r="F560" s="4" t="s">
        <v>17</v>
      </c>
    </row>
    <row r="561" customFormat="false" ht="15" hidden="false" customHeight="false" outlineLevel="0" collapsed="false">
      <c r="A561" s="4" t="s">
        <v>754</v>
      </c>
      <c r="B561" s="4" t="s">
        <v>755</v>
      </c>
      <c r="C561" s="4" t="s">
        <v>24</v>
      </c>
      <c r="D561" s="4" t="s">
        <v>25</v>
      </c>
      <c r="E561" s="5" t="n">
        <v>67092.48</v>
      </c>
      <c r="F561" s="4" t="s">
        <v>17</v>
      </c>
    </row>
    <row r="562" customFormat="false" ht="15" hidden="false" customHeight="false" outlineLevel="0" collapsed="false">
      <c r="A562" s="4" t="s">
        <v>756</v>
      </c>
      <c r="B562" s="4" t="s">
        <v>757</v>
      </c>
      <c r="C562" s="4" t="s">
        <v>101</v>
      </c>
      <c r="D562" s="4" t="s">
        <v>33</v>
      </c>
      <c r="E562" s="5" t="n">
        <v>39839.81</v>
      </c>
      <c r="F562" s="4" t="s">
        <v>17</v>
      </c>
    </row>
    <row r="563" customFormat="false" ht="15" hidden="false" customHeight="false" outlineLevel="0" collapsed="false">
      <c r="A563" s="4" t="s">
        <v>758</v>
      </c>
      <c r="B563" s="4" t="s">
        <v>759</v>
      </c>
      <c r="C563" s="4" t="s">
        <v>101</v>
      </c>
      <c r="D563" s="4" t="s">
        <v>33</v>
      </c>
      <c r="E563" s="5" t="n">
        <v>17659.05</v>
      </c>
      <c r="F563" s="4" t="s">
        <v>17</v>
      </c>
    </row>
    <row r="564" customFormat="false" ht="15" hidden="false" customHeight="false" outlineLevel="0" collapsed="false">
      <c r="A564" s="4" t="s">
        <v>760</v>
      </c>
      <c r="B564" s="4" t="s">
        <v>761</v>
      </c>
      <c r="C564" s="4" t="s">
        <v>24</v>
      </c>
      <c r="D564" s="4" t="s">
        <v>25</v>
      </c>
      <c r="E564" s="5" t="n">
        <v>43404.61</v>
      </c>
      <c r="F564" s="4" t="s">
        <v>17</v>
      </c>
    </row>
    <row r="565" customFormat="false" ht="15" hidden="false" customHeight="false" outlineLevel="0" collapsed="false">
      <c r="A565" s="4" t="s">
        <v>762</v>
      </c>
      <c r="B565" s="4" t="s">
        <v>763</v>
      </c>
      <c r="C565" s="4" t="s">
        <v>101</v>
      </c>
      <c r="D565" s="4" t="s">
        <v>33</v>
      </c>
      <c r="E565" s="5" t="n">
        <v>19208.26</v>
      </c>
      <c r="F565" s="4" t="s">
        <v>17</v>
      </c>
    </row>
    <row r="566" customFormat="false" ht="15" hidden="false" customHeight="false" outlineLevel="0" collapsed="false">
      <c r="A566" s="4" t="s">
        <v>764</v>
      </c>
      <c r="B566" s="4" t="s">
        <v>765</v>
      </c>
      <c r="C566" s="4" t="s">
        <v>45</v>
      </c>
      <c r="D566" s="4" t="s">
        <v>38</v>
      </c>
      <c r="E566" s="5" t="n">
        <v>10635.16</v>
      </c>
      <c r="F566" s="4" t="s">
        <v>38</v>
      </c>
    </row>
    <row r="567" customFormat="false" ht="15" hidden="false" customHeight="false" outlineLevel="0" collapsed="false">
      <c r="A567" s="4" t="s">
        <v>766</v>
      </c>
      <c r="B567" s="4" t="s">
        <v>767</v>
      </c>
      <c r="C567" s="4" t="s">
        <v>32</v>
      </c>
      <c r="D567" s="4" t="s">
        <v>33</v>
      </c>
      <c r="E567" s="5" t="n">
        <v>32602.74</v>
      </c>
      <c r="F567" s="4" t="s">
        <v>17</v>
      </c>
    </row>
    <row r="568" customFormat="false" ht="15" hidden="false" customHeight="false" outlineLevel="0" collapsed="false">
      <c r="A568" s="4" t="s">
        <v>768</v>
      </c>
      <c r="B568" s="4" t="s">
        <v>759</v>
      </c>
      <c r="C568" s="4" t="s">
        <v>45</v>
      </c>
      <c r="D568" s="4" t="s">
        <v>38</v>
      </c>
      <c r="E568" s="5" t="n">
        <v>48515.67</v>
      </c>
      <c r="F568" s="4" t="s">
        <v>38</v>
      </c>
    </row>
    <row r="569" customFormat="false" ht="15" hidden="false" customHeight="false" outlineLevel="0" collapsed="false">
      <c r="A569" s="4" t="s">
        <v>769</v>
      </c>
      <c r="B569" s="4" t="s">
        <v>770</v>
      </c>
      <c r="C569" s="4" t="s">
        <v>94</v>
      </c>
      <c r="D569" s="4" t="s">
        <v>68</v>
      </c>
      <c r="E569" s="5" t="n">
        <v>5040.04</v>
      </c>
      <c r="F569" s="4" t="s">
        <v>17</v>
      </c>
    </row>
    <row r="570" customFormat="false" ht="15" hidden="false" customHeight="false" outlineLevel="0" collapsed="false">
      <c r="A570" s="4" t="s">
        <v>771</v>
      </c>
      <c r="B570" s="4" t="s">
        <v>772</v>
      </c>
      <c r="C570" s="4" t="s">
        <v>24</v>
      </c>
      <c r="D570" s="4" t="s">
        <v>25</v>
      </c>
      <c r="E570" s="5" t="n">
        <v>48867.85</v>
      </c>
      <c r="F570" s="4" t="s">
        <v>17</v>
      </c>
    </row>
    <row r="571" customFormat="false" ht="15" hidden="false" customHeight="false" outlineLevel="0" collapsed="false">
      <c r="A571" s="4" t="s">
        <v>773</v>
      </c>
      <c r="B571" s="4" t="s">
        <v>774</v>
      </c>
      <c r="C571" s="4" t="s">
        <v>20</v>
      </c>
      <c r="D571" s="4" t="s">
        <v>21</v>
      </c>
      <c r="E571" s="5" t="n">
        <v>29009.3</v>
      </c>
      <c r="F571" s="4" t="s">
        <v>17</v>
      </c>
    </row>
    <row r="572" customFormat="false" ht="15" hidden="false" customHeight="false" outlineLevel="0" collapsed="false">
      <c r="A572" s="4" t="s">
        <v>775</v>
      </c>
      <c r="B572" s="4" t="s">
        <v>776</v>
      </c>
      <c r="C572" s="4" t="s">
        <v>54</v>
      </c>
      <c r="D572" s="4" t="s">
        <v>21</v>
      </c>
      <c r="E572" s="5" t="n">
        <v>60236.17</v>
      </c>
      <c r="F572" s="4" t="s">
        <v>17</v>
      </c>
    </row>
    <row r="573" customFormat="false" ht="15" hidden="false" customHeight="false" outlineLevel="0" collapsed="false">
      <c r="A573" s="4" t="s">
        <v>777</v>
      </c>
      <c r="B573" s="4" t="s">
        <v>767</v>
      </c>
      <c r="C573" s="4" t="s">
        <v>62</v>
      </c>
      <c r="D573" s="4" t="s">
        <v>38</v>
      </c>
      <c r="E573" s="5" t="n">
        <v>34468.86</v>
      </c>
      <c r="F573" s="4" t="s">
        <v>38</v>
      </c>
    </row>
    <row r="574" customFormat="false" ht="15" hidden="false" customHeight="false" outlineLevel="0" collapsed="false">
      <c r="A574" s="4" t="s">
        <v>778</v>
      </c>
      <c r="B574" s="4" t="s">
        <v>757</v>
      </c>
      <c r="C574" s="4" t="s">
        <v>41</v>
      </c>
      <c r="D574" s="4" t="s">
        <v>16</v>
      </c>
      <c r="E574" s="5" t="n">
        <v>63228.11</v>
      </c>
      <c r="F574" s="4" t="s">
        <v>17</v>
      </c>
    </row>
    <row r="575" customFormat="false" ht="15" hidden="false" customHeight="false" outlineLevel="0" collapsed="false">
      <c r="A575" s="4" t="s">
        <v>779</v>
      </c>
      <c r="B575" s="4" t="s">
        <v>770</v>
      </c>
      <c r="C575" s="4" t="s">
        <v>62</v>
      </c>
      <c r="D575" s="4" t="s">
        <v>38</v>
      </c>
      <c r="E575" s="5" t="n">
        <v>23302.56</v>
      </c>
      <c r="F575" s="4" t="s">
        <v>38</v>
      </c>
    </row>
    <row r="576" customFormat="false" ht="15" hidden="false" customHeight="false" outlineLevel="0" collapsed="false">
      <c r="A576" s="4" t="s">
        <v>780</v>
      </c>
      <c r="B576" s="4" t="s">
        <v>781</v>
      </c>
      <c r="C576" s="4" t="s">
        <v>24</v>
      </c>
      <c r="D576" s="4" t="s">
        <v>25</v>
      </c>
      <c r="E576" s="5" t="n">
        <v>54705.52</v>
      </c>
      <c r="F576" s="4" t="s">
        <v>17</v>
      </c>
    </row>
    <row r="577" customFormat="false" ht="15" hidden="false" customHeight="false" outlineLevel="0" collapsed="false">
      <c r="A577" s="4" t="s">
        <v>782</v>
      </c>
      <c r="B577" s="4" t="s">
        <v>751</v>
      </c>
      <c r="C577" s="4" t="s">
        <v>24</v>
      </c>
      <c r="D577" s="4" t="s">
        <v>25</v>
      </c>
      <c r="E577" s="5" t="n">
        <v>53074.59</v>
      </c>
      <c r="F577" s="4" t="s">
        <v>17</v>
      </c>
    </row>
    <row r="578" customFormat="false" ht="15" hidden="false" customHeight="false" outlineLevel="0" collapsed="false">
      <c r="A578" s="4" t="s">
        <v>783</v>
      </c>
      <c r="B578" s="4" t="s">
        <v>751</v>
      </c>
      <c r="C578" s="4" t="s">
        <v>67</v>
      </c>
      <c r="D578" s="4" t="s">
        <v>68</v>
      </c>
      <c r="E578" s="5" t="n">
        <v>44839.79</v>
      </c>
      <c r="F578" s="4" t="s">
        <v>17</v>
      </c>
    </row>
    <row r="579" customFormat="false" ht="15" hidden="false" customHeight="false" outlineLevel="0" collapsed="false">
      <c r="A579" s="4" t="s">
        <v>784</v>
      </c>
      <c r="B579" s="4" t="s">
        <v>785</v>
      </c>
      <c r="C579" s="4" t="s">
        <v>62</v>
      </c>
      <c r="D579" s="4" t="s">
        <v>38</v>
      </c>
      <c r="E579" s="5" t="n">
        <v>56407.37</v>
      </c>
      <c r="F579" s="4" t="s">
        <v>38</v>
      </c>
    </row>
    <row r="580" customFormat="false" ht="15" hidden="false" customHeight="false" outlineLevel="0" collapsed="false">
      <c r="A580" s="4" t="s">
        <v>786</v>
      </c>
      <c r="B580" s="4" t="s">
        <v>751</v>
      </c>
      <c r="C580" s="4" t="s">
        <v>20</v>
      </c>
      <c r="D580" s="4" t="s">
        <v>21</v>
      </c>
      <c r="E580" s="5" t="n">
        <v>27127.31</v>
      </c>
      <c r="F580" s="4" t="s">
        <v>17</v>
      </c>
    </row>
    <row r="581" customFormat="false" ht="15" hidden="false" customHeight="false" outlineLevel="0" collapsed="false">
      <c r="A581" s="4" t="s">
        <v>787</v>
      </c>
      <c r="B581" s="4" t="s">
        <v>788</v>
      </c>
      <c r="C581" s="4" t="s">
        <v>41</v>
      </c>
      <c r="D581" s="4" t="s">
        <v>16</v>
      </c>
      <c r="E581" s="5" t="n">
        <v>5098.43</v>
      </c>
      <c r="F581" s="4" t="s">
        <v>17</v>
      </c>
    </row>
    <row r="582" customFormat="false" ht="15" hidden="false" customHeight="false" outlineLevel="0" collapsed="false">
      <c r="A582" s="4" t="s">
        <v>789</v>
      </c>
      <c r="B582" s="4" t="s">
        <v>790</v>
      </c>
      <c r="C582" s="4" t="s">
        <v>62</v>
      </c>
      <c r="D582" s="4" t="s">
        <v>38</v>
      </c>
      <c r="E582" s="5" t="n">
        <v>5962.41</v>
      </c>
      <c r="F582" s="4" t="s">
        <v>38</v>
      </c>
    </row>
    <row r="583" customFormat="false" ht="15" hidden="false" customHeight="false" outlineLevel="0" collapsed="false">
      <c r="A583" s="4" t="s">
        <v>791</v>
      </c>
      <c r="B583" s="4" t="s">
        <v>761</v>
      </c>
      <c r="C583" s="4" t="s">
        <v>101</v>
      </c>
      <c r="D583" s="4" t="s">
        <v>33</v>
      </c>
      <c r="E583" s="5" t="n">
        <v>62451.51</v>
      </c>
      <c r="F583" s="4" t="s">
        <v>17</v>
      </c>
    </row>
    <row r="584" customFormat="false" ht="15" hidden="false" customHeight="false" outlineLevel="0" collapsed="false">
      <c r="A584" s="4" t="s">
        <v>792</v>
      </c>
      <c r="B584" s="4" t="s">
        <v>793</v>
      </c>
      <c r="C584" s="4" t="s">
        <v>54</v>
      </c>
      <c r="D584" s="4" t="s">
        <v>21</v>
      </c>
      <c r="E584" s="5" t="n">
        <v>33352</v>
      </c>
      <c r="F584" s="4" t="s">
        <v>17</v>
      </c>
    </row>
    <row r="585" customFormat="false" ht="15" hidden="false" customHeight="false" outlineLevel="0" collapsed="false">
      <c r="A585" s="4" t="s">
        <v>794</v>
      </c>
      <c r="B585" s="4" t="s">
        <v>795</v>
      </c>
      <c r="C585" s="4" t="s">
        <v>94</v>
      </c>
      <c r="D585" s="4" t="s">
        <v>68</v>
      </c>
      <c r="E585" s="5" t="n">
        <v>44003.32</v>
      </c>
      <c r="F585" s="4" t="s">
        <v>17</v>
      </c>
    </row>
    <row r="586" customFormat="false" ht="15" hidden="false" customHeight="false" outlineLevel="0" collapsed="false">
      <c r="A586" s="4" t="s">
        <v>796</v>
      </c>
      <c r="B586" s="4" t="s">
        <v>793</v>
      </c>
      <c r="C586" s="4" t="s">
        <v>94</v>
      </c>
      <c r="D586" s="4" t="s">
        <v>68</v>
      </c>
      <c r="E586" s="5" t="n">
        <v>15786.56</v>
      </c>
      <c r="F586" s="4" t="s">
        <v>17</v>
      </c>
    </row>
    <row r="587" customFormat="false" ht="15" hidden="false" customHeight="false" outlineLevel="0" collapsed="false">
      <c r="A587" s="4" t="s">
        <v>797</v>
      </c>
      <c r="B587" s="4" t="s">
        <v>765</v>
      </c>
      <c r="C587" s="4" t="s">
        <v>32</v>
      </c>
      <c r="D587" s="4" t="s">
        <v>33</v>
      </c>
      <c r="E587" s="5" t="n">
        <v>12512.99</v>
      </c>
      <c r="F587" s="4" t="s">
        <v>17</v>
      </c>
    </row>
    <row r="588" customFormat="false" ht="15" hidden="false" customHeight="false" outlineLevel="0" collapsed="false">
      <c r="A588" s="4" t="s">
        <v>798</v>
      </c>
      <c r="B588" s="4" t="s">
        <v>799</v>
      </c>
      <c r="C588" s="4" t="s">
        <v>62</v>
      </c>
      <c r="D588" s="4" t="s">
        <v>38</v>
      </c>
      <c r="E588" s="5" t="n">
        <v>28837.28</v>
      </c>
      <c r="F588" s="4" t="s">
        <v>38</v>
      </c>
    </row>
    <row r="589" customFormat="false" ht="15" hidden="false" customHeight="false" outlineLevel="0" collapsed="false">
      <c r="A589" s="4" t="s">
        <v>800</v>
      </c>
      <c r="B589" s="4" t="s">
        <v>799</v>
      </c>
      <c r="C589" s="4" t="s">
        <v>67</v>
      </c>
      <c r="D589" s="4" t="s">
        <v>68</v>
      </c>
      <c r="E589" s="5" t="n">
        <v>25116.26</v>
      </c>
      <c r="F589" s="4" t="s">
        <v>17</v>
      </c>
    </row>
    <row r="590" customFormat="false" ht="15" hidden="false" customHeight="false" outlineLevel="0" collapsed="false">
      <c r="A590" s="4" t="s">
        <v>801</v>
      </c>
      <c r="B590" s="4" t="s">
        <v>765</v>
      </c>
      <c r="C590" s="4" t="s">
        <v>94</v>
      </c>
      <c r="D590" s="4" t="s">
        <v>68</v>
      </c>
      <c r="E590" s="5" t="n">
        <v>13308.51</v>
      </c>
      <c r="F590" s="4" t="s">
        <v>17</v>
      </c>
    </row>
    <row r="591" customFormat="false" ht="15" hidden="false" customHeight="false" outlineLevel="0" collapsed="false">
      <c r="A591" s="4" t="s">
        <v>802</v>
      </c>
      <c r="B591" s="4" t="s">
        <v>751</v>
      </c>
      <c r="C591" s="4" t="s">
        <v>94</v>
      </c>
      <c r="D591" s="4" t="s">
        <v>68</v>
      </c>
      <c r="E591" s="5" t="n">
        <v>11536.55</v>
      </c>
      <c r="F591" s="4" t="s">
        <v>17</v>
      </c>
    </row>
    <row r="592" customFormat="false" ht="15" hidden="false" customHeight="false" outlineLevel="0" collapsed="false">
      <c r="A592" s="4" t="s">
        <v>803</v>
      </c>
      <c r="B592" s="4" t="s">
        <v>799</v>
      </c>
      <c r="C592" s="4" t="s">
        <v>20</v>
      </c>
      <c r="D592" s="4" t="s">
        <v>21</v>
      </c>
      <c r="E592" s="5" t="n">
        <v>30181.04</v>
      </c>
      <c r="F592" s="4" t="s">
        <v>17</v>
      </c>
    </row>
    <row r="593" customFormat="false" ht="15" hidden="false" customHeight="false" outlineLevel="0" collapsed="false">
      <c r="A593" s="4" t="s">
        <v>804</v>
      </c>
      <c r="B593" s="4" t="s">
        <v>805</v>
      </c>
      <c r="C593" s="4" t="s">
        <v>45</v>
      </c>
      <c r="D593" s="4" t="s">
        <v>38</v>
      </c>
      <c r="E593" s="5" t="n">
        <v>49071.36</v>
      </c>
      <c r="F593" s="4" t="s">
        <v>38</v>
      </c>
    </row>
    <row r="594" customFormat="false" ht="15" hidden="false" customHeight="false" outlineLevel="0" collapsed="false">
      <c r="A594" s="4" t="s">
        <v>806</v>
      </c>
      <c r="B594" s="4" t="s">
        <v>767</v>
      </c>
      <c r="C594" s="4" t="s">
        <v>62</v>
      </c>
      <c r="D594" s="4" t="s">
        <v>38</v>
      </c>
      <c r="E594" s="5" t="n">
        <v>10629.65</v>
      </c>
      <c r="F594" s="4" t="s">
        <v>38</v>
      </c>
    </row>
    <row r="595" customFormat="false" ht="15" hidden="false" customHeight="false" outlineLevel="0" collapsed="false">
      <c r="A595" s="4" t="s">
        <v>807</v>
      </c>
      <c r="B595" s="4" t="s">
        <v>748</v>
      </c>
      <c r="C595" s="4" t="s">
        <v>62</v>
      </c>
      <c r="D595" s="4" t="s">
        <v>38</v>
      </c>
      <c r="E595" s="5" t="n">
        <v>7007.67</v>
      </c>
      <c r="F595" s="4" t="s">
        <v>38</v>
      </c>
    </row>
    <row r="596" customFormat="false" ht="15" hidden="false" customHeight="false" outlineLevel="0" collapsed="false">
      <c r="A596" s="4" t="s">
        <v>808</v>
      </c>
      <c r="B596" s="4" t="s">
        <v>776</v>
      </c>
      <c r="C596" s="4" t="s">
        <v>15</v>
      </c>
      <c r="D596" s="4" t="s">
        <v>16</v>
      </c>
      <c r="E596" s="5" t="n">
        <v>39514.67</v>
      </c>
      <c r="F596" s="4" t="s">
        <v>17</v>
      </c>
    </row>
    <row r="597" customFormat="false" ht="15" hidden="false" customHeight="false" outlineLevel="0" collapsed="false">
      <c r="A597" s="4" t="s">
        <v>809</v>
      </c>
      <c r="B597" s="4" t="s">
        <v>751</v>
      </c>
      <c r="C597" s="4" t="s">
        <v>62</v>
      </c>
      <c r="D597" s="4" t="s">
        <v>38</v>
      </c>
      <c r="E597" s="5" t="n">
        <v>46099.55</v>
      </c>
      <c r="F597" s="4" t="s">
        <v>38</v>
      </c>
    </row>
    <row r="598" customFormat="false" ht="15" hidden="false" customHeight="false" outlineLevel="0" collapsed="false">
      <c r="A598" s="4" t="s">
        <v>810</v>
      </c>
      <c r="B598" s="4" t="s">
        <v>793</v>
      </c>
      <c r="C598" s="4" t="s">
        <v>41</v>
      </c>
      <c r="D598" s="4" t="s">
        <v>16</v>
      </c>
      <c r="E598" s="5" t="n">
        <v>54997.03</v>
      </c>
      <c r="F598" s="4" t="s">
        <v>17</v>
      </c>
    </row>
    <row r="599" customFormat="false" ht="15" hidden="false" customHeight="false" outlineLevel="0" collapsed="false">
      <c r="A599" s="4" t="s">
        <v>811</v>
      </c>
      <c r="B599" s="4" t="s">
        <v>767</v>
      </c>
      <c r="C599" s="4" t="s">
        <v>62</v>
      </c>
      <c r="D599" s="4" t="s">
        <v>38</v>
      </c>
      <c r="E599" s="5" t="n">
        <v>43218.74</v>
      </c>
      <c r="F599" s="4" t="s">
        <v>38</v>
      </c>
    </row>
    <row r="600" customFormat="false" ht="15" hidden="false" customHeight="false" outlineLevel="0" collapsed="false">
      <c r="A600" s="4" t="s">
        <v>812</v>
      </c>
      <c r="B600" s="4" t="s">
        <v>805</v>
      </c>
      <c r="C600" s="4" t="s">
        <v>32</v>
      </c>
      <c r="D600" s="4" t="s">
        <v>33</v>
      </c>
      <c r="E600" s="5" t="n">
        <v>22553.82</v>
      </c>
      <c r="F600" s="4" t="s">
        <v>17</v>
      </c>
    </row>
    <row r="601" customFormat="false" ht="15" hidden="false" customHeight="false" outlineLevel="0" collapsed="false">
      <c r="A601" s="4" t="s">
        <v>813</v>
      </c>
      <c r="B601" s="4" t="s">
        <v>763</v>
      </c>
      <c r="C601" s="4" t="s">
        <v>20</v>
      </c>
      <c r="D601" s="4" t="s">
        <v>21</v>
      </c>
      <c r="E601" s="5" t="n">
        <v>22747.05</v>
      </c>
      <c r="F601" s="4" t="s">
        <v>17</v>
      </c>
    </row>
    <row r="602" customFormat="false" ht="15" hidden="false" customHeight="false" outlineLevel="0" collapsed="false">
      <c r="A602" s="4" t="s">
        <v>814</v>
      </c>
      <c r="B602" s="4" t="s">
        <v>772</v>
      </c>
      <c r="C602" s="4" t="s">
        <v>15</v>
      </c>
      <c r="D602" s="4" t="s">
        <v>16</v>
      </c>
      <c r="E602" s="5" t="n">
        <v>43122.88</v>
      </c>
      <c r="F602" s="4" t="s">
        <v>17</v>
      </c>
    </row>
    <row r="603" customFormat="false" ht="15" hidden="false" customHeight="false" outlineLevel="0" collapsed="false">
      <c r="A603" s="4" t="s">
        <v>815</v>
      </c>
      <c r="B603" s="4" t="s">
        <v>816</v>
      </c>
      <c r="C603" s="4" t="s">
        <v>101</v>
      </c>
      <c r="D603" s="4" t="s">
        <v>33</v>
      </c>
      <c r="E603" s="5" t="n">
        <v>56891.55</v>
      </c>
      <c r="F603" s="4" t="s">
        <v>17</v>
      </c>
    </row>
    <row r="604" customFormat="false" ht="15" hidden="false" customHeight="false" outlineLevel="0" collapsed="false">
      <c r="A604" s="4" t="s">
        <v>817</v>
      </c>
      <c r="B604" s="4" t="s">
        <v>818</v>
      </c>
      <c r="C604" s="4" t="s">
        <v>36</v>
      </c>
      <c r="D604" s="4" t="s">
        <v>37</v>
      </c>
      <c r="E604" s="5" t="n">
        <v>34796.83</v>
      </c>
      <c r="F604" s="4" t="s">
        <v>38</v>
      </c>
    </row>
    <row r="605" customFormat="false" ht="15" hidden="false" customHeight="false" outlineLevel="0" collapsed="false">
      <c r="A605" s="4" t="s">
        <v>819</v>
      </c>
      <c r="B605" s="4" t="s">
        <v>772</v>
      </c>
      <c r="C605" s="4" t="s">
        <v>67</v>
      </c>
      <c r="D605" s="4" t="s">
        <v>68</v>
      </c>
      <c r="E605" s="5" t="n">
        <v>28815.31</v>
      </c>
      <c r="F605" s="4" t="s">
        <v>17</v>
      </c>
    </row>
    <row r="606" customFormat="false" ht="15" hidden="false" customHeight="false" outlineLevel="0" collapsed="false">
      <c r="A606" s="4" t="s">
        <v>820</v>
      </c>
      <c r="B606" s="4" t="s">
        <v>751</v>
      </c>
      <c r="C606" s="4" t="s">
        <v>101</v>
      </c>
      <c r="D606" s="4" t="s">
        <v>33</v>
      </c>
      <c r="E606" s="5" t="n">
        <v>58304.86</v>
      </c>
      <c r="F606" s="4" t="s">
        <v>17</v>
      </c>
    </row>
    <row r="607" customFormat="false" ht="15" hidden="false" customHeight="false" outlineLevel="0" collapsed="false">
      <c r="A607" s="4" t="s">
        <v>821</v>
      </c>
      <c r="B607" s="4" t="s">
        <v>765</v>
      </c>
      <c r="C607" s="4" t="s">
        <v>36</v>
      </c>
      <c r="D607" s="4" t="s">
        <v>37</v>
      </c>
      <c r="E607" s="5" t="n">
        <v>47507.31</v>
      </c>
      <c r="F607" s="4" t="s">
        <v>38</v>
      </c>
    </row>
    <row r="608" customFormat="false" ht="15" hidden="false" customHeight="false" outlineLevel="0" collapsed="false">
      <c r="A608" s="4" t="s">
        <v>822</v>
      </c>
      <c r="B608" s="4" t="s">
        <v>772</v>
      </c>
      <c r="C608" s="4" t="s">
        <v>94</v>
      </c>
      <c r="D608" s="4" t="s">
        <v>68</v>
      </c>
      <c r="E608" s="5" t="n">
        <v>10068.97</v>
      </c>
      <c r="F608" s="4" t="s">
        <v>17</v>
      </c>
    </row>
    <row r="609" customFormat="false" ht="15" hidden="false" customHeight="false" outlineLevel="0" collapsed="false">
      <c r="A609" s="4" t="s">
        <v>823</v>
      </c>
      <c r="B609" s="4" t="s">
        <v>770</v>
      </c>
      <c r="C609" s="4" t="s">
        <v>20</v>
      </c>
      <c r="D609" s="4" t="s">
        <v>21</v>
      </c>
      <c r="E609" s="5" t="n">
        <v>7869.94</v>
      </c>
      <c r="F609" s="4" t="s">
        <v>17</v>
      </c>
    </row>
    <row r="610" customFormat="false" ht="15" hidden="false" customHeight="false" outlineLevel="0" collapsed="false">
      <c r="A610" s="4" t="s">
        <v>824</v>
      </c>
      <c r="B610" s="4" t="s">
        <v>790</v>
      </c>
      <c r="C610" s="4" t="s">
        <v>41</v>
      </c>
      <c r="D610" s="4" t="s">
        <v>16</v>
      </c>
      <c r="E610" s="5" t="n">
        <v>62686.17</v>
      </c>
      <c r="F610" s="4" t="s">
        <v>17</v>
      </c>
    </row>
    <row r="611" customFormat="false" ht="15" hidden="false" customHeight="false" outlineLevel="0" collapsed="false">
      <c r="A611" s="4" t="s">
        <v>825</v>
      </c>
      <c r="B611" s="4" t="s">
        <v>826</v>
      </c>
      <c r="C611" s="4" t="s">
        <v>20</v>
      </c>
      <c r="D611" s="4" t="s">
        <v>21</v>
      </c>
      <c r="E611" s="5" t="n">
        <v>42437.58</v>
      </c>
      <c r="F611" s="4" t="s">
        <v>17</v>
      </c>
    </row>
    <row r="612" customFormat="false" ht="15" hidden="false" customHeight="false" outlineLevel="0" collapsed="false">
      <c r="A612" s="4" t="s">
        <v>827</v>
      </c>
      <c r="B612" s="4" t="s">
        <v>765</v>
      </c>
      <c r="C612" s="4" t="s">
        <v>54</v>
      </c>
      <c r="D612" s="4" t="s">
        <v>21</v>
      </c>
      <c r="E612" s="5" t="n">
        <v>56261.02</v>
      </c>
      <c r="F612" s="4" t="s">
        <v>17</v>
      </c>
    </row>
    <row r="613" customFormat="false" ht="15" hidden="false" customHeight="false" outlineLevel="0" collapsed="false">
      <c r="A613" s="4" t="s">
        <v>828</v>
      </c>
      <c r="B613" s="4" t="s">
        <v>829</v>
      </c>
      <c r="C613" s="4" t="s">
        <v>41</v>
      </c>
      <c r="D613" s="4" t="s">
        <v>16</v>
      </c>
      <c r="E613" s="5" t="n">
        <v>25681.42</v>
      </c>
      <c r="F613" s="4" t="s">
        <v>17</v>
      </c>
    </row>
    <row r="614" customFormat="false" ht="15" hidden="false" customHeight="false" outlineLevel="0" collapsed="false">
      <c r="A614" s="4" t="s">
        <v>830</v>
      </c>
      <c r="B614" s="4" t="s">
        <v>799</v>
      </c>
      <c r="C614" s="4" t="s">
        <v>36</v>
      </c>
      <c r="D614" s="4" t="s">
        <v>37</v>
      </c>
      <c r="E614" s="5" t="n">
        <v>6921.18</v>
      </c>
      <c r="F614" s="4" t="s">
        <v>38</v>
      </c>
    </row>
    <row r="615" customFormat="false" ht="15" hidden="false" customHeight="false" outlineLevel="0" collapsed="false">
      <c r="A615" s="4" t="s">
        <v>831</v>
      </c>
      <c r="B615" s="4" t="s">
        <v>832</v>
      </c>
      <c r="C615" s="4" t="s">
        <v>62</v>
      </c>
      <c r="D615" s="4" t="s">
        <v>38</v>
      </c>
      <c r="E615" s="5" t="n">
        <v>32032.02</v>
      </c>
      <c r="F615" s="4" t="s">
        <v>38</v>
      </c>
    </row>
    <row r="616" customFormat="false" ht="15" hidden="false" customHeight="false" outlineLevel="0" collapsed="false">
      <c r="A616" s="4" t="s">
        <v>833</v>
      </c>
      <c r="B616" s="4" t="s">
        <v>774</v>
      </c>
      <c r="C616" s="4" t="s">
        <v>24</v>
      </c>
      <c r="D616" s="4" t="s">
        <v>25</v>
      </c>
      <c r="E616" s="5" t="n">
        <v>53270.72</v>
      </c>
      <c r="F616" s="4" t="s">
        <v>17</v>
      </c>
    </row>
    <row r="617" customFormat="false" ht="15" hidden="false" customHeight="false" outlineLevel="0" collapsed="false">
      <c r="A617" s="4" t="s">
        <v>834</v>
      </c>
      <c r="B617" s="4" t="s">
        <v>793</v>
      </c>
      <c r="C617" s="4" t="s">
        <v>36</v>
      </c>
      <c r="D617" s="4" t="s">
        <v>37</v>
      </c>
      <c r="E617" s="5" t="n">
        <v>56820.25</v>
      </c>
      <c r="F617" s="4" t="s">
        <v>38</v>
      </c>
    </row>
    <row r="618" customFormat="false" ht="15" hidden="false" customHeight="false" outlineLevel="0" collapsed="false">
      <c r="A618" s="4" t="s">
        <v>835</v>
      </c>
      <c r="B618" s="4" t="s">
        <v>836</v>
      </c>
      <c r="C618" s="4" t="s">
        <v>62</v>
      </c>
      <c r="D618" s="4" t="s">
        <v>38</v>
      </c>
      <c r="E618" s="5" t="n">
        <v>42605.95</v>
      </c>
      <c r="F618" s="4" t="s">
        <v>38</v>
      </c>
    </row>
    <row r="619" customFormat="false" ht="15" hidden="false" customHeight="false" outlineLevel="0" collapsed="false">
      <c r="A619" s="4" t="s">
        <v>837</v>
      </c>
      <c r="B619" s="4" t="s">
        <v>818</v>
      </c>
      <c r="C619" s="4" t="s">
        <v>62</v>
      </c>
      <c r="D619" s="4" t="s">
        <v>38</v>
      </c>
      <c r="E619" s="5" t="n">
        <v>57841.77</v>
      </c>
      <c r="F619" s="4" t="s">
        <v>38</v>
      </c>
    </row>
    <row r="620" customFormat="false" ht="15" hidden="false" customHeight="false" outlineLevel="0" collapsed="false">
      <c r="A620" s="4" t="s">
        <v>838</v>
      </c>
      <c r="B620" s="4" t="s">
        <v>788</v>
      </c>
      <c r="C620" s="4" t="s">
        <v>41</v>
      </c>
      <c r="D620" s="4" t="s">
        <v>16</v>
      </c>
      <c r="E620" s="5" t="n">
        <v>48268.82</v>
      </c>
      <c r="F620" s="4" t="s">
        <v>17</v>
      </c>
    </row>
    <row r="621" customFormat="false" ht="15" hidden="false" customHeight="false" outlineLevel="0" collapsed="false">
      <c r="A621" s="4" t="s">
        <v>839</v>
      </c>
      <c r="B621" s="4" t="s">
        <v>753</v>
      </c>
      <c r="C621" s="4" t="s">
        <v>36</v>
      </c>
      <c r="D621" s="4" t="s">
        <v>37</v>
      </c>
      <c r="E621" s="5" t="n">
        <v>42759.04</v>
      </c>
      <c r="F621" s="4" t="s">
        <v>38</v>
      </c>
    </row>
    <row r="622" customFormat="false" ht="15" hidden="false" customHeight="false" outlineLevel="0" collapsed="false">
      <c r="A622" s="4" t="s">
        <v>840</v>
      </c>
      <c r="B622" s="4" t="s">
        <v>772</v>
      </c>
      <c r="C622" s="4" t="s">
        <v>15</v>
      </c>
      <c r="D622" s="4" t="s">
        <v>16</v>
      </c>
      <c r="E622" s="5" t="n">
        <v>54817.92</v>
      </c>
      <c r="F622" s="4" t="s">
        <v>17</v>
      </c>
    </row>
    <row r="623" customFormat="false" ht="15" hidden="false" customHeight="false" outlineLevel="0" collapsed="false">
      <c r="A623" s="4" t="s">
        <v>841</v>
      </c>
      <c r="B623" s="4" t="s">
        <v>776</v>
      </c>
      <c r="C623" s="4" t="s">
        <v>62</v>
      </c>
      <c r="D623" s="4" t="s">
        <v>38</v>
      </c>
      <c r="E623" s="5" t="n">
        <v>61587.13</v>
      </c>
      <c r="F623" s="4" t="s">
        <v>38</v>
      </c>
    </row>
    <row r="624" customFormat="false" ht="15" hidden="false" customHeight="false" outlineLevel="0" collapsed="false">
      <c r="A624" s="4" t="s">
        <v>842</v>
      </c>
      <c r="B624" s="4" t="s">
        <v>805</v>
      </c>
      <c r="C624" s="4" t="s">
        <v>32</v>
      </c>
      <c r="D624" s="4" t="s">
        <v>33</v>
      </c>
      <c r="E624" s="5" t="n">
        <v>4475.69</v>
      </c>
      <c r="F624" s="4" t="s">
        <v>17</v>
      </c>
    </row>
    <row r="625" customFormat="false" ht="15" hidden="false" customHeight="false" outlineLevel="0" collapsed="false">
      <c r="A625" s="4" t="s">
        <v>843</v>
      </c>
      <c r="B625" s="4" t="s">
        <v>818</v>
      </c>
      <c r="C625" s="4" t="s">
        <v>41</v>
      </c>
      <c r="D625" s="4" t="s">
        <v>16</v>
      </c>
      <c r="E625" s="5" t="n">
        <v>43229.49</v>
      </c>
      <c r="F625" s="4" t="s">
        <v>17</v>
      </c>
    </row>
    <row r="626" customFormat="false" ht="15" hidden="false" customHeight="false" outlineLevel="0" collapsed="false">
      <c r="A626" s="4" t="s">
        <v>844</v>
      </c>
      <c r="B626" s="4" t="s">
        <v>790</v>
      </c>
      <c r="C626" s="4" t="s">
        <v>54</v>
      </c>
      <c r="D626" s="4" t="s">
        <v>21</v>
      </c>
      <c r="E626" s="5" t="n">
        <v>61140.52</v>
      </c>
      <c r="F626" s="4" t="s">
        <v>17</v>
      </c>
    </row>
    <row r="627" customFormat="false" ht="15" hidden="false" customHeight="false" outlineLevel="0" collapsed="false">
      <c r="A627" s="4" t="s">
        <v>845</v>
      </c>
      <c r="B627" s="4" t="s">
        <v>765</v>
      </c>
      <c r="C627" s="4" t="s">
        <v>62</v>
      </c>
      <c r="D627" s="4" t="s">
        <v>38</v>
      </c>
      <c r="E627" s="5" t="n">
        <v>9712.93</v>
      </c>
      <c r="F627" s="4" t="s">
        <v>38</v>
      </c>
    </row>
    <row r="628" customFormat="false" ht="15" hidden="false" customHeight="false" outlineLevel="0" collapsed="false">
      <c r="A628" s="4" t="s">
        <v>846</v>
      </c>
      <c r="B628" s="4" t="s">
        <v>795</v>
      </c>
      <c r="C628" s="4" t="s">
        <v>67</v>
      </c>
      <c r="D628" s="4" t="s">
        <v>68</v>
      </c>
      <c r="E628" s="5" t="n">
        <v>6607.91</v>
      </c>
      <c r="F628" s="4" t="s">
        <v>17</v>
      </c>
    </row>
    <row r="629" customFormat="false" ht="15" hidden="false" customHeight="false" outlineLevel="0" collapsed="false">
      <c r="A629" s="4" t="s">
        <v>847</v>
      </c>
      <c r="B629" s="4" t="s">
        <v>829</v>
      </c>
      <c r="C629" s="4" t="s">
        <v>101</v>
      </c>
      <c r="D629" s="4" t="s">
        <v>33</v>
      </c>
      <c r="E629" s="5" t="n">
        <v>61158.66</v>
      </c>
      <c r="F629" s="4" t="s">
        <v>17</v>
      </c>
    </row>
    <row r="630" customFormat="false" ht="15" hidden="false" customHeight="false" outlineLevel="0" collapsed="false">
      <c r="A630" s="4" t="s">
        <v>848</v>
      </c>
      <c r="B630" s="4" t="s">
        <v>748</v>
      </c>
      <c r="C630" s="4" t="s">
        <v>15</v>
      </c>
      <c r="D630" s="4" t="s">
        <v>16</v>
      </c>
      <c r="E630" s="5" t="n">
        <v>28196.66</v>
      </c>
      <c r="F630" s="4" t="s">
        <v>17</v>
      </c>
    </row>
    <row r="631" customFormat="false" ht="15" hidden="false" customHeight="false" outlineLevel="0" collapsed="false">
      <c r="A631" s="4" t="s">
        <v>849</v>
      </c>
      <c r="B631" s="4" t="s">
        <v>757</v>
      </c>
      <c r="C631" s="4" t="s">
        <v>45</v>
      </c>
      <c r="D631" s="4" t="s">
        <v>38</v>
      </c>
      <c r="E631" s="5" t="n">
        <v>20618.8</v>
      </c>
      <c r="F631" s="4" t="s">
        <v>38</v>
      </c>
    </row>
    <row r="632" customFormat="false" ht="15" hidden="false" customHeight="false" outlineLevel="0" collapsed="false">
      <c r="A632" s="4" t="s">
        <v>850</v>
      </c>
      <c r="B632" s="4" t="s">
        <v>753</v>
      </c>
      <c r="C632" s="4" t="s">
        <v>32</v>
      </c>
      <c r="D632" s="4" t="s">
        <v>33</v>
      </c>
      <c r="E632" s="5" t="n">
        <v>56236.55</v>
      </c>
      <c r="F632" s="4" t="s">
        <v>17</v>
      </c>
    </row>
    <row r="633" customFormat="false" ht="15" hidden="false" customHeight="false" outlineLevel="0" collapsed="false">
      <c r="A633" s="4" t="s">
        <v>851</v>
      </c>
      <c r="B633" s="4" t="s">
        <v>767</v>
      </c>
      <c r="C633" s="4" t="s">
        <v>94</v>
      </c>
      <c r="D633" s="4" t="s">
        <v>68</v>
      </c>
      <c r="E633" s="5" t="n">
        <v>67889.78</v>
      </c>
      <c r="F633" s="4" t="s">
        <v>17</v>
      </c>
    </row>
    <row r="634" customFormat="false" ht="15" hidden="false" customHeight="false" outlineLevel="0" collapsed="false">
      <c r="A634" s="4" t="s">
        <v>852</v>
      </c>
      <c r="B634" s="4" t="s">
        <v>767</v>
      </c>
      <c r="C634" s="4" t="s">
        <v>101</v>
      </c>
      <c r="D634" s="4" t="s">
        <v>33</v>
      </c>
      <c r="E634" s="5" t="n">
        <v>4407.86</v>
      </c>
      <c r="F634" s="4" t="s">
        <v>17</v>
      </c>
    </row>
    <row r="635" customFormat="false" ht="15" hidden="false" customHeight="false" outlineLevel="0" collapsed="false">
      <c r="A635" s="4" t="s">
        <v>853</v>
      </c>
      <c r="B635" s="4" t="s">
        <v>785</v>
      </c>
      <c r="C635" s="4" t="s">
        <v>15</v>
      </c>
      <c r="D635" s="4" t="s">
        <v>16</v>
      </c>
      <c r="E635" s="5" t="n">
        <v>42037.68</v>
      </c>
      <c r="F635" s="4" t="s">
        <v>17</v>
      </c>
    </row>
    <row r="636" customFormat="false" ht="15" hidden="false" customHeight="false" outlineLevel="0" collapsed="false">
      <c r="A636" s="4" t="s">
        <v>854</v>
      </c>
      <c r="B636" s="4" t="s">
        <v>826</v>
      </c>
      <c r="C636" s="4" t="s">
        <v>94</v>
      </c>
      <c r="D636" s="4" t="s">
        <v>68</v>
      </c>
      <c r="E636" s="5" t="n">
        <v>18052.56</v>
      </c>
      <c r="F636" s="4" t="s">
        <v>17</v>
      </c>
    </row>
    <row r="637" customFormat="false" ht="15" hidden="false" customHeight="false" outlineLevel="0" collapsed="false">
      <c r="A637" s="4" t="s">
        <v>855</v>
      </c>
      <c r="B637" s="4" t="s">
        <v>793</v>
      </c>
      <c r="C637" s="4" t="s">
        <v>101</v>
      </c>
      <c r="D637" s="4" t="s">
        <v>33</v>
      </c>
      <c r="E637" s="5" t="n">
        <v>29015.56</v>
      </c>
      <c r="F637" s="4" t="s">
        <v>17</v>
      </c>
    </row>
    <row r="638" customFormat="false" ht="15" hidden="false" customHeight="false" outlineLevel="0" collapsed="false">
      <c r="A638" s="4" t="s">
        <v>856</v>
      </c>
      <c r="B638" s="4" t="s">
        <v>765</v>
      </c>
      <c r="C638" s="4" t="s">
        <v>62</v>
      </c>
      <c r="D638" s="4" t="s">
        <v>38</v>
      </c>
      <c r="E638" s="5" t="n">
        <v>27976.54</v>
      </c>
      <c r="F638" s="4" t="s">
        <v>38</v>
      </c>
    </row>
    <row r="639" customFormat="false" ht="15" hidden="false" customHeight="false" outlineLevel="0" collapsed="false">
      <c r="A639" s="4" t="s">
        <v>857</v>
      </c>
      <c r="B639" s="4" t="s">
        <v>770</v>
      </c>
      <c r="C639" s="4" t="s">
        <v>101</v>
      </c>
      <c r="D639" s="4" t="s">
        <v>33</v>
      </c>
      <c r="E639" s="5" t="n">
        <v>16240.64</v>
      </c>
      <c r="F639" s="4" t="s">
        <v>17</v>
      </c>
    </row>
    <row r="640" customFormat="false" ht="15" hidden="false" customHeight="false" outlineLevel="0" collapsed="false">
      <c r="A640" s="4" t="s">
        <v>858</v>
      </c>
      <c r="B640" s="4" t="s">
        <v>788</v>
      </c>
      <c r="C640" s="4" t="s">
        <v>15</v>
      </c>
      <c r="D640" s="4" t="s">
        <v>16</v>
      </c>
      <c r="E640" s="5" t="n">
        <v>61637.82</v>
      </c>
      <c r="F640" s="4" t="s">
        <v>17</v>
      </c>
    </row>
    <row r="641" customFormat="false" ht="15" hidden="false" customHeight="false" outlineLevel="0" collapsed="false">
      <c r="A641" s="4" t="s">
        <v>859</v>
      </c>
      <c r="B641" s="4" t="s">
        <v>793</v>
      </c>
      <c r="C641" s="4" t="s">
        <v>62</v>
      </c>
      <c r="D641" s="4" t="s">
        <v>38</v>
      </c>
      <c r="E641" s="5" t="n">
        <v>35427.8</v>
      </c>
      <c r="F641" s="4" t="s">
        <v>38</v>
      </c>
    </row>
    <row r="642" customFormat="false" ht="15" hidden="false" customHeight="false" outlineLevel="0" collapsed="false">
      <c r="A642" s="4" t="s">
        <v>860</v>
      </c>
      <c r="B642" s="4" t="s">
        <v>781</v>
      </c>
      <c r="C642" s="4" t="s">
        <v>101</v>
      </c>
      <c r="D642" s="4" t="s">
        <v>33</v>
      </c>
      <c r="E642" s="5" t="n">
        <v>18161.36</v>
      </c>
      <c r="F642" s="4" t="s">
        <v>17</v>
      </c>
    </row>
    <row r="643" customFormat="false" ht="15" hidden="false" customHeight="false" outlineLevel="0" collapsed="false">
      <c r="A643" s="4" t="s">
        <v>861</v>
      </c>
      <c r="B643" s="4" t="s">
        <v>793</v>
      </c>
      <c r="C643" s="4" t="s">
        <v>62</v>
      </c>
      <c r="D643" s="4" t="s">
        <v>38</v>
      </c>
      <c r="E643" s="5" t="n">
        <v>24001.74</v>
      </c>
      <c r="F643" s="4" t="s">
        <v>38</v>
      </c>
    </row>
    <row r="644" customFormat="false" ht="15" hidden="false" customHeight="false" outlineLevel="0" collapsed="false">
      <c r="A644" s="4" t="s">
        <v>862</v>
      </c>
      <c r="B644" s="4" t="s">
        <v>765</v>
      </c>
      <c r="C644" s="4" t="s">
        <v>45</v>
      </c>
      <c r="D644" s="4" t="s">
        <v>38</v>
      </c>
      <c r="E644" s="5" t="n">
        <v>64021.74</v>
      </c>
      <c r="F644" s="4" t="s">
        <v>38</v>
      </c>
    </row>
    <row r="645" customFormat="false" ht="15" hidden="false" customHeight="false" outlineLevel="0" collapsed="false">
      <c r="A645" s="4" t="s">
        <v>863</v>
      </c>
      <c r="B645" s="4" t="s">
        <v>761</v>
      </c>
      <c r="C645" s="4" t="s">
        <v>24</v>
      </c>
      <c r="D645" s="4" t="s">
        <v>25</v>
      </c>
      <c r="E645" s="5" t="n">
        <v>17589.96</v>
      </c>
      <c r="F645" s="4" t="s">
        <v>17</v>
      </c>
    </row>
    <row r="646" customFormat="false" ht="15" hidden="false" customHeight="false" outlineLevel="0" collapsed="false">
      <c r="A646" s="4" t="s">
        <v>864</v>
      </c>
      <c r="B646" s="4" t="s">
        <v>829</v>
      </c>
      <c r="C646" s="4" t="s">
        <v>45</v>
      </c>
      <c r="D646" s="4" t="s">
        <v>38</v>
      </c>
      <c r="E646" s="5" t="n">
        <v>51201.42</v>
      </c>
      <c r="F646" s="4" t="s">
        <v>38</v>
      </c>
    </row>
    <row r="647" customFormat="false" ht="15" hidden="false" customHeight="false" outlineLevel="0" collapsed="false">
      <c r="A647" s="4" t="s">
        <v>865</v>
      </c>
      <c r="B647" s="4" t="s">
        <v>753</v>
      </c>
      <c r="C647" s="4" t="s">
        <v>45</v>
      </c>
      <c r="D647" s="4" t="s">
        <v>38</v>
      </c>
      <c r="E647" s="5" t="n">
        <v>49647.54</v>
      </c>
      <c r="F647" s="4" t="s">
        <v>38</v>
      </c>
    </row>
    <row r="648" customFormat="false" ht="15" hidden="false" customHeight="false" outlineLevel="0" collapsed="false">
      <c r="A648" s="4" t="s">
        <v>866</v>
      </c>
      <c r="B648" s="4" t="s">
        <v>788</v>
      </c>
      <c r="C648" s="4" t="s">
        <v>41</v>
      </c>
      <c r="D648" s="4" t="s">
        <v>16</v>
      </c>
      <c r="E648" s="5" t="n">
        <v>2012.29</v>
      </c>
      <c r="F648" s="4" t="s">
        <v>17</v>
      </c>
    </row>
    <row r="649" customFormat="false" ht="15" hidden="false" customHeight="false" outlineLevel="0" collapsed="false">
      <c r="A649" s="4" t="s">
        <v>867</v>
      </c>
      <c r="B649" s="4" t="s">
        <v>751</v>
      </c>
      <c r="C649" s="4" t="s">
        <v>54</v>
      </c>
      <c r="D649" s="4" t="s">
        <v>21</v>
      </c>
      <c r="E649" s="5" t="n">
        <v>57723.01</v>
      </c>
      <c r="F649" s="4" t="s">
        <v>17</v>
      </c>
    </row>
    <row r="650" customFormat="false" ht="15" hidden="false" customHeight="false" outlineLevel="0" collapsed="false">
      <c r="A650" s="4" t="s">
        <v>868</v>
      </c>
      <c r="B650" s="4" t="s">
        <v>869</v>
      </c>
      <c r="C650" s="4" t="s">
        <v>20</v>
      </c>
      <c r="D650" s="4" t="s">
        <v>21</v>
      </c>
      <c r="E650" s="5" t="n">
        <v>33913.98</v>
      </c>
      <c r="F650" s="4" t="s">
        <v>17</v>
      </c>
    </row>
    <row r="651" customFormat="false" ht="15" hidden="false" customHeight="false" outlineLevel="0" collapsed="false">
      <c r="A651" s="4" t="s">
        <v>870</v>
      </c>
      <c r="B651" s="4" t="s">
        <v>871</v>
      </c>
      <c r="C651" s="4" t="s">
        <v>36</v>
      </c>
      <c r="D651" s="4" t="s">
        <v>37</v>
      </c>
      <c r="E651" s="5" t="n">
        <v>1682.23</v>
      </c>
      <c r="F651" s="4" t="s">
        <v>38</v>
      </c>
    </row>
    <row r="652" customFormat="false" ht="15" hidden="false" customHeight="false" outlineLevel="0" collapsed="false">
      <c r="A652" s="4" t="s">
        <v>872</v>
      </c>
      <c r="B652" s="4" t="s">
        <v>873</v>
      </c>
      <c r="C652" s="4" t="s">
        <v>15</v>
      </c>
      <c r="D652" s="4" t="s">
        <v>16</v>
      </c>
      <c r="E652" s="5" t="n">
        <v>52877.99</v>
      </c>
      <c r="F652" s="4" t="s">
        <v>17</v>
      </c>
    </row>
    <row r="653" customFormat="false" ht="15" hidden="false" customHeight="false" outlineLevel="0" collapsed="false">
      <c r="A653" s="4" t="s">
        <v>874</v>
      </c>
      <c r="B653" s="4" t="s">
        <v>875</v>
      </c>
      <c r="C653" s="4" t="s">
        <v>15</v>
      </c>
      <c r="D653" s="4" t="s">
        <v>16</v>
      </c>
      <c r="E653" s="5" t="n">
        <v>47905.31</v>
      </c>
      <c r="F653" s="4" t="s">
        <v>17</v>
      </c>
    </row>
    <row r="654" customFormat="false" ht="15" hidden="false" customHeight="false" outlineLevel="0" collapsed="false">
      <c r="A654" s="4" t="s">
        <v>876</v>
      </c>
      <c r="B654" s="4" t="s">
        <v>877</v>
      </c>
      <c r="C654" s="4" t="s">
        <v>67</v>
      </c>
      <c r="D654" s="4" t="s">
        <v>68</v>
      </c>
      <c r="E654" s="5" t="n">
        <v>31667.06</v>
      </c>
      <c r="F654" s="4" t="s">
        <v>17</v>
      </c>
    </row>
    <row r="655" customFormat="false" ht="15" hidden="false" customHeight="false" outlineLevel="0" collapsed="false">
      <c r="A655" s="4" t="s">
        <v>878</v>
      </c>
      <c r="B655" s="4" t="s">
        <v>873</v>
      </c>
      <c r="C655" s="4" t="s">
        <v>36</v>
      </c>
      <c r="D655" s="4" t="s">
        <v>37</v>
      </c>
      <c r="E655" s="5" t="n">
        <v>14973.53</v>
      </c>
      <c r="F655" s="4" t="s">
        <v>38</v>
      </c>
    </row>
    <row r="656" customFormat="false" ht="15" hidden="false" customHeight="false" outlineLevel="0" collapsed="false">
      <c r="A656" s="4" t="s">
        <v>879</v>
      </c>
      <c r="B656" s="4" t="s">
        <v>880</v>
      </c>
      <c r="C656" s="4" t="s">
        <v>32</v>
      </c>
      <c r="D656" s="4" t="s">
        <v>33</v>
      </c>
      <c r="E656" s="5" t="n">
        <v>25770.87</v>
      </c>
      <c r="F656" s="4" t="s">
        <v>17</v>
      </c>
    </row>
    <row r="657" customFormat="false" ht="15" hidden="false" customHeight="false" outlineLevel="0" collapsed="false">
      <c r="A657" s="4" t="s">
        <v>881</v>
      </c>
      <c r="B657" s="4" t="s">
        <v>882</v>
      </c>
      <c r="C657" s="4" t="s">
        <v>32</v>
      </c>
      <c r="D657" s="4" t="s">
        <v>33</v>
      </c>
      <c r="E657" s="5" t="n">
        <v>39694.25</v>
      </c>
      <c r="F657" s="4" t="s">
        <v>17</v>
      </c>
    </row>
    <row r="658" customFormat="false" ht="15" hidden="false" customHeight="false" outlineLevel="0" collapsed="false">
      <c r="A658" s="4" t="s">
        <v>883</v>
      </c>
      <c r="B658" s="4" t="s">
        <v>884</v>
      </c>
      <c r="C658" s="4" t="s">
        <v>54</v>
      </c>
      <c r="D658" s="4" t="s">
        <v>21</v>
      </c>
      <c r="E658" s="5" t="n">
        <v>62616.38</v>
      </c>
      <c r="F658" s="4" t="s">
        <v>17</v>
      </c>
    </row>
    <row r="659" customFormat="false" ht="15" hidden="false" customHeight="false" outlineLevel="0" collapsed="false">
      <c r="A659" s="4" t="s">
        <v>885</v>
      </c>
      <c r="B659" s="4" t="s">
        <v>886</v>
      </c>
      <c r="C659" s="4" t="s">
        <v>24</v>
      </c>
      <c r="D659" s="4" t="s">
        <v>25</v>
      </c>
      <c r="E659" s="5" t="n">
        <v>59025.09</v>
      </c>
      <c r="F659" s="4" t="s">
        <v>17</v>
      </c>
    </row>
    <row r="660" customFormat="false" ht="15" hidden="false" customHeight="false" outlineLevel="0" collapsed="false">
      <c r="A660" s="4" t="s">
        <v>887</v>
      </c>
      <c r="B660" s="4" t="s">
        <v>888</v>
      </c>
      <c r="C660" s="4" t="s">
        <v>20</v>
      </c>
      <c r="D660" s="4" t="s">
        <v>21</v>
      </c>
      <c r="E660" s="5" t="n">
        <v>20244.76</v>
      </c>
      <c r="F660" s="4" t="s">
        <v>17</v>
      </c>
    </row>
    <row r="661" customFormat="false" ht="15" hidden="false" customHeight="false" outlineLevel="0" collapsed="false">
      <c r="A661" s="4" t="s">
        <v>889</v>
      </c>
      <c r="B661" s="4" t="s">
        <v>875</v>
      </c>
      <c r="C661" s="4" t="s">
        <v>54</v>
      </c>
      <c r="D661" s="4" t="s">
        <v>21</v>
      </c>
      <c r="E661" s="5" t="n">
        <v>22758.17</v>
      </c>
      <c r="F661" s="4" t="s">
        <v>17</v>
      </c>
    </row>
    <row r="662" customFormat="false" ht="15" hidden="false" customHeight="false" outlineLevel="0" collapsed="false">
      <c r="A662" s="4" t="s">
        <v>890</v>
      </c>
      <c r="B662" s="4" t="s">
        <v>891</v>
      </c>
      <c r="C662" s="4" t="s">
        <v>67</v>
      </c>
      <c r="D662" s="4" t="s">
        <v>68</v>
      </c>
      <c r="E662" s="5" t="n">
        <v>23501.33</v>
      </c>
      <c r="F662" s="4" t="s">
        <v>17</v>
      </c>
    </row>
    <row r="663" customFormat="false" ht="15" hidden="false" customHeight="false" outlineLevel="0" collapsed="false">
      <c r="A663" s="4" t="s">
        <v>892</v>
      </c>
      <c r="B663" s="4" t="s">
        <v>888</v>
      </c>
      <c r="C663" s="4" t="s">
        <v>41</v>
      </c>
      <c r="D663" s="4" t="s">
        <v>16</v>
      </c>
      <c r="E663" s="5" t="n">
        <v>61109.57</v>
      </c>
      <c r="F663" s="4" t="s">
        <v>17</v>
      </c>
    </row>
    <row r="664" customFormat="false" ht="15" hidden="false" customHeight="false" outlineLevel="0" collapsed="false">
      <c r="A664" s="4" t="s">
        <v>893</v>
      </c>
      <c r="B664" s="4" t="s">
        <v>894</v>
      </c>
      <c r="C664" s="4" t="s">
        <v>94</v>
      </c>
      <c r="D664" s="4" t="s">
        <v>68</v>
      </c>
      <c r="E664" s="5" t="n">
        <v>14024.97</v>
      </c>
      <c r="F664" s="4" t="s">
        <v>17</v>
      </c>
    </row>
    <row r="665" customFormat="false" ht="15" hidden="false" customHeight="false" outlineLevel="0" collapsed="false">
      <c r="A665" s="4" t="s">
        <v>895</v>
      </c>
      <c r="B665" s="4" t="s">
        <v>882</v>
      </c>
      <c r="C665" s="4" t="s">
        <v>15</v>
      </c>
      <c r="D665" s="4" t="s">
        <v>16</v>
      </c>
      <c r="E665" s="5" t="n">
        <v>48466.54</v>
      </c>
      <c r="F665" s="4" t="s">
        <v>17</v>
      </c>
    </row>
    <row r="666" customFormat="false" ht="15" hidden="false" customHeight="false" outlineLevel="0" collapsed="false">
      <c r="A666" s="4" t="s">
        <v>896</v>
      </c>
      <c r="B666" s="4" t="s">
        <v>873</v>
      </c>
      <c r="C666" s="4" t="s">
        <v>41</v>
      </c>
      <c r="D666" s="4" t="s">
        <v>16</v>
      </c>
      <c r="E666" s="5" t="n">
        <v>11335.73</v>
      </c>
      <c r="F666" s="4" t="s">
        <v>17</v>
      </c>
    </row>
    <row r="667" customFormat="false" ht="15" hidden="false" customHeight="false" outlineLevel="0" collapsed="false">
      <c r="A667" s="4" t="s">
        <v>897</v>
      </c>
      <c r="B667" s="4" t="s">
        <v>869</v>
      </c>
      <c r="C667" s="4" t="s">
        <v>67</v>
      </c>
      <c r="D667" s="4" t="s">
        <v>68</v>
      </c>
      <c r="E667" s="5" t="n">
        <v>46946.37</v>
      </c>
      <c r="F667" s="4" t="s">
        <v>17</v>
      </c>
    </row>
    <row r="668" customFormat="false" ht="15" hidden="false" customHeight="false" outlineLevel="0" collapsed="false">
      <c r="A668" s="4" t="s">
        <v>898</v>
      </c>
      <c r="B668" s="4" t="s">
        <v>899</v>
      </c>
      <c r="C668" s="4" t="s">
        <v>54</v>
      </c>
      <c r="D668" s="4" t="s">
        <v>21</v>
      </c>
      <c r="E668" s="5" t="n">
        <v>36633.32</v>
      </c>
      <c r="F668" s="4" t="s">
        <v>17</v>
      </c>
    </row>
    <row r="669" customFormat="false" ht="15" hidden="false" customHeight="false" outlineLevel="0" collapsed="false">
      <c r="A669" s="4" t="s">
        <v>900</v>
      </c>
      <c r="B669" s="4" t="s">
        <v>899</v>
      </c>
      <c r="C669" s="4" t="s">
        <v>24</v>
      </c>
      <c r="D669" s="4" t="s">
        <v>25</v>
      </c>
      <c r="E669" s="5" t="n">
        <v>63268.73</v>
      </c>
      <c r="F669" s="4" t="s">
        <v>17</v>
      </c>
    </row>
    <row r="670" customFormat="false" ht="15" hidden="false" customHeight="false" outlineLevel="0" collapsed="false">
      <c r="A670" s="4" t="s">
        <v>901</v>
      </c>
      <c r="B670" s="4" t="s">
        <v>884</v>
      </c>
      <c r="C670" s="4" t="s">
        <v>54</v>
      </c>
      <c r="D670" s="4" t="s">
        <v>21</v>
      </c>
      <c r="E670" s="5" t="n">
        <v>8839.53</v>
      </c>
      <c r="F670" s="4" t="s">
        <v>17</v>
      </c>
    </row>
    <row r="671" customFormat="false" ht="15" hidden="false" customHeight="false" outlineLevel="0" collapsed="false">
      <c r="A671" s="4" t="s">
        <v>902</v>
      </c>
      <c r="B671" s="4" t="s">
        <v>903</v>
      </c>
      <c r="C671" s="4" t="s">
        <v>101</v>
      </c>
      <c r="D671" s="4" t="s">
        <v>33</v>
      </c>
      <c r="E671" s="5" t="n">
        <v>49429.48</v>
      </c>
      <c r="F671" s="4" t="s">
        <v>17</v>
      </c>
    </row>
    <row r="672" customFormat="false" ht="15" hidden="false" customHeight="false" outlineLevel="0" collapsed="false">
      <c r="A672" s="4" t="s">
        <v>904</v>
      </c>
      <c r="B672" s="4" t="s">
        <v>905</v>
      </c>
      <c r="C672" s="4" t="s">
        <v>15</v>
      </c>
      <c r="D672" s="4" t="s">
        <v>16</v>
      </c>
      <c r="E672" s="5" t="n">
        <v>58436.9</v>
      </c>
      <c r="F672" s="4" t="s">
        <v>17</v>
      </c>
    </row>
    <row r="673" customFormat="false" ht="15" hidden="false" customHeight="false" outlineLevel="0" collapsed="false">
      <c r="A673" s="4" t="s">
        <v>906</v>
      </c>
      <c r="B673" s="4" t="s">
        <v>903</v>
      </c>
      <c r="C673" s="4" t="s">
        <v>15</v>
      </c>
      <c r="D673" s="4" t="s">
        <v>16</v>
      </c>
      <c r="E673" s="5" t="n">
        <v>22979.09</v>
      </c>
      <c r="F673" s="4" t="s">
        <v>17</v>
      </c>
    </row>
    <row r="674" customFormat="false" ht="15" hidden="false" customHeight="false" outlineLevel="0" collapsed="false">
      <c r="A674" s="4" t="s">
        <v>907</v>
      </c>
      <c r="B674" s="4" t="s">
        <v>908</v>
      </c>
      <c r="C674" s="4" t="s">
        <v>20</v>
      </c>
      <c r="D674" s="4" t="s">
        <v>21</v>
      </c>
      <c r="E674" s="5" t="n">
        <v>35044.21</v>
      </c>
      <c r="F674" s="4" t="s">
        <v>17</v>
      </c>
    </row>
    <row r="675" customFormat="false" ht="15" hidden="false" customHeight="false" outlineLevel="0" collapsed="false">
      <c r="A675" s="4" t="s">
        <v>909</v>
      </c>
      <c r="B675" s="4" t="s">
        <v>910</v>
      </c>
      <c r="C675" s="4" t="s">
        <v>62</v>
      </c>
      <c r="D675" s="4" t="s">
        <v>38</v>
      </c>
      <c r="E675" s="5" t="n">
        <v>8052</v>
      </c>
      <c r="F675" s="4" t="s">
        <v>38</v>
      </c>
    </row>
    <row r="676" customFormat="false" ht="15" hidden="false" customHeight="false" outlineLevel="0" collapsed="false">
      <c r="A676" s="4" t="s">
        <v>911</v>
      </c>
      <c r="B676" s="4" t="s">
        <v>912</v>
      </c>
      <c r="C676" s="4" t="s">
        <v>32</v>
      </c>
      <c r="D676" s="4" t="s">
        <v>33</v>
      </c>
      <c r="E676" s="5" t="n">
        <v>14159.03</v>
      </c>
      <c r="F676" s="4" t="s">
        <v>17</v>
      </c>
    </row>
    <row r="677" customFormat="false" ht="15" hidden="false" customHeight="false" outlineLevel="0" collapsed="false">
      <c r="A677" s="4" t="s">
        <v>913</v>
      </c>
      <c r="B677" s="4" t="s">
        <v>882</v>
      </c>
      <c r="C677" s="4" t="s">
        <v>62</v>
      </c>
      <c r="D677" s="4" t="s">
        <v>38</v>
      </c>
      <c r="E677" s="5" t="n">
        <v>49606.43</v>
      </c>
      <c r="F677" s="4" t="s">
        <v>38</v>
      </c>
    </row>
    <row r="678" customFormat="false" ht="15" hidden="false" customHeight="false" outlineLevel="0" collapsed="false">
      <c r="A678" s="4" t="s">
        <v>914</v>
      </c>
      <c r="B678" s="4" t="s">
        <v>882</v>
      </c>
      <c r="C678" s="4" t="s">
        <v>67</v>
      </c>
      <c r="D678" s="4" t="s">
        <v>68</v>
      </c>
      <c r="E678" s="5" t="n">
        <v>15005</v>
      </c>
      <c r="F678" s="4" t="s">
        <v>17</v>
      </c>
    </row>
    <row r="679" customFormat="false" ht="15" hidden="false" customHeight="false" outlineLevel="0" collapsed="false">
      <c r="A679" s="4" t="s">
        <v>915</v>
      </c>
      <c r="B679" s="4" t="s">
        <v>877</v>
      </c>
      <c r="C679" s="4" t="s">
        <v>41</v>
      </c>
      <c r="D679" s="4" t="s">
        <v>16</v>
      </c>
      <c r="E679" s="5" t="n">
        <v>22494.66</v>
      </c>
      <c r="F679" s="4" t="s">
        <v>17</v>
      </c>
    </row>
    <row r="680" customFormat="false" ht="15" hidden="false" customHeight="false" outlineLevel="0" collapsed="false">
      <c r="A680" s="4" t="s">
        <v>916</v>
      </c>
      <c r="B680" s="4" t="s">
        <v>917</v>
      </c>
      <c r="C680" s="4" t="s">
        <v>62</v>
      </c>
      <c r="D680" s="4" t="s">
        <v>38</v>
      </c>
      <c r="E680" s="5" t="n">
        <v>48043.53</v>
      </c>
      <c r="F680" s="4" t="s">
        <v>38</v>
      </c>
    </row>
    <row r="681" customFormat="false" ht="15" hidden="false" customHeight="false" outlineLevel="0" collapsed="false">
      <c r="A681" s="4" t="s">
        <v>918</v>
      </c>
      <c r="B681" s="4" t="s">
        <v>919</v>
      </c>
      <c r="C681" s="4" t="s">
        <v>45</v>
      </c>
      <c r="D681" s="4" t="s">
        <v>38</v>
      </c>
      <c r="E681" s="5" t="n">
        <v>48087.06</v>
      </c>
      <c r="F681" s="4" t="s">
        <v>38</v>
      </c>
    </row>
    <row r="682" customFormat="false" ht="15" hidden="false" customHeight="false" outlineLevel="0" collapsed="false">
      <c r="A682" s="4" t="s">
        <v>920</v>
      </c>
      <c r="B682" s="4" t="s">
        <v>921</v>
      </c>
      <c r="C682" s="4" t="s">
        <v>41</v>
      </c>
      <c r="D682" s="4" t="s">
        <v>16</v>
      </c>
      <c r="E682" s="5" t="n">
        <v>39912.99</v>
      </c>
      <c r="F682" s="4" t="s">
        <v>17</v>
      </c>
    </row>
    <row r="683" customFormat="false" ht="15" hidden="false" customHeight="false" outlineLevel="0" collapsed="false">
      <c r="A683" s="4" t="s">
        <v>922</v>
      </c>
      <c r="B683" s="4" t="s">
        <v>908</v>
      </c>
      <c r="C683" s="4" t="s">
        <v>94</v>
      </c>
      <c r="D683" s="4" t="s">
        <v>68</v>
      </c>
      <c r="E683" s="5" t="n">
        <v>9447.95</v>
      </c>
      <c r="F683" s="4" t="s">
        <v>17</v>
      </c>
    </row>
    <row r="684" customFormat="false" ht="15" hidden="false" customHeight="false" outlineLevel="0" collapsed="false">
      <c r="A684" s="4" t="s">
        <v>923</v>
      </c>
      <c r="B684" s="4" t="s">
        <v>871</v>
      </c>
      <c r="C684" s="4" t="s">
        <v>94</v>
      </c>
      <c r="D684" s="4" t="s">
        <v>68</v>
      </c>
      <c r="E684" s="5" t="n">
        <v>17013.6</v>
      </c>
      <c r="F684" s="4" t="s">
        <v>17</v>
      </c>
    </row>
    <row r="685" customFormat="false" ht="15" hidden="false" customHeight="false" outlineLevel="0" collapsed="false">
      <c r="A685" s="4" t="s">
        <v>924</v>
      </c>
      <c r="B685" s="4" t="s">
        <v>925</v>
      </c>
      <c r="C685" s="4" t="s">
        <v>41</v>
      </c>
      <c r="D685" s="4" t="s">
        <v>16</v>
      </c>
      <c r="E685" s="5" t="n">
        <v>44045.87</v>
      </c>
      <c r="F685" s="4" t="s">
        <v>17</v>
      </c>
    </row>
    <row r="686" customFormat="false" ht="15" hidden="false" customHeight="false" outlineLevel="0" collapsed="false">
      <c r="A686" s="4" t="s">
        <v>926</v>
      </c>
      <c r="B686" s="4" t="s">
        <v>884</v>
      </c>
      <c r="C686" s="4" t="s">
        <v>15</v>
      </c>
      <c r="D686" s="4" t="s">
        <v>16</v>
      </c>
      <c r="E686" s="5" t="n">
        <v>53788.27</v>
      </c>
      <c r="F686" s="4" t="s">
        <v>17</v>
      </c>
    </row>
    <row r="687" customFormat="false" ht="15" hidden="false" customHeight="false" outlineLevel="0" collapsed="false">
      <c r="A687" s="4" t="s">
        <v>927</v>
      </c>
      <c r="B687" s="4" t="s">
        <v>919</v>
      </c>
      <c r="C687" s="4" t="s">
        <v>54</v>
      </c>
      <c r="D687" s="4" t="s">
        <v>21</v>
      </c>
      <c r="E687" s="5" t="n">
        <v>19425.37</v>
      </c>
      <c r="F687" s="4" t="s">
        <v>17</v>
      </c>
    </row>
    <row r="688" customFormat="false" ht="15" hidden="false" customHeight="false" outlineLevel="0" collapsed="false">
      <c r="A688" s="4" t="s">
        <v>928</v>
      </c>
      <c r="B688" s="4" t="s">
        <v>899</v>
      </c>
      <c r="C688" s="4" t="s">
        <v>15</v>
      </c>
      <c r="D688" s="4" t="s">
        <v>16</v>
      </c>
      <c r="E688" s="5" t="n">
        <v>55957.85</v>
      </c>
      <c r="F688" s="4" t="s">
        <v>17</v>
      </c>
    </row>
    <row r="689" customFormat="false" ht="15" hidden="false" customHeight="false" outlineLevel="0" collapsed="false">
      <c r="A689" s="4" t="s">
        <v>929</v>
      </c>
      <c r="B689" s="4" t="s">
        <v>910</v>
      </c>
      <c r="C689" s="4" t="s">
        <v>54</v>
      </c>
      <c r="D689" s="4" t="s">
        <v>21</v>
      </c>
      <c r="E689" s="5" t="n">
        <v>48054.72</v>
      </c>
      <c r="F689" s="4" t="s">
        <v>17</v>
      </c>
    </row>
    <row r="690" customFormat="false" ht="15" hidden="false" customHeight="false" outlineLevel="0" collapsed="false">
      <c r="A690" s="4" t="s">
        <v>930</v>
      </c>
      <c r="B690" s="4" t="s">
        <v>931</v>
      </c>
      <c r="C690" s="4" t="s">
        <v>101</v>
      </c>
      <c r="D690" s="4" t="s">
        <v>33</v>
      </c>
      <c r="E690" s="5" t="n">
        <v>38194.66</v>
      </c>
      <c r="F690" s="4" t="s">
        <v>17</v>
      </c>
    </row>
    <row r="691" customFormat="false" ht="15" hidden="false" customHeight="false" outlineLevel="0" collapsed="false">
      <c r="A691" s="4" t="s">
        <v>932</v>
      </c>
      <c r="B691" s="4" t="s">
        <v>905</v>
      </c>
      <c r="C691" s="4" t="s">
        <v>32</v>
      </c>
      <c r="D691" s="4" t="s">
        <v>33</v>
      </c>
      <c r="E691" s="5" t="n">
        <v>58863.46</v>
      </c>
      <c r="F691" s="4" t="s">
        <v>17</v>
      </c>
    </row>
    <row r="692" customFormat="false" ht="15" hidden="false" customHeight="false" outlineLevel="0" collapsed="false">
      <c r="A692" s="4" t="s">
        <v>933</v>
      </c>
      <c r="B692" s="4" t="s">
        <v>875</v>
      </c>
      <c r="C692" s="4" t="s">
        <v>36</v>
      </c>
      <c r="D692" s="4" t="s">
        <v>37</v>
      </c>
      <c r="E692" s="5" t="n">
        <v>51032.53</v>
      </c>
      <c r="F692" s="4" t="s">
        <v>38</v>
      </c>
    </row>
    <row r="693" customFormat="false" ht="15" hidden="false" customHeight="false" outlineLevel="0" collapsed="false">
      <c r="A693" s="4" t="s">
        <v>934</v>
      </c>
      <c r="B693" s="4" t="s">
        <v>894</v>
      </c>
      <c r="C693" s="4" t="s">
        <v>45</v>
      </c>
      <c r="D693" s="4" t="s">
        <v>38</v>
      </c>
      <c r="E693" s="5" t="n">
        <v>44189.26</v>
      </c>
      <c r="F693" s="4" t="s">
        <v>38</v>
      </c>
    </row>
    <row r="694" customFormat="false" ht="15" hidden="false" customHeight="false" outlineLevel="0" collapsed="false">
      <c r="A694" s="4" t="s">
        <v>935</v>
      </c>
      <c r="B694" s="4" t="s">
        <v>936</v>
      </c>
      <c r="C694" s="4" t="s">
        <v>20</v>
      </c>
      <c r="D694" s="4" t="s">
        <v>21</v>
      </c>
      <c r="E694" s="5" t="n">
        <v>26378.45</v>
      </c>
      <c r="F694" s="4" t="s">
        <v>17</v>
      </c>
    </row>
    <row r="695" customFormat="false" ht="15" hidden="false" customHeight="false" outlineLevel="0" collapsed="false">
      <c r="A695" s="4" t="s">
        <v>937</v>
      </c>
      <c r="B695" s="4" t="s">
        <v>910</v>
      </c>
      <c r="C695" s="4" t="s">
        <v>15</v>
      </c>
      <c r="D695" s="4" t="s">
        <v>16</v>
      </c>
      <c r="E695" s="5" t="n">
        <v>31691.89</v>
      </c>
      <c r="F695" s="4" t="s">
        <v>17</v>
      </c>
    </row>
    <row r="696" customFormat="false" ht="15" hidden="false" customHeight="false" outlineLevel="0" collapsed="false">
      <c r="A696" s="4" t="s">
        <v>938</v>
      </c>
      <c r="B696" s="4" t="s">
        <v>939</v>
      </c>
      <c r="C696" s="4" t="s">
        <v>45</v>
      </c>
      <c r="D696" s="4" t="s">
        <v>38</v>
      </c>
      <c r="E696" s="5" t="n">
        <v>26435.89</v>
      </c>
      <c r="F696" s="4" t="s">
        <v>38</v>
      </c>
    </row>
    <row r="697" customFormat="false" ht="15" hidden="false" customHeight="false" outlineLevel="0" collapsed="false">
      <c r="A697" s="4" t="s">
        <v>940</v>
      </c>
      <c r="B697" s="4" t="s">
        <v>941</v>
      </c>
      <c r="C697" s="4" t="s">
        <v>36</v>
      </c>
      <c r="D697" s="4" t="s">
        <v>37</v>
      </c>
      <c r="E697" s="5" t="n">
        <v>7777.18</v>
      </c>
      <c r="F697" s="4" t="s">
        <v>38</v>
      </c>
    </row>
    <row r="698" customFormat="false" ht="15" hidden="false" customHeight="false" outlineLevel="0" collapsed="false">
      <c r="A698" s="4" t="s">
        <v>942</v>
      </c>
      <c r="B698" s="4" t="s">
        <v>908</v>
      </c>
      <c r="C698" s="4" t="s">
        <v>32</v>
      </c>
      <c r="D698" s="4" t="s">
        <v>33</v>
      </c>
      <c r="E698" s="5" t="n">
        <v>65863.51</v>
      </c>
      <c r="F698" s="4" t="s">
        <v>17</v>
      </c>
    </row>
    <row r="699" customFormat="false" ht="15" hidden="false" customHeight="false" outlineLevel="0" collapsed="false">
      <c r="A699" s="4" t="s">
        <v>943</v>
      </c>
      <c r="B699" s="4" t="s">
        <v>908</v>
      </c>
      <c r="C699" s="4" t="s">
        <v>36</v>
      </c>
      <c r="D699" s="4" t="s">
        <v>37</v>
      </c>
      <c r="E699" s="5" t="n">
        <v>17392.15</v>
      </c>
      <c r="F699" s="4" t="s">
        <v>38</v>
      </c>
    </row>
    <row r="700" customFormat="false" ht="15" hidden="false" customHeight="false" outlineLevel="0" collapsed="false">
      <c r="A700" s="4" t="s">
        <v>944</v>
      </c>
      <c r="B700" s="4" t="s">
        <v>919</v>
      </c>
      <c r="C700" s="4" t="s">
        <v>54</v>
      </c>
      <c r="D700" s="4" t="s">
        <v>21</v>
      </c>
      <c r="E700" s="5" t="n">
        <v>6101.09</v>
      </c>
      <c r="F700" s="4" t="s">
        <v>17</v>
      </c>
    </row>
    <row r="701" customFormat="false" ht="15" hidden="false" customHeight="false" outlineLevel="0" collapsed="false">
      <c r="A701" s="4" t="s">
        <v>945</v>
      </c>
      <c r="B701" s="4" t="s">
        <v>939</v>
      </c>
      <c r="C701" s="4" t="s">
        <v>24</v>
      </c>
      <c r="D701" s="4" t="s">
        <v>25</v>
      </c>
      <c r="E701" s="5" t="n">
        <v>24586.23</v>
      </c>
      <c r="F701" s="4" t="s">
        <v>17</v>
      </c>
    </row>
    <row r="702" customFormat="false" ht="15" hidden="false" customHeight="false" outlineLevel="0" collapsed="false">
      <c r="A702" s="4" t="s">
        <v>946</v>
      </c>
      <c r="B702" s="4" t="s">
        <v>912</v>
      </c>
      <c r="C702" s="4" t="s">
        <v>36</v>
      </c>
      <c r="D702" s="4" t="s">
        <v>37</v>
      </c>
      <c r="E702" s="5" t="n">
        <v>7083.49</v>
      </c>
      <c r="F702" s="4" t="s">
        <v>38</v>
      </c>
    </row>
    <row r="703" customFormat="false" ht="15" hidden="false" customHeight="false" outlineLevel="0" collapsed="false">
      <c r="A703" s="4" t="s">
        <v>947</v>
      </c>
      <c r="B703" s="4" t="s">
        <v>917</v>
      </c>
      <c r="C703" s="4" t="s">
        <v>36</v>
      </c>
      <c r="D703" s="4" t="s">
        <v>37</v>
      </c>
      <c r="E703" s="5" t="n">
        <v>52643.69</v>
      </c>
      <c r="F703" s="4" t="s">
        <v>38</v>
      </c>
    </row>
    <row r="704" customFormat="false" ht="15" hidden="false" customHeight="false" outlineLevel="0" collapsed="false">
      <c r="A704" s="4" t="s">
        <v>948</v>
      </c>
      <c r="B704" s="4" t="s">
        <v>875</v>
      </c>
      <c r="C704" s="4" t="s">
        <v>32</v>
      </c>
      <c r="D704" s="4" t="s">
        <v>33</v>
      </c>
      <c r="E704" s="5" t="n">
        <v>49212.05</v>
      </c>
      <c r="F704" s="4" t="s">
        <v>17</v>
      </c>
    </row>
    <row r="705" customFormat="false" ht="15" hidden="false" customHeight="false" outlineLevel="0" collapsed="false">
      <c r="A705" s="4" t="s">
        <v>949</v>
      </c>
      <c r="B705" s="4" t="s">
        <v>912</v>
      </c>
      <c r="C705" s="4" t="s">
        <v>45</v>
      </c>
      <c r="D705" s="4" t="s">
        <v>38</v>
      </c>
      <c r="E705" s="5" t="n">
        <v>40659.06</v>
      </c>
      <c r="F705" s="4" t="s">
        <v>38</v>
      </c>
    </row>
    <row r="706" customFormat="false" ht="15" hidden="false" customHeight="false" outlineLevel="0" collapsed="false">
      <c r="A706" s="4" t="s">
        <v>950</v>
      </c>
      <c r="B706" s="4" t="s">
        <v>884</v>
      </c>
      <c r="C706" s="4" t="s">
        <v>94</v>
      </c>
      <c r="D706" s="4" t="s">
        <v>68</v>
      </c>
      <c r="E706" s="5" t="n">
        <v>44298.28</v>
      </c>
      <c r="F706" s="4" t="s">
        <v>17</v>
      </c>
    </row>
    <row r="707" customFormat="false" ht="15" hidden="false" customHeight="false" outlineLevel="0" collapsed="false">
      <c r="A707" s="4" t="s">
        <v>951</v>
      </c>
      <c r="B707" s="4" t="s">
        <v>891</v>
      </c>
      <c r="C707" s="4" t="s">
        <v>20</v>
      </c>
      <c r="D707" s="4" t="s">
        <v>21</v>
      </c>
      <c r="E707" s="5" t="n">
        <v>41543.52</v>
      </c>
      <c r="F707" s="4" t="s">
        <v>17</v>
      </c>
    </row>
    <row r="708" customFormat="false" ht="15" hidden="false" customHeight="false" outlineLevel="0" collapsed="false">
      <c r="A708" s="4" t="s">
        <v>952</v>
      </c>
      <c r="B708" s="4" t="s">
        <v>919</v>
      </c>
      <c r="C708" s="4" t="s">
        <v>94</v>
      </c>
      <c r="D708" s="4" t="s">
        <v>68</v>
      </c>
      <c r="E708" s="5" t="n">
        <v>49558.4</v>
      </c>
      <c r="F708" s="4" t="s">
        <v>17</v>
      </c>
    </row>
    <row r="709" customFormat="false" ht="15" hidden="false" customHeight="false" outlineLevel="0" collapsed="false">
      <c r="A709" s="4" t="s">
        <v>953</v>
      </c>
      <c r="B709" s="4" t="s">
        <v>877</v>
      </c>
      <c r="C709" s="4" t="s">
        <v>67</v>
      </c>
      <c r="D709" s="4" t="s">
        <v>68</v>
      </c>
      <c r="E709" s="5" t="n">
        <v>24800.64</v>
      </c>
      <c r="F709" s="4" t="s">
        <v>17</v>
      </c>
    </row>
    <row r="710" customFormat="false" ht="15" hidden="false" customHeight="false" outlineLevel="0" collapsed="false">
      <c r="A710" s="4" t="s">
        <v>954</v>
      </c>
      <c r="B710" s="4" t="s">
        <v>894</v>
      </c>
      <c r="C710" s="4" t="s">
        <v>24</v>
      </c>
      <c r="D710" s="4" t="s">
        <v>25</v>
      </c>
      <c r="E710" s="5" t="n">
        <v>21185.02</v>
      </c>
      <c r="F710" s="4" t="s">
        <v>17</v>
      </c>
    </row>
    <row r="711" customFormat="false" ht="15" hidden="false" customHeight="false" outlineLevel="0" collapsed="false">
      <c r="A711" s="4" t="s">
        <v>955</v>
      </c>
      <c r="B711" s="4" t="s">
        <v>941</v>
      </c>
      <c r="C711" s="4" t="s">
        <v>62</v>
      </c>
      <c r="D711" s="4" t="s">
        <v>38</v>
      </c>
      <c r="E711" s="5" t="n">
        <v>56564.31</v>
      </c>
      <c r="F711" s="4" t="s">
        <v>38</v>
      </c>
    </row>
    <row r="712" customFormat="false" ht="15" hidden="false" customHeight="false" outlineLevel="0" collapsed="false">
      <c r="A712" s="4" t="s">
        <v>956</v>
      </c>
      <c r="B712" s="4" t="s">
        <v>891</v>
      </c>
      <c r="C712" s="4" t="s">
        <v>62</v>
      </c>
      <c r="D712" s="4" t="s">
        <v>38</v>
      </c>
      <c r="E712" s="5" t="n">
        <v>39467.1</v>
      </c>
      <c r="F712" s="4" t="s">
        <v>38</v>
      </c>
    </row>
    <row r="713" customFormat="false" ht="15" hidden="false" customHeight="false" outlineLevel="0" collapsed="false">
      <c r="A713" s="4" t="s">
        <v>957</v>
      </c>
      <c r="B713" s="4" t="s">
        <v>931</v>
      </c>
      <c r="C713" s="4" t="s">
        <v>62</v>
      </c>
      <c r="D713" s="4" t="s">
        <v>38</v>
      </c>
      <c r="E713" s="5" t="n">
        <v>32561.12</v>
      </c>
      <c r="F713" s="4" t="s">
        <v>38</v>
      </c>
    </row>
    <row r="714" customFormat="false" ht="15" hidden="false" customHeight="false" outlineLevel="0" collapsed="false">
      <c r="A714" s="4" t="s">
        <v>958</v>
      </c>
      <c r="B714" s="4" t="s">
        <v>912</v>
      </c>
      <c r="C714" s="4" t="s">
        <v>45</v>
      </c>
      <c r="D714" s="4" t="s">
        <v>38</v>
      </c>
      <c r="E714" s="5" t="n">
        <v>58190.71</v>
      </c>
      <c r="F714" s="4" t="s">
        <v>38</v>
      </c>
    </row>
    <row r="715" customFormat="false" ht="15" hidden="false" customHeight="false" outlineLevel="0" collapsed="false">
      <c r="A715" s="4" t="s">
        <v>959</v>
      </c>
      <c r="B715" s="4" t="s">
        <v>886</v>
      </c>
      <c r="C715" s="4" t="s">
        <v>62</v>
      </c>
      <c r="D715" s="4" t="s">
        <v>38</v>
      </c>
      <c r="E715" s="5" t="n">
        <v>1945.98</v>
      </c>
      <c r="F715" s="4" t="s">
        <v>38</v>
      </c>
    </row>
    <row r="716" customFormat="false" ht="15" hidden="false" customHeight="false" outlineLevel="0" collapsed="false">
      <c r="A716" s="4" t="s">
        <v>960</v>
      </c>
      <c r="B716" s="4" t="s">
        <v>884</v>
      </c>
      <c r="C716" s="4" t="s">
        <v>67</v>
      </c>
      <c r="D716" s="4" t="s">
        <v>68</v>
      </c>
      <c r="E716" s="5" t="n">
        <v>13465.12</v>
      </c>
      <c r="F716" s="4" t="s">
        <v>17</v>
      </c>
    </row>
    <row r="717" customFormat="false" ht="15" hidden="false" customHeight="false" outlineLevel="0" collapsed="false">
      <c r="A717" s="4" t="s">
        <v>961</v>
      </c>
      <c r="B717" s="4" t="s">
        <v>905</v>
      </c>
      <c r="C717" s="4" t="s">
        <v>45</v>
      </c>
      <c r="D717" s="4" t="s">
        <v>38</v>
      </c>
      <c r="E717" s="5" t="n">
        <v>37275.98</v>
      </c>
      <c r="F717" s="4" t="s">
        <v>38</v>
      </c>
    </row>
    <row r="718" customFormat="false" ht="15" hidden="false" customHeight="false" outlineLevel="0" collapsed="false">
      <c r="A718" s="4" t="s">
        <v>962</v>
      </c>
      <c r="B718" s="4" t="s">
        <v>905</v>
      </c>
      <c r="C718" s="4" t="s">
        <v>62</v>
      </c>
      <c r="D718" s="4" t="s">
        <v>38</v>
      </c>
      <c r="E718" s="5" t="n">
        <v>29787.68</v>
      </c>
      <c r="F718" s="4" t="s">
        <v>38</v>
      </c>
    </row>
    <row r="719" customFormat="false" ht="15" hidden="false" customHeight="false" outlineLevel="0" collapsed="false">
      <c r="A719" s="4" t="s">
        <v>963</v>
      </c>
      <c r="B719" s="4" t="s">
        <v>964</v>
      </c>
      <c r="C719" s="4" t="s">
        <v>54</v>
      </c>
      <c r="D719" s="4" t="s">
        <v>21</v>
      </c>
      <c r="E719" s="5" t="n">
        <v>13622.14</v>
      </c>
      <c r="F719" s="4" t="s">
        <v>17</v>
      </c>
    </row>
    <row r="720" customFormat="false" ht="15" hidden="false" customHeight="false" outlineLevel="0" collapsed="false">
      <c r="A720" s="4" t="s">
        <v>965</v>
      </c>
      <c r="B720" s="4" t="s">
        <v>873</v>
      </c>
      <c r="C720" s="4" t="s">
        <v>36</v>
      </c>
      <c r="D720" s="4" t="s">
        <v>37</v>
      </c>
      <c r="E720" s="5" t="n">
        <v>45498.93</v>
      </c>
      <c r="F720" s="4" t="s">
        <v>38</v>
      </c>
    </row>
    <row r="721" customFormat="false" ht="15" hidden="false" customHeight="false" outlineLevel="0" collapsed="false">
      <c r="A721" s="4" t="s">
        <v>966</v>
      </c>
      <c r="B721" s="4" t="s">
        <v>925</v>
      </c>
      <c r="C721" s="4" t="s">
        <v>67</v>
      </c>
      <c r="D721" s="4" t="s">
        <v>68</v>
      </c>
      <c r="E721" s="5" t="n">
        <v>3233.61</v>
      </c>
      <c r="F721" s="4" t="s">
        <v>17</v>
      </c>
    </row>
    <row r="722" customFormat="false" ht="15" hidden="false" customHeight="false" outlineLevel="0" collapsed="false">
      <c r="A722" s="4" t="s">
        <v>967</v>
      </c>
      <c r="B722" s="4" t="s">
        <v>880</v>
      </c>
      <c r="C722" s="4" t="s">
        <v>24</v>
      </c>
      <c r="D722" s="4" t="s">
        <v>25</v>
      </c>
      <c r="E722" s="5" t="n">
        <v>45233.59</v>
      </c>
      <c r="F722" s="4" t="s">
        <v>17</v>
      </c>
    </row>
    <row r="723" customFormat="false" ht="15" hidden="false" customHeight="false" outlineLevel="0" collapsed="false">
      <c r="A723" s="4" t="s">
        <v>968</v>
      </c>
      <c r="B723" s="4" t="s">
        <v>875</v>
      </c>
      <c r="C723" s="4" t="s">
        <v>54</v>
      </c>
      <c r="D723" s="4" t="s">
        <v>21</v>
      </c>
      <c r="E723" s="5" t="n">
        <v>55968.98</v>
      </c>
      <c r="F723" s="4" t="s">
        <v>17</v>
      </c>
    </row>
    <row r="724" customFormat="false" ht="15" hidden="false" customHeight="false" outlineLevel="0" collapsed="false">
      <c r="A724" s="4" t="s">
        <v>969</v>
      </c>
      <c r="B724" s="4" t="s">
        <v>936</v>
      </c>
      <c r="C724" s="4" t="s">
        <v>15</v>
      </c>
      <c r="D724" s="4" t="s">
        <v>16</v>
      </c>
      <c r="E724" s="5" t="n">
        <v>38814.01</v>
      </c>
      <c r="F724" s="4" t="s">
        <v>17</v>
      </c>
    </row>
    <row r="725" customFormat="false" ht="15" hidden="false" customHeight="false" outlineLevel="0" collapsed="false">
      <c r="A725" s="4" t="s">
        <v>970</v>
      </c>
      <c r="B725" s="4" t="s">
        <v>884</v>
      </c>
      <c r="C725" s="4" t="s">
        <v>41</v>
      </c>
      <c r="D725" s="4" t="s">
        <v>16</v>
      </c>
      <c r="E725" s="5" t="n">
        <v>50677.01</v>
      </c>
      <c r="F725" s="4" t="s">
        <v>17</v>
      </c>
    </row>
    <row r="726" customFormat="false" ht="15" hidden="false" customHeight="false" outlineLevel="0" collapsed="false">
      <c r="A726" s="4" t="s">
        <v>971</v>
      </c>
      <c r="B726" s="4" t="s">
        <v>880</v>
      </c>
      <c r="C726" s="4" t="s">
        <v>36</v>
      </c>
      <c r="D726" s="4" t="s">
        <v>37</v>
      </c>
      <c r="E726" s="5" t="n">
        <v>60429.05</v>
      </c>
      <c r="F726" s="4" t="s">
        <v>38</v>
      </c>
    </row>
    <row r="727" customFormat="false" ht="15" hidden="false" customHeight="false" outlineLevel="0" collapsed="false">
      <c r="A727" s="4" t="s">
        <v>972</v>
      </c>
      <c r="B727" s="4" t="s">
        <v>884</v>
      </c>
      <c r="C727" s="4" t="s">
        <v>32</v>
      </c>
      <c r="D727" s="4" t="s">
        <v>33</v>
      </c>
      <c r="E727" s="5" t="n">
        <v>30494.35</v>
      </c>
      <c r="F727" s="4" t="s">
        <v>17</v>
      </c>
    </row>
    <row r="728" customFormat="false" ht="15" hidden="false" customHeight="false" outlineLevel="0" collapsed="false">
      <c r="A728" s="4" t="s">
        <v>973</v>
      </c>
      <c r="B728" s="4" t="s">
        <v>888</v>
      </c>
      <c r="C728" s="4" t="s">
        <v>36</v>
      </c>
      <c r="D728" s="4" t="s">
        <v>37</v>
      </c>
      <c r="E728" s="5" t="n">
        <v>44681.98</v>
      </c>
      <c r="F728" s="4" t="s">
        <v>38</v>
      </c>
    </row>
    <row r="729" customFormat="false" ht="15" hidden="false" customHeight="false" outlineLevel="0" collapsed="false">
      <c r="A729" s="4" t="s">
        <v>974</v>
      </c>
      <c r="B729" s="4" t="s">
        <v>884</v>
      </c>
      <c r="C729" s="4" t="s">
        <v>94</v>
      </c>
      <c r="D729" s="4" t="s">
        <v>68</v>
      </c>
      <c r="E729" s="5" t="n">
        <v>57647.08</v>
      </c>
      <c r="F729" s="4" t="s">
        <v>17</v>
      </c>
    </row>
    <row r="730" customFormat="false" ht="15" hidden="false" customHeight="false" outlineLevel="0" collapsed="false">
      <c r="A730" s="4" t="s">
        <v>975</v>
      </c>
      <c r="B730" s="4" t="s">
        <v>871</v>
      </c>
      <c r="C730" s="4" t="s">
        <v>20</v>
      </c>
      <c r="D730" s="4" t="s">
        <v>21</v>
      </c>
      <c r="E730" s="5" t="n">
        <v>5971.67</v>
      </c>
      <c r="F730" s="4" t="s">
        <v>17</v>
      </c>
    </row>
    <row r="731" customFormat="false" ht="15" hidden="false" customHeight="false" outlineLevel="0" collapsed="false">
      <c r="A731" s="4" t="s">
        <v>976</v>
      </c>
      <c r="B731" s="4" t="s">
        <v>917</v>
      </c>
      <c r="C731" s="4" t="s">
        <v>41</v>
      </c>
      <c r="D731" s="4" t="s">
        <v>16</v>
      </c>
      <c r="E731" s="5" t="n">
        <v>4757.78</v>
      </c>
      <c r="F731" s="4" t="s">
        <v>17</v>
      </c>
    </row>
    <row r="732" customFormat="false" ht="15" hidden="false" customHeight="false" outlineLevel="0" collapsed="false">
      <c r="A732" s="4" t="s">
        <v>977</v>
      </c>
      <c r="B732" s="4" t="s">
        <v>912</v>
      </c>
      <c r="C732" s="4" t="s">
        <v>101</v>
      </c>
      <c r="D732" s="4" t="s">
        <v>33</v>
      </c>
      <c r="E732" s="5" t="n">
        <v>34723.01</v>
      </c>
      <c r="F732" s="4" t="s">
        <v>17</v>
      </c>
    </row>
    <row r="733" customFormat="false" ht="15" hidden="false" customHeight="false" outlineLevel="0" collapsed="false">
      <c r="A733" s="4" t="s">
        <v>978</v>
      </c>
      <c r="B733" s="4" t="s">
        <v>884</v>
      </c>
      <c r="C733" s="4" t="s">
        <v>24</v>
      </c>
      <c r="D733" s="4" t="s">
        <v>25</v>
      </c>
      <c r="E733" s="5" t="n">
        <v>12677.88</v>
      </c>
      <c r="F733" s="4" t="s">
        <v>17</v>
      </c>
    </row>
    <row r="734" customFormat="false" ht="15" hidden="false" customHeight="false" outlineLevel="0" collapsed="false">
      <c r="A734" s="4" t="s">
        <v>979</v>
      </c>
      <c r="B734" s="4" t="s">
        <v>880</v>
      </c>
      <c r="C734" s="4" t="s">
        <v>62</v>
      </c>
      <c r="D734" s="4" t="s">
        <v>38</v>
      </c>
      <c r="E734" s="5" t="n">
        <v>63282.94</v>
      </c>
      <c r="F734" s="4" t="s">
        <v>38</v>
      </c>
    </row>
    <row r="735" customFormat="false" ht="15" hidden="false" customHeight="false" outlineLevel="0" collapsed="false">
      <c r="A735" s="4" t="s">
        <v>980</v>
      </c>
      <c r="B735" s="4" t="s">
        <v>936</v>
      </c>
      <c r="C735" s="4" t="s">
        <v>24</v>
      </c>
      <c r="D735" s="4" t="s">
        <v>25</v>
      </c>
      <c r="E735" s="5" t="n">
        <v>45854.07</v>
      </c>
      <c r="F735" s="4" t="s">
        <v>17</v>
      </c>
    </row>
    <row r="736" customFormat="false" ht="15" hidden="false" customHeight="false" outlineLevel="0" collapsed="false">
      <c r="A736" s="4" t="s">
        <v>981</v>
      </c>
      <c r="B736" s="4" t="s">
        <v>982</v>
      </c>
      <c r="C736" s="4" t="s">
        <v>45</v>
      </c>
      <c r="D736" s="4" t="s">
        <v>38</v>
      </c>
      <c r="E736" s="5" t="n">
        <v>32418.45</v>
      </c>
      <c r="F736" s="4" t="s">
        <v>38</v>
      </c>
    </row>
    <row r="737" customFormat="false" ht="15" hidden="false" customHeight="false" outlineLevel="0" collapsed="false">
      <c r="A737" s="4" t="s">
        <v>983</v>
      </c>
      <c r="B737" s="4" t="s">
        <v>875</v>
      </c>
      <c r="C737" s="4" t="s">
        <v>45</v>
      </c>
      <c r="D737" s="4" t="s">
        <v>38</v>
      </c>
      <c r="E737" s="5" t="n">
        <v>53695.5</v>
      </c>
      <c r="F737" s="4" t="s">
        <v>38</v>
      </c>
    </row>
    <row r="738" customFormat="false" ht="15" hidden="false" customHeight="false" outlineLevel="0" collapsed="false">
      <c r="A738" s="4" t="s">
        <v>984</v>
      </c>
      <c r="B738" s="4" t="s">
        <v>871</v>
      </c>
      <c r="C738" s="4" t="s">
        <v>94</v>
      </c>
      <c r="D738" s="4" t="s">
        <v>68</v>
      </c>
      <c r="E738" s="5" t="n">
        <v>46123.13</v>
      </c>
      <c r="F738" s="4" t="s">
        <v>17</v>
      </c>
    </row>
    <row r="739" customFormat="false" ht="15" hidden="false" customHeight="false" outlineLevel="0" collapsed="false">
      <c r="A739" s="4" t="s">
        <v>985</v>
      </c>
      <c r="B739" s="4" t="s">
        <v>936</v>
      </c>
      <c r="C739" s="4" t="s">
        <v>101</v>
      </c>
      <c r="D739" s="4" t="s">
        <v>33</v>
      </c>
      <c r="E739" s="5" t="n">
        <v>47894.43</v>
      </c>
      <c r="F739" s="4" t="s">
        <v>17</v>
      </c>
    </row>
    <row r="740" customFormat="false" ht="15" hidden="false" customHeight="false" outlineLevel="0" collapsed="false">
      <c r="A740" s="4" t="s">
        <v>986</v>
      </c>
      <c r="B740" s="4" t="s">
        <v>987</v>
      </c>
      <c r="C740" s="4" t="s">
        <v>15</v>
      </c>
      <c r="D740" s="4" t="s">
        <v>16</v>
      </c>
      <c r="E740" s="5" t="n">
        <v>8494.55</v>
      </c>
      <c r="F740" s="4" t="s">
        <v>17</v>
      </c>
    </row>
    <row r="741" customFormat="false" ht="15" hidden="false" customHeight="false" outlineLevel="0" collapsed="false">
      <c r="A741" s="4" t="s">
        <v>988</v>
      </c>
      <c r="B741" s="4" t="s">
        <v>989</v>
      </c>
      <c r="C741" s="4" t="s">
        <v>67</v>
      </c>
      <c r="D741" s="4" t="s">
        <v>68</v>
      </c>
      <c r="E741" s="5" t="n">
        <v>44557.39</v>
      </c>
      <c r="F741" s="4" t="s">
        <v>17</v>
      </c>
    </row>
    <row r="742" customFormat="false" ht="15" hidden="false" customHeight="false" outlineLevel="0" collapsed="false">
      <c r="A742" s="4" t="s">
        <v>990</v>
      </c>
      <c r="B742" s="4" t="s">
        <v>991</v>
      </c>
      <c r="C742" s="4" t="s">
        <v>54</v>
      </c>
      <c r="D742" s="4" t="s">
        <v>21</v>
      </c>
      <c r="E742" s="5" t="n">
        <v>41393.22</v>
      </c>
      <c r="F742" s="4" t="s">
        <v>17</v>
      </c>
    </row>
    <row r="743" customFormat="false" ht="15" hidden="false" customHeight="false" outlineLevel="0" collapsed="false">
      <c r="A743" s="4" t="s">
        <v>992</v>
      </c>
      <c r="B743" s="4" t="s">
        <v>993</v>
      </c>
      <c r="C743" s="4" t="s">
        <v>94</v>
      </c>
      <c r="D743" s="4" t="s">
        <v>68</v>
      </c>
      <c r="E743" s="5" t="n">
        <v>30361.94</v>
      </c>
      <c r="F743" s="4" t="s">
        <v>17</v>
      </c>
    </row>
    <row r="744" customFormat="false" ht="15" hidden="false" customHeight="false" outlineLevel="0" collapsed="false">
      <c r="A744" s="4" t="s">
        <v>994</v>
      </c>
      <c r="B744" s="4" t="s">
        <v>987</v>
      </c>
      <c r="C744" s="4" t="s">
        <v>45</v>
      </c>
      <c r="D744" s="4" t="s">
        <v>38</v>
      </c>
      <c r="E744" s="5" t="n">
        <v>14951.64</v>
      </c>
      <c r="F744" s="4" t="s">
        <v>38</v>
      </c>
    </row>
    <row r="745" customFormat="false" ht="15" hidden="false" customHeight="false" outlineLevel="0" collapsed="false">
      <c r="A745" s="4" t="s">
        <v>995</v>
      </c>
      <c r="B745" s="4" t="s">
        <v>996</v>
      </c>
      <c r="C745" s="4" t="s">
        <v>36</v>
      </c>
      <c r="D745" s="4" t="s">
        <v>37</v>
      </c>
      <c r="E745" s="5" t="n">
        <v>25574.13</v>
      </c>
      <c r="F745" s="4" t="s">
        <v>38</v>
      </c>
    </row>
    <row r="746" customFormat="false" ht="15" hidden="false" customHeight="false" outlineLevel="0" collapsed="false">
      <c r="A746" s="4" t="s">
        <v>997</v>
      </c>
      <c r="B746" s="4" t="s">
        <v>998</v>
      </c>
      <c r="C746" s="4" t="s">
        <v>36</v>
      </c>
      <c r="D746" s="4" t="s">
        <v>37</v>
      </c>
      <c r="E746" s="5" t="n">
        <v>47108.8</v>
      </c>
      <c r="F746" s="4" t="s">
        <v>38</v>
      </c>
    </row>
    <row r="747" customFormat="false" ht="15" hidden="false" customHeight="false" outlineLevel="0" collapsed="false">
      <c r="A747" s="4" t="s">
        <v>999</v>
      </c>
      <c r="B747" s="4" t="s">
        <v>1000</v>
      </c>
      <c r="C747" s="4" t="s">
        <v>101</v>
      </c>
      <c r="D747" s="4" t="s">
        <v>33</v>
      </c>
      <c r="E747" s="5" t="n">
        <v>11428.21</v>
      </c>
      <c r="F747" s="4" t="s">
        <v>17</v>
      </c>
    </row>
    <row r="748" customFormat="false" ht="15" hidden="false" customHeight="false" outlineLevel="0" collapsed="false">
      <c r="A748" s="4" t="s">
        <v>1001</v>
      </c>
      <c r="B748" s="4" t="s">
        <v>1000</v>
      </c>
      <c r="C748" s="4" t="s">
        <v>15</v>
      </c>
      <c r="D748" s="4" t="s">
        <v>16</v>
      </c>
      <c r="E748" s="5" t="n">
        <v>66067.14</v>
      </c>
      <c r="F748" s="4" t="s">
        <v>17</v>
      </c>
    </row>
    <row r="749" customFormat="false" ht="15" hidden="false" customHeight="false" outlineLevel="0" collapsed="false">
      <c r="A749" s="4" t="s">
        <v>1002</v>
      </c>
      <c r="B749" s="4" t="s">
        <v>1003</v>
      </c>
      <c r="C749" s="4" t="s">
        <v>67</v>
      </c>
      <c r="D749" s="4" t="s">
        <v>68</v>
      </c>
      <c r="E749" s="5" t="n">
        <v>17470.52</v>
      </c>
      <c r="F749" s="4" t="s">
        <v>17</v>
      </c>
    </row>
    <row r="750" customFormat="false" ht="15" hidden="false" customHeight="false" outlineLevel="0" collapsed="false">
      <c r="A750" s="4" t="s">
        <v>1004</v>
      </c>
      <c r="B750" s="4" t="s">
        <v>1005</v>
      </c>
      <c r="C750" s="4" t="s">
        <v>36</v>
      </c>
      <c r="D750" s="4" t="s">
        <v>37</v>
      </c>
      <c r="E750" s="5" t="n">
        <v>63594.43</v>
      </c>
      <c r="F750" s="4" t="s">
        <v>38</v>
      </c>
    </row>
    <row r="751" customFormat="false" ht="15" hidden="false" customHeight="false" outlineLevel="0" collapsed="false">
      <c r="A751" s="4" t="s">
        <v>1006</v>
      </c>
      <c r="B751" s="4" t="s">
        <v>1003</v>
      </c>
      <c r="C751" s="4" t="s">
        <v>45</v>
      </c>
      <c r="D751" s="4" t="s">
        <v>38</v>
      </c>
      <c r="E751" s="5" t="n">
        <v>54505.86</v>
      </c>
      <c r="F751" s="4" t="s">
        <v>38</v>
      </c>
    </row>
    <row r="752" customFormat="false" ht="15" hidden="false" customHeight="false" outlineLevel="0" collapsed="false">
      <c r="A752" s="4" t="s">
        <v>1007</v>
      </c>
      <c r="B752" s="4" t="s">
        <v>1008</v>
      </c>
      <c r="C752" s="4" t="s">
        <v>20</v>
      </c>
      <c r="D752" s="4" t="s">
        <v>21</v>
      </c>
      <c r="E752" s="5" t="n">
        <v>53531.98</v>
      </c>
      <c r="F752" s="4" t="s">
        <v>17</v>
      </c>
    </row>
    <row r="753" customFormat="false" ht="15" hidden="false" customHeight="false" outlineLevel="0" collapsed="false">
      <c r="A753" s="4" t="s">
        <v>1009</v>
      </c>
      <c r="B753" s="4" t="s">
        <v>1010</v>
      </c>
      <c r="C753" s="4" t="s">
        <v>101</v>
      </c>
      <c r="D753" s="4" t="s">
        <v>33</v>
      </c>
      <c r="E753" s="5" t="n">
        <v>24888.44</v>
      </c>
      <c r="F753" s="4" t="s">
        <v>17</v>
      </c>
    </row>
    <row r="754" customFormat="false" ht="15" hidden="false" customHeight="false" outlineLevel="0" collapsed="false">
      <c r="A754" s="4" t="s">
        <v>1011</v>
      </c>
      <c r="B754" s="4" t="s">
        <v>1012</v>
      </c>
      <c r="C754" s="4" t="s">
        <v>45</v>
      </c>
      <c r="D754" s="4" t="s">
        <v>38</v>
      </c>
      <c r="E754" s="5" t="n">
        <v>25235.48</v>
      </c>
      <c r="F754" s="4" t="s">
        <v>38</v>
      </c>
    </row>
    <row r="755" customFormat="false" ht="15" hidden="false" customHeight="false" outlineLevel="0" collapsed="false">
      <c r="A755" s="4" t="s">
        <v>1013</v>
      </c>
      <c r="B755" s="4" t="s">
        <v>1014</v>
      </c>
      <c r="C755" s="4" t="s">
        <v>45</v>
      </c>
      <c r="D755" s="4" t="s">
        <v>38</v>
      </c>
      <c r="E755" s="5" t="n">
        <v>51176</v>
      </c>
      <c r="F755" s="4" t="s">
        <v>38</v>
      </c>
    </row>
    <row r="756" customFormat="false" ht="15" hidden="false" customHeight="false" outlineLevel="0" collapsed="false">
      <c r="A756" s="4" t="s">
        <v>1015</v>
      </c>
      <c r="B756" s="4" t="s">
        <v>1016</v>
      </c>
      <c r="C756" s="4" t="s">
        <v>54</v>
      </c>
      <c r="D756" s="4" t="s">
        <v>21</v>
      </c>
      <c r="E756" s="5" t="n">
        <v>36408.59</v>
      </c>
      <c r="F756" s="4" t="s">
        <v>17</v>
      </c>
    </row>
    <row r="757" customFormat="false" ht="15" hidden="false" customHeight="false" outlineLevel="0" collapsed="false">
      <c r="A757" s="4" t="s">
        <v>1017</v>
      </c>
      <c r="B757" s="4" t="s">
        <v>1018</v>
      </c>
      <c r="C757" s="4" t="s">
        <v>45</v>
      </c>
      <c r="D757" s="4" t="s">
        <v>38</v>
      </c>
      <c r="E757" s="5" t="n">
        <v>14077.59</v>
      </c>
      <c r="F757" s="4" t="s">
        <v>38</v>
      </c>
    </row>
    <row r="758" customFormat="false" ht="15" hidden="false" customHeight="false" outlineLevel="0" collapsed="false">
      <c r="A758" s="4" t="s">
        <v>1019</v>
      </c>
      <c r="B758" s="4" t="s">
        <v>1003</v>
      </c>
      <c r="C758" s="4" t="s">
        <v>15</v>
      </c>
      <c r="D758" s="4" t="s">
        <v>16</v>
      </c>
      <c r="E758" s="5" t="n">
        <v>38141.28</v>
      </c>
      <c r="F758" s="4" t="s">
        <v>17</v>
      </c>
    </row>
    <row r="759" customFormat="false" ht="15" hidden="false" customHeight="false" outlineLevel="0" collapsed="false">
      <c r="A759" s="4" t="s">
        <v>1020</v>
      </c>
      <c r="B759" s="4" t="s">
        <v>993</v>
      </c>
      <c r="C759" s="4" t="s">
        <v>15</v>
      </c>
      <c r="D759" s="4" t="s">
        <v>16</v>
      </c>
      <c r="E759" s="5" t="n">
        <v>34089.28</v>
      </c>
      <c r="F759" s="4" t="s">
        <v>17</v>
      </c>
    </row>
    <row r="760" customFormat="false" ht="15" hidden="false" customHeight="false" outlineLevel="0" collapsed="false">
      <c r="A760" s="4" t="s">
        <v>1021</v>
      </c>
      <c r="B760" s="4" t="s">
        <v>1022</v>
      </c>
      <c r="C760" s="4" t="s">
        <v>94</v>
      </c>
      <c r="D760" s="4" t="s">
        <v>68</v>
      </c>
      <c r="E760" s="5" t="n">
        <v>35387.87</v>
      </c>
      <c r="F760" s="4" t="s">
        <v>17</v>
      </c>
    </row>
    <row r="761" customFormat="false" ht="15" hidden="false" customHeight="false" outlineLevel="0" collapsed="false">
      <c r="A761" s="4" t="s">
        <v>1023</v>
      </c>
      <c r="B761" s="4" t="s">
        <v>1024</v>
      </c>
      <c r="C761" s="4" t="s">
        <v>45</v>
      </c>
      <c r="D761" s="4" t="s">
        <v>38</v>
      </c>
      <c r="E761" s="5" t="n">
        <v>31499.93</v>
      </c>
      <c r="F761" s="4" t="s">
        <v>38</v>
      </c>
    </row>
    <row r="762" customFormat="false" ht="15" hidden="false" customHeight="false" outlineLevel="0" collapsed="false">
      <c r="A762" s="4" t="s">
        <v>1025</v>
      </c>
      <c r="B762" s="4" t="s">
        <v>1008</v>
      </c>
      <c r="C762" s="4" t="s">
        <v>62</v>
      </c>
      <c r="D762" s="4" t="s">
        <v>38</v>
      </c>
      <c r="E762" s="5" t="n">
        <v>58910.54</v>
      </c>
      <c r="F762" s="4" t="s">
        <v>38</v>
      </c>
    </row>
    <row r="763" customFormat="false" ht="15" hidden="false" customHeight="false" outlineLevel="0" collapsed="false">
      <c r="A763" s="4" t="s">
        <v>1026</v>
      </c>
      <c r="B763" s="4" t="s">
        <v>987</v>
      </c>
      <c r="C763" s="4" t="s">
        <v>36</v>
      </c>
      <c r="D763" s="4" t="s">
        <v>37</v>
      </c>
      <c r="E763" s="5" t="n">
        <v>45833.41</v>
      </c>
      <c r="F763" s="4" t="s">
        <v>38</v>
      </c>
    </row>
    <row r="764" customFormat="false" ht="15" hidden="false" customHeight="false" outlineLevel="0" collapsed="false">
      <c r="A764" s="4" t="s">
        <v>1027</v>
      </c>
      <c r="B764" s="4" t="s">
        <v>1028</v>
      </c>
      <c r="C764" s="4" t="s">
        <v>24</v>
      </c>
      <c r="D764" s="4" t="s">
        <v>25</v>
      </c>
      <c r="E764" s="5" t="n">
        <v>38079.4</v>
      </c>
      <c r="F764" s="4" t="s">
        <v>17</v>
      </c>
    </row>
    <row r="765" customFormat="false" ht="15" hidden="false" customHeight="false" outlineLevel="0" collapsed="false">
      <c r="A765" s="4" t="s">
        <v>1029</v>
      </c>
      <c r="B765" s="4" t="s">
        <v>991</v>
      </c>
      <c r="C765" s="4" t="s">
        <v>20</v>
      </c>
      <c r="D765" s="4" t="s">
        <v>21</v>
      </c>
      <c r="E765" s="5" t="n">
        <v>17140.57</v>
      </c>
      <c r="F765" s="4" t="s">
        <v>17</v>
      </c>
    </row>
    <row r="766" customFormat="false" ht="15" hidden="false" customHeight="false" outlineLevel="0" collapsed="false">
      <c r="A766" s="4" t="s">
        <v>1030</v>
      </c>
      <c r="B766" s="4" t="s">
        <v>993</v>
      </c>
      <c r="C766" s="4" t="s">
        <v>36</v>
      </c>
      <c r="D766" s="4" t="s">
        <v>37</v>
      </c>
      <c r="E766" s="5" t="n">
        <v>39982.81</v>
      </c>
      <c r="F766" s="4" t="s">
        <v>38</v>
      </c>
    </row>
    <row r="767" customFormat="false" ht="15" hidden="false" customHeight="false" outlineLevel="0" collapsed="false">
      <c r="A767" s="4" t="s">
        <v>1031</v>
      </c>
      <c r="B767" s="4" t="s">
        <v>1032</v>
      </c>
      <c r="C767" s="4" t="s">
        <v>15</v>
      </c>
      <c r="D767" s="4" t="s">
        <v>16</v>
      </c>
      <c r="E767" s="5" t="n">
        <v>13300.01</v>
      </c>
      <c r="F767" s="4" t="s">
        <v>17</v>
      </c>
    </row>
    <row r="768" customFormat="false" ht="15" hidden="false" customHeight="false" outlineLevel="0" collapsed="false">
      <c r="A768" s="4" t="s">
        <v>1033</v>
      </c>
      <c r="B768" s="4" t="s">
        <v>1008</v>
      </c>
      <c r="C768" s="4" t="s">
        <v>41</v>
      </c>
      <c r="D768" s="4" t="s">
        <v>16</v>
      </c>
      <c r="E768" s="5" t="n">
        <v>57516.5</v>
      </c>
      <c r="F768" s="4" t="s">
        <v>17</v>
      </c>
    </row>
    <row r="769" customFormat="false" ht="15" hidden="false" customHeight="false" outlineLevel="0" collapsed="false">
      <c r="A769" s="4" t="s">
        <v>1034</v>
      </c>
      <c r="B769" s="4" t="s">
        <v>991</v>
      </c>
      <c r="C769" s="4" t="s">
        <v>32</v>
      </c>
      <c r="D769" s="4" t="s">
        <v>33</v>
      </c>
      <c r="E769" s="5" t="n">
        <v>5595.2</v>
      </c>
      <c r="F769" s="4" t="s">
        <v>17</v>
      </c>
    </row>
    <row r="770" customFormat="false" ht="15" hidden="false" customHeight="false" outlineLevel="0" collapsed="false">
      <c r="A770" s="4" t="s">
        <v>1035</v>
      </c>
      <c r="B770" s="4" t="s">
        <v>998</v>
      </c>
      <c r="C770" s="4" t="s">
        <v>94</v>
      </c>
      <c r="D770" s="4" t="s">
        <v>68</v>
      </c>
      <c r="E770" s="5" t="n">
        <v>29814.75</v>
      </c>
      <c r="F770" s="4" t="s">
        <v>17</v>
      </c>
    </row>
    <row r="771" customFormat="false" ht="15" hidden="false" customHeight="false" outlineLevel="0" collapsed="false">
      <c r="A771" s="4" t="s">
        <v>1036</v>
      </c>
      <c r="B771" s="4" t="s">
        <v>1014</v>
      </c>
      <c r="C771" s="4" t="s">
        <v>15</v>
      </c>
      <c r="D771" s="4" t="s">
        <v>16</v>
      </c>
      <c r="E771" s="5" t="n">
        <v>11388.81</v>
      </c>
      <c r="F771" s="4" t="s">
        <v>17</v>
      </c>
    </row>
    <row r="772" customFormat="false" ht="15" hidden="false" customHeight="false" outlineLevel="0" collapsed="false">
      <c r="A772" s="4" t="s">
        <v>1037</v>
      </c>
      <c r="B772" s="4" t="s">
        <v>1038</v>
      </c>
      <c r="C772" s="4" t="s">
        <v>45</v>
      </c>
      <c r="D772" s="4" t="s">
        <v>38</v>
      </c>
      <c r="E772" s="5" t="n">
        <v>8943.74</v>
      </c>
      <c r="F772" s="4" t="s">
        <v>38</v>
      </c>
    </row>
    <row r="773" customFormat="false" ht="15" hidden="false" customHeight="false" outlineLevel="0" collapsed="false">
      <c r="A773" s="4" t="s">
        <v>1039</v>
      </c>
      <c r="B773" s="4" t="s">
        <v>998</v>
      </c>
      <c r="C773" s="4" t="s">
        <v>36</v>
      </c>
      <c r="D773" s="4" t="s">
        <v>37</v>
      </c>
      <c r="E773" s="5" t="n">
        <v>29445.21</v>
      </c>
      <c r="F773" s="4" t="s">
        <v>38</v>
      </c>
    </row>
    <row r="774" customFormat="false" ht="15" hidden="false" customHeight="false" outlineLevel="0" collapsed="false">
      <c r="A774" s="4" t="s">
        <v>1040</v>
      </c>
      <c r="B774" s="4" t="s">
        <v>1000</v>
      </c>
      <c r="C774" s="4" t="s">
        <v>36</v>
      </c>
      <c r="D774" s="4" t="s">
        <v>37</v>
      </c>
      <c r="E774" s="5" t="n">
        <v>14078.41</v>
      </c>
      <c r="F774" s="4" t="s">
        <v>38</v>
      </c>
    </row>
    <row r="775" customFormat="false" ht="15" hidden="false" customHeight="false" outlineLevel="0" collapsed="false">
      <c r="A775" s="4" t="s">
        <v>1041</v>
      </c>
      <c r="B775" s="4" t="s">
        <v>1028</v>
      </c>
      <c r="C775" s="4" t="s">
        <v>32</v>
      </c>
      <c r="D775" s="4" t="s">
        <v>33</v>
      </c>
      <c r="E775" s="5" t="n">
        <v>46603.21</v>
      </c>
      <c r="F775" s="4" t="s">
        <v>17</v>
      </c>
    </row>
    <row r="776" customFormat="false" ht="15" hidden="false" customHeight="false" outlineLevel="0" collapsed="false">
      <c r="A776" s="4" t="s">
        <v>1042</v>
      </c>
      <c r="B776" s="4" t="s">
        <v>989</v>
      </c>
      <c r="C776" s="4" t="s">
        <v>24</v>
      </c>
      <c r="D776" s="4" t="s">
        <v>25</v>
      </c>
      <c r="E776" s="5" t="n">
        <v>6574.07</v>
      </c>
      <c r="F776" s="4" t="s">
        <v>17</v>
      </c>
    </row>
    <row r="777" customFormat="false" ht="15" hidden="false" customHeight="false" outlineLevel="0" collapsed="false">
      <c r="A777" s="4" t="s">
        <v>1043</v>
      </c>
      <c r="B777" s="4" t="s">
        <v>1028</v>
      </c>
      <c r="C777" s="4" t="s">
        <v>20</v>
      </c>
      <c r="D777" s="4" t="s">
        <v>21</v>
      </c>
      <c r="E777" s="5" t="n">
        <v>33312.95</v>
      </c>
      <c r="F777" s="4" t="s">
        <v>17</v>
      </c>
    </row>
    <row r="778" customFormat="false" ht="15" hidden="false" customHeight="false" outlineLevel="0" collapsed="false">
      <c r="A778" s="4" t="s">
        <v>1044</v>
      </c>
      <c r="B778" s="4" t="s">
        <v>991</v>
      </c>
      <c r="C778" s="4" t="s">
        <v>41</v>
      </c>
      <c r="D778" s="4" t="s">
        <v>16</v>
      </c>
      <c r="E778" s="5" t="n">
        <v>22842.29</v>
      </c>
      <c r="F778" s="4" t="s">
        <v>17</v>
      </c>
    </row>
    <row r="779" customFormat="false" ht="15" hidden="false" customHeight="false" outlineLevel="0" collapsed="false">
      <c r="A779" s="4" t="s">
        <v>1045</v>
      </c>
      <c r="B779" s="4" t="s">
        <v>1014</v>
      </c>
      <c r="C779" s="4" t="s">
        <v>20</v>
      </c>
      <c r="D779" s="4" t="s">
        <v>21</v>
      </c>
      <c r="E779" s="5" t="n">
        <v>10318.21</v>
      </c>
      <c r="F779" s="4" t="s">
        <v>17</v>
      </c>
    </row>
    <row r="780" customFormat="false" ht="15" hidden="false" customHeight="false" outlineLevel="0" collapsed="false">
      <c r="A780" s="4" t="s">
        <v>1046</v>
      </c>
      <c r="B780" s="4" t="s">
        <v>993</v>
      </c>
      <c r="C780" s="4" t="s">
        <v>54</v>
      </c>
      <c r="D780" s="4" t="s">
        <v>21</v>
      </c>
      <c r="E780" s="5" t="n">
        <v>49625.91</v>
      </c>
      <c r="F780" s="4" t="s">
        <v>17</v>
      </c>
    </row>
    <row r="781" customFormat="false" ht="15" hidden="false" customHeight="false" outlineLevel="0" collapsed="false">
      <c r="A781" s="4" t="s">
        <v>1047</v>
      </c>
      <c r="B781" s="4" t="s">
        <v>987</v>
      </c>
      <c r="C781" s="4" t="s">
        <v>62</v>
      </c>
      <c r="D781" s="4" t="s">
        <v>38</v>
      </c>
      <c r="E781" s="5" t="n">
        <v>16937.5</v>
      </c>
      <c r="F781" s="4" t="s">
        <v>38</v>
      </c>
    </row>
    <row r="782" customFormat="false" ht="15" hidden="false" customHeight="false" outlineLevel="0" collapsed="false">
      <c r="A782" s="4" t="s">
        <v>1048</v>
      </c>
      <c r="B782" s="4" t="s">
        <v>996</v>
      </c>
      <c r="C782" s="4" t="s">
        <v>62</v>
      </c>
      <c r="D782" s="4" t="s">
        <v>38</v>
      </c>
      <c r="E782" s="5" t="n">
        <v>13332.75</v>
      </c>
      <c r="F782" s="4" t="s">
        <v>38</v>
      </c>
    </row>
    <row r="783" customFormat="false" ht="15" hidden="false" customHeight="false" outlineLevel="0" collapsed="false">
      <c r="A783" s="4" t="s">
        <v>1049</v>
      </c>
      <c r="B783" s="4" t="s">
        <v>1008</v>
      </c>
      <c r="C783" s="4" t="s">
        <v>101</v>
      </c>
      <c r="D783" s="4" t="s">
        <v>33</v>
      </c>
      <c r="E783" s="5" t="n">
        <v>5042.01</v>
      </c>
      <c r="F783" s="4" t="s">
        <v>17</v>
      </c>
    </row>
    <row r="784" customFormat="false" ht="15" hidden="false" customHeight="false" outlineLevel="0" collapsed="false">
      <c r="A784" s="4" t="s">
        <v>1050</v>
      </c>
      <c r="B784" s="4" t="s">
        <v>1018</v>
      </c>
      <c r="C784" s="4" t="s">
        <v>24</v>
      </c>
      <c r="D784" s="4" t="s">
        <v>25</v>
      </c>
      <c r="E784" s="5" t="n">
        <v>19904.93</v>
      </c>
      <c r="F784" s="4" t="s">
        <v>17</v>
      </c>
    </row>
    <row r="785" customFormat="false" ht="15" hidden="false" customHeight="false" outlineLevel="0" collapsed="false">
      <c r="A785" s="4" t="s">
        <v>1051</v>
      </c>
      <c r="B785" s="4" t="s">
        <v>1052</v>
      </c>
      <c r="C785" s="4" t="s">
        <v>45</v>
      </c>
      <c r="D785" s="4" t="s">
        <v>38</v>
      </c>
      <c r="E785" s="5" t="n">
        <v>18363.14</v>
      </c>
      <c r="F785" s="4" t="s">
        <v>38</v>
      </c>
    </row>
    <row r="786" customFormat="false" ht="15" hidden="false" customHeight="false" outlineLevel="0" collapsed="false">
      <c r="A786" s="4" t="s">
        <v>1053</v>
      </c>
      <c r="B786" s="4" t="s">
        <v>1018</v>
      </c>
      <c r="C786" s="4" t="s">
        <v>15</v>
      </c>
      <c r="D786" s="4" t="s">
        <v>16</v>
      </c>
      <c r="E786" s="5" t="n">
        <v>9063.47</v>
      </c>
      <c r="F786" s="4" t="s">
        <v>17</v>
      </c>
    </row>
    <row r="787" customFormat="false" ht="15" hidden="false" customHeight="false" outlineLevel="0" collapsed="false">
      <c r="A787" s="4" t="s">
        <v>1054</v>
      </c>
      <c r="B787" s="4" t="s">
        <v>1055</v>
      </c>
      <c r="C787" s="4" t="s">
        <v>101</v>
      </c>
      <c r="D787" s="4" t="s">
        <v>33</v>
      </c>
      <c r="E787" s="5" t="n">
        <v>28314.86</v>
      </c>
      <c r="F787" s="4" t="s">
        <v>17</v>
      </c>
    </row>
    <row r="788" customFormat="false" ht="15" hidden="false" customHeight="false" outlineLevel="0" collapsed="false">
      <c r="A788" s="4" t="s">
        <v>1056</v>
      </c>
      <c r="B788" s="4" t="s">
        <v>1022</v>
      </c>
      <c r="C788" s="4" t="s">
        <v>24</v>
      </c>
      <c r="D788" s="4" t="s">
        <v>25</v>
      </c>
      <c r="E788" s="5" t="n">
        <v>40684.05</v>
      </c>
      <c r="F788" s="4" t="s">
        <v>17</v>
      </c>
    </row>
    <row r="789" customFormat="false" ht="15" hidden="false" customHeight="false" outlineLevel="0" collapsed="false">
      <c r="A789" s="4" t="s">
        <v>1057</v>
      </c>
      <c r="B789" s="4" t="s">
        <v>1058</v>
      </c>
      <c r="C789" s="4" t="s">
        <v>54</v>
      </c>
      <c r="D789" s="4" t="s">
        <v>21</v>
      </c>
      <c r="E789" s="5" t="n">
        <v>25997.92</v>
      </c>
      <c r="F789" s="4" t="s">
        <v>17</v>
      </c>
    </row>
    <row r="790" customFormat="false" ht="15" hidden="false" customHeight="false" outlineLevel="0" collapsed="false">
      <c r="A790" s="4" t="s">
        <v>1059</v>
      </c>
      <c r="B790" s="4" t="s">
        <v>1060</v>
      </c>
      <c r="C790" s="4" t="s">
        <v>32</v>
      </c>
      <c r="D790" s="4" t="s">
        <v>33</v>
      </c>
      <c r="E790" s="5" t="n">
        <v>39443.93</v>
      </c>
      <c r="F790" s="4" t="s">
        <v>17</v>
      </c>
    </row>
    <row r="791" customFormat="false" ht="15" hidden="false" customHeight="false" outlineLevel="0" collapsed="false">
      <c r="A791" s="4" t="s">
        <v>1061</v>
      </c>
      <c r="B791" s="4" t="s">
        <v>1024</v>
      </c>
      <c r="C791" s="4" t="s">
        <v>101</v>
      </c>
      <c r="D791" s="4" t="s">
        <v>33</v>
      </c>
      <c r="E791" s="5" t="n">
        <v>10640.09</v>
      </c>
      <c r="F791" s="4" t="s">
        <v>17</v>
      </c>
    </row>
    <row r="792" customFormat="false" ht="15" hidden="false" customHeight="false" outlineLevel="0" collapsed="false">
      <c r="A792" s="4" t="s">
        <v>1062</v>
      </c>
      <c r="B792" s="4" t="s">
        <v>1058</v>
      </c>
      <c r="C792" s="4" t="s">
        <v>15</v>
      </c>
      <c r="D792" s="4" t="s">
        <v>16</v>
      </c>
      <c r="E792" s="5" t="n">
        <v>30793</v>
      </c>
      <c r="F792" s="4" t="s">
        <v>17</v>
      </c>
    </row>
    <row r="793" customFormat="false" ht="15" hidden="false" customHeight="false" outlineLevel="0" collapsed="false">
      <c r="A793" s="4" t="s">
        <v>1063</v>
      </c>
      <c r="B793" s="4" t="s">
        <v>1064</v>
      </c>
      <c r="C793" s="4" t="s">
        <v>20</v>
      </c>
      <c r="D793" s="4" t="s">
        <v>21</v>
      </c>
      <c r="E793" s="5" t="n">
        <v>30194.85</v>
      </c>
      <c r="F793" s="4" t="s">
        <v>17</v>
      </c>
    </row>
    <row r="794" customFormat="false" ht="15" hidden="false" customHeight="false" outlineLevel="0" collapsed="false">
      <c r="A794" s="4" t="s">
        <v>1065</v>
      </c>
      <c r="B794" s="4" t="s">
        <v>1066</v>
      </c>
      <c r="C794" s="4" t="s">
        <v>32</v>
      </c>
      <c r="D794" s="4" t="s">
        <v>33</v>
      </c>
      <c r="E794" s="5" t="n">
        <v>39249.26</v>
      </c>
      <c r="F794" s="4" t="s">
        <v>17</v>
      </c>
    </row>
    <row r="795" customFormat="false" ht="15" hidden="false" customHeight="false" outlineLevel="0" collapsed="false">
      <c r="A795" s="4" t="s">
        <v>1067</v>
      </c>
      <c r="B795" s="4" t="s">
        <v>1055</v>
      </c>
      <c r="C795" s="4" t="s">
        <v>24</v>
      </c>
      <c r="D795" s="4" t="s">
        <v>25</v>
      </c>
      <c r="E795" s="5" t="n">
        <v>49461.2</v>
      </c>
      <c r="F795" s="4" t="s">
        <v>17</v>
      </c>
    </row>
    <row r="796" customFormat="false" ht="15" hidden="false" customHeight="false" outlineLevel="0" collapsed="false">
      <c r="A796" s="4" t="s">
        <v>1068</v>
      </c>
      <c r="B796" s="4" t="s">
        <v>989</v>
      </c>
      <c r="C796" s="4" t="s">
        <v>45</v>
      </c>
      <c r="D796" s="4" t="s">
        <v>38</v>
      </c>
      <c r="E796" s="5" t="n">
        <v>26339.19</v>
      </c>
      <c r="F796" s="4" t="s">
        <v>38</v>
      </c>
    </row>
    <row r="797" customFormat="false" ht="15" hidden="false" customHeight="false" outlineLevel="0" collapsed="false">
      <c r="A797" s="4" t="s">
        <v>1069</v>
      </c>
      <c r="B797" s="4" t="s">
        <v>987</v>
      </c>
      <c r="C797" s="4" t="s">
        <v>24</v>
      </c>
      <c r="D797" s="4" t="s">
        <v>25</v>
      </c>
      <c r="E797" s="5" t="n">
        <v>44616.78</v>
      </c>
      <c r="F797" s="4" t="s">
        <v>17</v>
      </c>
    </row>
    <row r="798" customFormat="false" ht="15" hidden="false" customHeight="false" outlineLevel="0" collapsed="false">
      <c r="A798" s="4" t="s">
        <v>1070</v>
      </c>
      <c r="B798" s="4" t="s">
        <v>996</v>
      </c>
      <c r="C798" s="4" t="s">
        <v>62</v>
      </c>
      <c r="D798" s="4" t="s">
        <v>38</v>
      </c>
      <c r="E798" s="5" t="n">
        <v>65701.5</v>
      </c>
      <c r="F798" s="4" t="s">
        <v>38</v>
      </c>
    </row>
    <row r="799" customFormat="false" ht="15" hidden="false" customHeight="false" outlineLevel="0" collapsed="false">
      <c r="A799" s="4" t="s">
        <v>1071</v>
      </c>
      <c r="B799" s="4" t="s">
        <v>993</v>
      </c>
      <c r="C799" s="4" t="s">
        <v>24</v>
      </c>
      <c r="D799" s="4" t="s">
        <v>25</v>
      </c>
      <c r="E799" s="5" t="n">
        <v>34414.09</v>
      </c>
      <c r="F799" s="4" t="s">
        <v>17</v>
      </c>
    </row>
    <row r="800" customFormat="false" ht="15" hidden="false" customHeight="false" outlineLevel="0" collapsed="false">
      <c r="A800" s="4" t="s">
        <v>1072</v>
      </c>
      <c r="B800" s="4" t="s">
        <v>1022</v>
      </c>
      <c r="C800" s="4" t="s">
        <v>36</v>
      </c>
      <c r="D800" s="4" t="s">
        <v>37</v>
      </c>
      <c r="E800" s="5" t="n">
        <v>6745.36</v>
      </c>
      <c r="F800" s="4" t="s">
        <v>38</v>
      </c>
    </row>
    <row r="801" customFormat="false" ht="15" hidden="false" customHeight="false" outlineLevel="0" collapsed="false">
      <c r="A801" s="4" t="s">
        <v>1073</v>
      </c>
      <c r="B801" s="4" t="s">
        <v>1032</v>
      </c>
      <c r="C801" s="4" t="s">
        <v>32</v>
      </c>
      <c r="D801" s="4" t="s">
        <v>33</v>
      </c>
      <c r="E801" s="5" t="n">
        <v>6431.91</v>
      </c>
      <c r="F801" s="4" t="s">
        <v>17</v>
      </c>
    </row>
    <row r="802" customFormat="false" ht="15" hidden="false" customHeight="false" outlineLevel="0" collapsed="false">
      <c r="A802" s="4" t="s">
        <v>1074</v>
      </c>
      <c r="B802" s="4" t="s">
        <v>1022</v>
      </c>
      <c r="C802" s="4" t="s">
        <v>24</v>
      </c>
      <c r="D802" s="4" t="s">
        <v>25</v>
      </c>
      <c r="E802" s="5" t="n">
        <v>21534.33</v>
      </c>
      <c r="F802" s="4" t="s">
        <v>17</v>
      </c>
    </row>
    <row r="803" customFormat="false" ht="15" hidden="false" customHeight="false" outlineLevel="0" collapsed="false">
      <c r="A803" s="4" t="s">
        <v>1075</v>
      </c>
      <c r="B803" s="4" t="s">
        <v>1000</v>
      </c>
      <c r="C803" s="4" t="s">
        <v>24</v>
      </c>
      <c r="D803" s="4" t="s">
        <v>25</v>
      </c>
      <c r="E803" s="5" t="n">
        <v>22731.11</v>
      </c>
      <c r="F803" s="4" t="s">
        <v>17</v>
      </c>
    </row>
    <row r="804" customFormat="false" ht="15" hidden="false" customHeight="false" outlineLevel="0" collapsed="false">
      <c r="A804" s="4" t="s">
        <v>1076</v>
      </c>
      <c r="B804" s="4" t="s">
        <v>996</v>
      </c>
      <c r="C804" s="4" t="s">
        <v>32</v>
      </c>
      <c r="D804" s="4" t="s">
        <v>33</v>
      </c>
      <c r="E804" s="5" t="n">
        <v>34943.14</v>
      </c>
      <c r="F804" s="4" t="s">
        <v>17</v>
      </c>
    </row>
    <row r="805" customFormat="false" ht="15" hidden="false" customHeight="false" outlineLevel="0" collapsed="false">
      <c r="A805" s="4" t="s">
        <v>1077</v>
      </c>
      <c r="B805" s="4" t="s">
        <v>987</v>
      </c>
      <c r="C805" s="4" t="s">
        <v>15</v>
      </c>
      <c r="D805" s="4" t="s">
        <v>16</v>
      </c>
      <c r="E805" s="5" t="n">
        <v>6069.19</v>
      </c>
      <c r="F805" s="4" t="s">
        <v>17</v>
      </c>
    </row>
    <row r="806" customFormat="false" ht="15" hidden="false" customHeight="false" outlineLevel="0" collapsed="false">
      <c r="A806" s="4" t="s">
        <v>1078</v>
      </c>
      <c r="B806" s="4" t="s">
        <v>1055</v>
      </c>
      <c r="C806" s="4" t="s">
        <v>45</v>
      </c>
      <c r="D806" s="4" t="s">
        <v>38</v>
      </c>
      <c r="E806" s="5" t="n">
        <v>24889.27</v>
      </c>
      <c r="F806" s="4" t="s">
        <v>38</v>
      </c>
    </row>
    <row r="807" customFormat="false" ht="15" hidden="false" customHeight="false" outlineLevel="0" collapsed="false">
      <c r="A807" s="4" t="s">
        <v>1079</v>
      </c>
      <c r="B807" s="4" t="s">
        <v>1058</v>
      </c>
      <c r="C807" s="4" t="s">
        <v>36</v>
      </c>
      <c r="D807" s="4" t="s">
        <v>37</v>
      </c>
      <c r="E807" s="5" t="n">
        <v>10858.05</v>
      </c>
      <c r="F807" s="4" t="s">
        <v>38</v>
      </c>
    </row>
    <row r="808" customFormat="false" ht="15" hidden="false" customHeight="false" outlineLevel="0" collapsed="false">
      <c r="A808" s="4" t="s">
        <v>1080</v>
      </c>
      <c r="B808" s="4" t="s">
        <v>1066</v>
      </c>
      <c r="C808" s="4" t="s">
        <v>101</v>
      </c>
      <c r="D808" s="4" t="s">
        <v>33</v>
      </c>
      <c r="E808" s="5" t="n">
        <v>4835.89</v>
      </c>
      <c r="F808" s="4" t="s">
        <v>17</v>
      </c>
    </row>
    <row r="809" customFormat="false" ht="15" hidden="false" customHeight="false" outlineLevel="0" collapsed="false">
      <c r="A809" s="4" t="s">
        <v>1081</v>
      </c>
      <c r="B809" s="4" t="s">
        <v>1014</v>
      </c>
      <c r="C809" s="4" t="s">
        <v>20</v>
      </c>
      <c r="D809" s="4" t="s">
        <v>21</v>
      </c>
      <c r="E809" s="5" t="n">
        <v>3803.52</v>
      </c>
      <c r="F809" s="4" t="s">
        <v>17</v>
      </c>
    </row>
    <row r="810" customFormat="false" ht="15" hidden="false" customHeight="false" outlineLevel="0" collapsed="false">
      <c r="A810" s="4" t="s">
        <v>1082</v>
      </c>
      <c r="B810" s="4" t="s">
        <v>996</v>
      </c>
      <c r="C810" s="4" t="s">
        <v>32</v>
      </c>
      <c r="D810" s="4" t="s">
        <v>33</v>
      </c>
      <c r="E810" s="5" t="n">
        <v>26805.58</v>
      </c>
      <c r="F810" s="4" t="s">
        <v>17</v>
      </c>
    </row>
    <row r="811" customFormat="false" ht="15" hidden="false" customHeight="false" outlineLevel="0" collapsed="false">
      <c r="A811" s="4" t="s">
        <v>1083</v>
      </c>
      <c r="B811" s="4" t="s">
        <v>1000</v>
      </c>
      <c r="C811" s="4" t="s">
        <v>62</v>
      </c>
      <c r="D811" s="4" t="s">
        <v>38</v>
      </c>
      <c r="E811" s="5" t="n">
        <v>31472.04</v>
      </c>
      <c r="F811" s="4" t="s">
        <v>38</v>
      </c>
    </row>
    <row r="812" customFormat="false" ht="15" hidden="false" customHeight="false" outlineLevel="0" collapsed="false">
      <c r="A812" s="4" t="s">
        <v>1084</v>
      </c>
      <c r="B812" s="4" t="s">
        <v>1008</v>
      </c>
      <c r="C812" s="4" t="s">
        <v>67</v>
      </c>
      <c r="D812" s="4" t="s">
        <v>68</v>
      </c>
      <c r="E812" s="5" t="n">
        <v>13899.14</v>
      </c>
      <c r="F812" s="4" t="s">
        <v>17</v>
      </c>
    </row>
    <row r="813" customFormat="false" ht="15" hidden="false" customHeight="false" outlineLevel="0" collapsed="false">
      <c r="A813" s="4" t="s">
        <v>1085</v>
      </c>
      <c r="B813" s="4" t="s">
        <v>998</v>
      </c>
      <c r="C813" s="4" t="s">
        <v>94</v>
      </c>
      <c r="D813" s="4" t="s">
        <v>68</v>
      </c>
      <c r="E813" s="5" t="n">
        <v>14605.76</v>
      </c>
      <c r="F813" s="4" t="s">
        <v>17</v>
      </c>
    </row>
    <row r="814" customFormat="false" ht="15" hidden="false" customHeight="false" outlineLevel="0" collapsed="false">
      <c r="A814" s="4" t="s">
        <v>1086</v>
      </c>
      <c r="B814" s="4" t="s">
        <v>991</v>
      </c>
      <c r="C814" s="4" t="s">
        <v>15</v>
      </c>
      <c r="D814" s="4" t="s">
        <v>16</v>
      </c>
      <c r="E814" s="5" t="n">
        <v>28561.29</v>
      </c>
      <c r="F814" s="4" t="s">
        <v>17</v>
      </c>
    </row>
    <row r="815" customFormat="false" ht="15" hidden="false" customHeight="false" outlineLevel="0" collapsed="false">
      <c r="A815" s="4" t="s">
        <v>1087</v>
      </c>
      <c r="B815" s="4" t="s">
        <v>1014</v>
      </c>
      <c r="C815" s="4" t="s">
        <v>45</v>
      </c>
      <c r="D815" s="4" t="s">
        <v>38</v>
      </c>
      <c r="E815" s="5" t="n">
        <v>66435.96</v>
      </c>
      <c r="F815" s="4" t="s">
        <v>38</v>
      </c>
    </row>
    <row r="816" customFormat="false" ht="15" hidden="false" customHeight="false" outlineLevel="0" collapsed="false">
      <c r="A816" s="4" t="s">
        <v>1088</v>
      </c>
      <c r="B816" s="4" t="s">
        <v>987</v>
      </c>
      <c r="C816" s="4" t="s">
        <v>20</v>
      </c>
      <c r="D816" s="4" t="s">
        <v>21</v>
      </c>
      <c r="E816" s="5" t="n">
        <v>37217.62</v>
      </c>
      <c r="F816" s="4" t="s">
        <v>17</v>
      </c>
    </row>
    <row r="817" customFormat="false" ht="15" hidden="false" customHeight="false" outlineLevel="0" collapsed="false">
      <c r="A817" s="4" t="s">
        <v>1089</v>
      </c>
      <c r="B817" s="4" t="s">
        <v>989</v>
      </c>
      <c r="C817" s="4" t="s">
        <v>41</v>
      </c>
      <c r="D817" s="4" t="s">
        <v>16</v>
      </c>
      <c r="E817" s="5" t="n">
        <v>28082.43</v>
      </c>
      <c r="F817" s="4" t="s">
        <v>17</v>
      </c>
    </row>
    <row r="818" customFormat="false" ht="15" hidden="false" customHeight="false" outlineLevel="0" collapsed="false">
      <c r="A818" s="4" t="s">
        <v>1090</v>
      </c>
      <c r="B818" s="4" t="s">
        <v>998</v>
      </c>
      <c r="C818" s="4" t="s">
        <v>94</v>
      </c>
      <c r="D818" s="4" t="s">
        <v>68</v>
      </c>
      <c r="E818" s="5" t="n">
        <v>16650.64</v>
      </c>
      <c r="F818" s="4" t="s">
        <v>17</v>
      </c>
    </row>
    <row r="819" customFormat="false" ht="15" hidden="false" customHeight="false" outlineLevel="0" collapsed="false">
      <c r="A819" s="4" t="s">
        <v>1091</v>
      </c>
      <c r="B819" s="4" t="s">
        <v>1066</v>
      </c>
      <c r="C819" s="4" t="s">
        <v>24</v>
      </c>
      <c r="D819" s="4" t="s">
        <v>25</v>
      </c>
      <c r="E819" s="5" t="n">
        <v>62405.33</v>
      </c>
      <c r="F819" s="4" t="s">
        <v>17</v>
      </c>
    </row>
    <row r="820" customFormat="false" ht="15" hidden="false" customHeight="false" outlineLevel="0" collapsed="false">
      <c r="A820" s="4" t="s">
        <v>1092</v>
      </c>
      <c r="B820" s="4" t="s">
        <v>996</v>
      </c>
      <c r="C820" s="4" t="s">
        <v>15</v>
      </c>
      <c r="D820" s="4" t="s">
        <v>16</v>
      </c>
      <c r="E820" s="5" t="n">
        <v>5519.48</v>
      </c>
      <c r="F820" s="4" t="s">
        <v>17</v>
      </c>
    </row>
    <row r="821" customFormat="false" ht="15" hidden="false" customHeight="false" outlineLevel="0" collapsed="false">
      <c r="A821" s="4" t="s">
        <v>1093</v>
      </c>
      <c r="B821" s="4" t="s">
        <v>1032</v>
      </c>
      <c r="C821" s="4" t="s">
        <v>15</v>
      </c>
      <c r="D821" s="4" t="s">
        <v>16</v>
      </c>
      <c r="E821" s="5" t="n">
        <v>2540.16</v>
      </c>
      <c r="F821" s="4" t="s">
        <v>17</v>
      </c>
    </row>
    <row r="822" customFormat="false" ht="15" hidden="false" customHeight="false" outlineLevel="0" collapsed="false">
      <c r="A822" s="4" t="s">
        <v>1094</v>
      </c>
      <c r="B822" s="4" t="s">
        <v>998</v>
      </c>
      <c r="C822" s="4" t="s">
        <v>45</v>
      </c>
      <c r="D822" s="4" t="s">
        <v>38</v>
      </c>
      <c r="E822" s="5" t="n">
        <v>53338.2</v>
      </c>
      <c r="F822" s="4" t="s">
        <v>38</v>
      </c>
    </row>
    <row r="823" customFormat="false" ht="15" hidden="false" customHeight="false" outlineLevel="0" collapsed="false">
      <c r="A823" s="4" t="s">
        <v>1095</v>
      </c>
      <c r="B823" s="4" t="s">
        <v>1028</v>
      </c>
      <c r="C823" s="4" t="s">
        <v>45</v>
      </c>
      <c r="D823" s="4" t="s">
        <v>38</v>
      </c>
      <c r="E823" s="5" t="n">
        <v>18819.43</v>
      </c>
      <c r="F823" s="4" t="s">
        <v>38</v>
      </c>
    </row>
    <row r="824" customFormat="false" ht="15" hidden="false" customHeight="false" outlineLevel="0" collapsed="false">
      <c r="A824" s="4" t="s">
        <v>1096</v>
      </c>
      <c r="B824" s="4" t="s">
        <v>998</v>
      </c>
      <c r="C824" s="4" t="s">
        <v>62</v>
      </c>
      <c r="D824" s="4" t="s">
        <v>38</v>
      </c>
      <c r="E824" s="5" t="n">
        <v>20013.94</v>
      </c>
      <c r="F824" s="4" t="s">
        <v>38</v>
      </c>
    </row>
    <row r="825" customFormat="false" ht="15" hidden="false" customHeight="false" outlineLevel="0" collapsed="false">
      <c r="A825" s="4" t="s">
        <v>1097</v>
      </c>
      <c r="B825" s="4" t="s">
        <v>1064</v>
      </c>
      <c r="C825" s="4" t="s">
        <v>101</v>
      </c>
      <c r="D825" s="4" t="s">
        <v>33</v>
      </c>
      <c r="E825" s="5" t="n">
        <v>9129.68</v>
      </c>
      <c r="F825" s="4" t="s">
        <v>17</v>
      </c>
    </row>
    <row r="826" customFormat="false" ht="15" hidden="false" customHeight="false" outlineLevel="0" collapsed="false">
      <c r="A826" s="4" t="s">
        <v>1098</v>
      </c>
      <c r="B826" s="4" t="s">
        <v>1099</v>
      </c>
      <c r="C826" s="4" t="s">
        <v>20</v>
      </c>
      <c r="D826" s="4" t="s">
        <v>21</v>
      </c>
      <c r="E826" s="5" t="n">
        <v>54679.8</v>
      </c>
      <c r="F826" s="4" t="s">
        <v>17</v>
      </c>
    </row>
    <row r="827" customFormat="false" ht="15" hidden="false" customHeight="false" outlineLevel="0" collapsed="false">
      <c r="A827" s="4" t="s">
        <v>1100</v>
      </c>
      <c r="B827" s="4" t="s">
        <v>1101</v>
      </c>
      <c r="C827" s="4" t="s">
        <v>20</v>
      </c>
      <c r="D827" s="4" t="s">
        <v>21</v>
      </c>
      <c r="E827" s="5" t="n">
        <v>59839.87</v>
      </c>
      <c r="F827" s="4" t="s">
        <v>17</v>
      </c>
    </row>
    <row r="828" customFormat="false" ht="15" hidden="false" customHeight="false" outlineLevel="0" collapsed="false">
      <c r="A828" s="4" t="s">
        <v>1102</v>
      </c>
      <c r="B828" s="4" t="s">
        <v>1101</v>
      </c>
      <c r="C828" s="4" t="s">
        <v>67</v>
      </c>
      <c r="D828" s="4" t="s">
        <v>68</v>
      </c>
      <c r="E828" s="5" t="n">
        <v>42151.16</v>
      </c>
      <c r="F828" s="4" t="s">
        <v>17</v>
      </c>
    </row>
    <row r="829" customFormat="false" ht="15" hidden="false" customHeight="false" outlineLevel="0" collapsed="false">
      <c r="A829" s="4" t="s">
        <v>1103</v>
      </c>
      <c r="B829" s="4" t="s">
        <v>1104</v>
      </c>
      <c r="C829" s="4" t="s">
        <v>24</v>
      </c>
      <c r="D829" s="4" t="s">
        <v>25</v>
      </c>
      <c r="E829" s="5" t="n">
        <v>9056.02</v>
      </c>
      <c r="F829" s="4" t="s">
        <v>17</v>
      </c>
    </row>
    <row r="830" customFormat="false" ht="15" hidden="false" customHeight="false" outlineLevel="0" collapsed="false">
      <c r="A830" s="4" t="s">
        <v>1105</v>
      </c>
      <c r="B830" s="4" t="s">
        <v>1106</v>
      </c>
      <c r="C830" s="4" t="s">
        <v>24</v>
      </c>
      <c r="D830" s="4" t="s">
        <v>25</v>
      </c>
      <c r="E830" s="5" t="n">
        <v>40483.87</v>
      </c>
      <c r="F830" s="4" t="s">
        <v>17</v>
      </c>
    </row>
    <row r="831" customFormat="false" ht="15" hidden="false" customHeight="false" outlineLevel="0" collapsed="false">
      <c r="A831" s="4" t="s">
        <v>1107</v>
      </c>
      <c r="B831" s="4" t="s">
        <v>1108</v>
      </c>
      <c r="C831" s="4" t="s">
        <v>45</v>
      </c>
      <c r="D831" s="4" t="s">
        <v>38</v>
      </c>
      <c r="E831" s="5" t="n">
        <v>66080.19</v>
      </c>
      <c r="F831" s="4" t="s">
        <v>38</v>
      </c>
    </row>
    <row r="832" customFormat="false" ht="15" hidden="false" customHeight="false" outlineLevel="0" collapsed="false">
      <c r="A832" s="4" t="s">
        <v>1109</v>
      </c>
      <c r="B832" s="4" t="s">
        <v>1110</v>
      </c>
      <c r="C832" s="4" t="s">
        <v>32</v>
      </c>
      <c r="D832" s="4" t="s">
        <v>33</v>
      </c>
      <c r="E832" s="5" t="n">
        <v>36656.51</v>
      </c>
      <c r="F832" s="4" t="s">
        <v>17</v>
      </c>
    </row>
    <row r="833" customFormat="false" ht="15" hidden="false" customHeight="false" outlineLevel="0" collapsed="false">
      <c r="A833" s="4" t="s">
        <v>1111</v>
      </c>
      <c r="B833" s="4" t="s">
        <v>1112</v>
      </c>
      <c r="C833" s="4" t="s">
        <v>20</v>
      </c>
      <c r="D833" s="4" t="s">
        <v>21</v>
      </c>
      <c r="E833" s="5" t="n">
        <v>60534.64</v>
      </c>
      <c r="F833" s="4" t="s">
        <v>17</v>
      </c>
    </row>
    <row r="834" customFormat="false" ht="15" hidden="false" customHeight="false" outlineLevel="0" collapsed="false">
      <c r="A834" s="4" t="s">
        <v>1113</v>
      </c>
      <c r="B834" s="4" t="s">
        <v>1114</v>
      </c>
      <c r="C834" s="4" t="s">
        <v>15</v>
      </c>
      <c r="D834" s="4" t="s">
        <v>16</v>
      </c>
      <c r="E834" s="5" t="n">
        <v>7428.64</v>
      </c>
      <c r="F834" s="4" t="s">
        <v>17</v>
      </c>
    </row>
    <row r="835" customFormat="false" ht="15" hidden="false" customHeight="false" outlineLevel="0" collapsed="false">
      <c r="A835" s="4" t="s">
        <v>1115</v>
      </c>
      <c r="B835" s="4" t="s">
        <v>1116</v>
      </c>
      <c r="C835" s="4" t="s">
        <v>45</v>
      </c>
      <c r="D835" s="4" t="s">
        <v>38</v>
      </c>
      <c r="E835" s="5" t="n">
        <v>3999.32</v>
      </c>
      <c r="F835" s="4" t="s">
        <v>38</v>
      </c>
    </row>
    <row r="836" customFormat="false" ht="15" hidden="false" customHeight="false" outlineLevel="0" collapsed="false">
      <c r="A836" s="4" t="s">
        <v>1117</v>
      </c>
      <c r="B836" s="4" t="s">
        <v>1118</v>
      </c>
      <c r="C836" s="4" t="s">
        <v>94</v>
      </c>
      <c r="D836" s="4" t="s">
        <v>68</v>
      </c>
      <c r="E836" s="5" t="n">
        <v>31960.7</v>
      </c>
      <c r="F836" s="4" t="s">
        <v>17</v>
      </c>
    </row>
    <row r="837" customFormat="false" ht="15" hidden="false" customHeight="false" outlineLevel="0" collapsed="false">
      <c r="A837" s="4" t="s">
        <v>1119</v>
      </c>
      <c r="B837" s="4" t="s">
        <v>1120</v>
      </c>
      <c r="C837" s="4" t="s">
        <v>41</v>
      </c>
      <c r="D837" s="4" t="s">
        <v>16</v>
      </c>
      <c r="E837" s="5" t="n">
        <v>44261.21</v>
      </c>
      <c r="F837" s="4" t="s">
        <v>17</v>
      </c>
    </row>
    <row r="838" customFormat="false" ht="15" hidden="false" customHeight="false" outlineLevel="0" collapsed="false">
      <c r="A838" s="4" t="s">
        <v>1121</v>
      </c>
      <c r="B838" s="4" t="s">
        <v>1122</v>
      </c>
      <c r="C838" s="4" t="s">
        <v>67</v>
      </c>
      <c r="D838" s="4" t="s">
        <v>68</v>
      </c>
      <c r="E838" s="5" t="n">
        <v>20538.44</v>
      </c>
      <c r="F838" s="4" t="s">
        <v>17</v>
      </c>
    </row>
    <row r="839" customFormat="false" ht="15" hidden="false" customHeight="false" outlineLevel="0" collapsed="false">
      <c r="A839" s="4" t="s">
        <v>1123</v>
      </c>
      <c r="B839" s="4" t="s">
        <v>1124</v>
      </c>
      <c r="C839" s="4" t="s">
        <v>101</v>
      </c>
      <c r="D839" s="4" t="s">
        <v>33</v>
      </c>
      <c r="E839" s="5" t="n">
        <v>27059.16</v>
      </c>
      <c r="F839" s="4" t="s">
        <v>17</v>
      </c>
    </row>
    <row r="840" customFormat="false" ht="15" hidden="false" customHeight="false" outlineLevel="0" collapsed="false">
      <c r="A840" s="4" t="s">
        <v>1125</v>
      </c>
      <c r="B840" s="4" t="s">
        <v>1124</v>
      </c>
      <c r="C840" s="4" t="s">
        <v>62</v>
      </c>
      <c r="D840" s="4" t="s">
        <v>38</v>
      </c>
      <c r="E840" s="5" t="n">
        <v>61921.33</v>
      </c>
      <c r="F840" s="4" t="s">
        <v>38</v>
      </c>
    </row>
    <row r="841" customFormat="false" ht="15" hidden="false" customHeight="false" outlineLevel="0" collapsed="false">
      <c r="A841" s="4" t="s">
        <v>1126</v>
      </c>
      <c r="B841" s="4" t="s">
        <v>1127</v>
      </c>
      <c r="C841" s="4" t="s">
        <v>67</v>
      </c>
      <c r="D841" s="4" t="s">
        <v>68</v>
      </c>
      <c r="E841" s="5" t="n">
        <v>67277.99</v>
      </c>
      <c r="F841" s="4" t="s">
        <v>17</v>
      </c>
    </row>
    <row r="842" customFormat="false" ht="15" hidden="false" customHeight="false" outlineLevel="0" collapsed="false">
      <c r="A842" s="4" t="s">
        <v>1128</v>
      </c>
      <c r="B842" s="4" t="s">
        <v>1129</v>
      </c>
      <c r="C842" s="4" t="s">
        <v>101</v>
      </c>
      <c r="D842" s="4" t="s">
        <v>33</v>
      </c>
      <c r="E842" s="5" t="n">
        <v>65440.62</v>
      </c>
      <c r="F842" s="4" t="s">
        <v>17</v>
      </c>
    </row>
    <row r="843" customFormat="false" ht="15" hidden="false" customHeight="false" outlineLevel="0" collapsed="false">
      <c r="A843" s="4" t="s">
        <v>1130</v>
      </c>
      <c r="B843" s="4" t="s">
        <v>1131</v>
      </c>
      <c r="C843" s="4" t="s">
        <v>32</v>
      </c>
      <c r="D843" s="4" t="s">
        <v>33</v>
      </c>
      <c r="E843" s="5" t="n">
        <v>24221.89</v>
      </c>
      <c r="F843" s="4" t="s">
        <v>17</v>
      </c>
    </row>
    <row r="844" customFormat="false" ht="15" hidden="false" customHeight="false" outlineLevel="0" collapsed="false">
      <c r="A844" s="4" t="s">
        <v>1132</v>
      </c>
      <c r="B844" s="4" t="s">
        <v>1114</v>
      </c>
      <c r="C844" s="4" t="s">
        <v>67</v>
      </c>
      <c r="D844" s="4" t="s">
        <v>68</v>
      </c>
      <c r="E844" s="5" t="n">
        <v>42928.4</v>
      </c>
      <c r="F844" s="4" t="s">
        <v>17</v>
      </c>
    </row>
    <row r="845" customFormat="false" ht="15" hidden="false" customHeight="false" outlineLevel="0" collapsed="false">
      <c r="A845" s="4" t="s">
        <v>1133</v>
      </c>
      <c r="B845" s="4" t="s">
        <v>1134</v>
      </c>
      <c r="C845" s="4" t="s">
        <v>101</v>
      </c>
      <c r="D845" s="4" t="s">
        <v>33</v>
      </c>
      <c r="E845" s="5" t="n">
        <v>11081.72</v>
      </c>
      <c r="F845" s="4" t="s">
        <v>17</v>
      </c>
    </row>
    <row r="846" customFormat="false" ht="15" hidden="false" customHeight="false" outlineLevel="0" collapsed="false">
      <c r="A846" s="4" t="s">
        <v>1135</v>
      </c>
      <c r="B846" s="4" t="s">
        <v>1136</v>
      </c>
      <c r="C846" s="4" t="s">
        <v>36</v>
      </c>
      <c r="D846" s="4" t="s">
        <v>37</v>
      </c>
      <c r="E846" s="5" t="n">
        <v>20418.64</v>
      </c>
      <c r="F846" s="4" t="s">
        <v>38</v>
      </c>
    </row>
    <row r="847" customFormat="false" ht="15" hidden="false" customHeight="false" outlineLevel="0" collapsed="false">
      <c r="A847" s="4" t="s">
        <v>1137</v>
      </c>
      <c r="B847" s="4" t="s">
        <v>1134</v>
      </c>
      <c r="C847" s="4" t="s">
        <v>15</v>
      </c>
      <c r="D847" s="4" t="s">
        <v>16</v>
      </c>
      <c r="E847" s="5" t="n">
        <v>51424.82</v>
      </c>
      <c r="F847" s="4" t="s">
        <v>17</v>
      </c>
    </row>
    <row r="848" customFormat="false" ht="15" hidden="false" customHeight="false" outlineLevel="0" collapsed="false">
      <c r="A848" s="4" t="s">
        <v>1138</v>
      </c>
      <c r="B848" s="4" t="s">
        <v>1131</v>
      </c>
      <c r="C848" s="4" t="s">
        <v>24</v>
      </c>
      <c r="D848" s="4" t="s">
        <v>25</v>
      </c>
      <c r="E848" s="5" t="n">
        <v>21124.41</v>
      </c>
      <c r="F848" s="4" t="s">
        <v>17</v>
      </c>
    </row>
    <row r="849" customFormat="false" ht="15" hidden="false" customHeight="false" outlineLevel="0" collapsed="false">
      <c r="A849" s="4" t="s">
        <v>1139</v>
      </c>
      <c r="B849" s="4" t="s">
        <v>1140</v>
      </c>
      <c r="C849" s="4" t="s">
        <v>67</v>
      </c>
      <c r="D849" s="4" t="s">
        <v>68</v>
      </c>
      <c r="E849" s="5" t="n">
        <v>26971.16</v>
      </c>
      <c r="F849" s="4" t="s">
        <v>17</v>
      </c>
    </row>
    <row r="850" customFormat="false" ht="15" hidden="false" customHeight="false" outlineLevel="0" collapsed="false">
      <c r="A850" s="4" t="s">
        <v>1141</v>
      </c>
      <c r="B850" s="4" t="s">
        <v>1129</v>
      </c>
      <c r="C850" s="4" t="s">
        <v>36</v>
      </c>
      <c r="D850" s="4" t="s">
        <v>37</v>
      </c>
      <c r="E850" s="5" t="n">
        <v>63073.56</v>
      </c>
      <c r="F850" s="4" t="s">
        <v>38</v>
      </c>
    </row>
    <row r="851" customFormat="false" ht="15" hidden="false" customHeight="false" outlineLevel="0" collapsed="false">
      <c r="A851" s="4" t="s">
        <v>1142</v>
      </c>
      <c r="B851" s="4" t="s">
        <v>1140</v>
      </c>
      <c r="C851" s="4" t="s">
        <v>94</v>
      </c>
      <c r="D851" s="4" t="s">
        <v>68</v>
      </c>
      <c r="E851" s="5" t="n">
        <v>32906.91</v>
      </c>
      <c r="F851" s="4" t="s">
        <v>17</v>
      </c>
    </row>
    <row r="852" customFormat="false" ht="15" hidden="false" customHeight="false" outlineLevel="0" collapsed="false">
      <c r="A852" s="4" t="s">
        <v>1143</v>
      </c>
      <c r="B852" s="4" t="s">
        <v>1144</v>
      </c>
      <c r="C852" s="4" t="s">
        <v>54</v>
      </c>
      <c r="D852" s="4" t="s">
        <v>21</v>
      </c>
      <c r="E852" s="5" t="n">
        <v>45522.41</v>
      </c>
      <c r="F852" s="4" t="s">
        <v>17</v>
      </c>
    </row>
    <row r="853" customFormat="false" ht="15" hidden="false" customHeight="false" outlineLevel="0" collapsed="false">
      <c r="A853" s="4" t="s">
        <v>1145</v>
      </c>
      <c r="B853" s="4" t="s">
        <v>1134</v>
      </c>
      <c r="C853" s="4" t="s">
        <v>41</v>
      </c>
      <c r="D853" s="4" t="s">
        <v>16</v>
      </c>
      <c r="E853" s="5" t="n">
        <v>54441.07</v>
      </c>
      <c r="F853" s="4" t="s">
        <v>17</v>
      </c>
    </row>
    <row r="854" customFormat="false" ht="15" hidden="false" customHeight="false" outlineLevel="0" collapsed="false">
      <c r="A854" s="4" t="s">
        <v>1146</v>
      </c>
      <c r="B854" s="4" t="s">
        <v>1112</v>
      </c>
      <c r="C854" s="4" t="s">
        <v>36</v>
      </c>
      <c r="D854" s="4" t="s">
        <v>37</v>
      </c>
      <c r="E854" s="5" t="n">
        <v>36445.05</v>
      </c>
      <c r="F854" s="4" t="s">
        <v>38</v>
      </c>
    </row>
    <row r="855" customFormat="false" ht="15" hidden="false" customHeight="false" outlineLevel="0" collapsed="false">
      <c r="A855" s="4" t="s">
        <v>1147</v>
      </c>
      <c r="B855" s="4" t="s">
        <v>1148</v>
      </c>
      <c r="C855" s="4" t="s">
        <v>41</v>
      </c>
      <c r="D855" s="4" t="s">
        <v>16</v>
      </c>
      <c r="E855" s="5" t="n">
        <v>30859.54</v>
      </c>
      <c r="F855" s="4" t="s">
        <v>17</v>
      </c>
    </row>
    <row r="856" customFormat="false" ht="15" hidden="false" customHeight="false" outlineLevel="0" collapsed="false">
      <c r="A856" s="4" t="s">
        <v>1149</v>
      </c>
      <c r="B856" s="4" t="s">
        <v>1116</v>
      </c>
      <c r="C856" s="4" t="s">
        <v>62</v>
      </c>
      <c r="D856" s="4" t="s">
        <v>38</v>
      </c>
      <c r="E856" s="5" t="n">
        <v>8705.66</v>
      </c>
      <c r="F856" s="4" t="s">
        <v>38</v>
      </c>
    </row>
    <row r="857" customFormat="false" ht="15" hidden="false" customHeight="false" outlineLevel="0" collapsed="false">
      <c r="A857" s="4" t="s">
        <v>1150</v>
      </c>
      <c r="B857" s="4" t="s">
        <v>1131</v>
      </c>
      <c r="C857" s="4" t="s">
        <v>62</v>
      </c>
      <c r="D857" s="4" t="s">
        <v>38</v>
      </c>
      <c r="E857" s="5" t="n">
        <v>10375.2</v>
      </c>
      <c r="F857" s="4" t="s">
        <v>38</v>
      </c>
    </row>
    <row r="858" customFormat="false" ht="15" hidden="false" customHeight="false" outlineLevel="0" collapsed="false">
      <c r="A858" s="4" t="s">
        <v>1151</v>
      </c>
      <c r="B858" s="4" t="s">
        <v>1112</v>
      </c>
      <c r="C858" s="4" t="s">
        <v>24</v>
      </c>
      <c r="D858" s="4" t="s">
        <v>25</v>
      </c>
      <c r="E858" s="5" t="n">
        <v>52209.24</v>
      </c>
      <c r="F858" s="4" t="s">
        <v>17</v>
      </c>
    </row>
    <row r="859" customFormat="false" ht="15" hidden="false" customHeight="false" outlineLevel="0" collapsed="false">
      <c r="A859" s="4" t="s">
        <v>1152</v>
      </c>
      <c r="B859" s="4" t="s">
        <v>1153</v>
      </c>
      <c r="C859" s="4" t="s">
        <v>54</v>
      </c>
      <c r="D859" s="4" t="s">
        <v>21</v>
      </c>
      <c r="E859" s="5" t="n">
        <v>13291.86</v>
      </c>
      <c r="F859" s="4" t="s">
        <v>17</v>
      </c>
    </row>
    <row r="860" customFormat="false" ht="15" hidden="false" customHeight="false" outlineLevel="0" collapsed="false">
      <c r="A860" s="4" t="s">
        <v>1154</v>
      </c>
      <c r="B860" s="4" t="s">
        <v>1155</v>
      </c>
      <c r="C860" s="4" t="s">
        <v>101</v>
      </c>
      <c r="D860" s="4" t="s">
        <v>33</v>
      </c>
      <c r="E860" s="5" t="n">
        <v>20855.83</v>
      </c>
      <c r="F860" s="4" t="s">
        <v>17</v>
      </c>
    </row>
    <row r="861" customFormat="false" ht="15" hidden="false" customHeight="false" outlineLevel="0" collapsed="false">
      <c r="A861" s="4" t="s">
        <v>1156</v>
      </c>
      <c r="B861" s="4" t="s">
        <v>1112</v>
      </c>
      <c r="C861" s="4" t="s">
        <v>45</v>
      </c>
      <c r="D861" s="4" t="s">
        <v>38</v>
      </c>
      <c r="E861" s="5" t="n">
        <v>23973.93</v>
      </c>
      <c r="F861" s="4" t="s">
        <v>38</v>
      </c>
    </row>
    <row r="862" customFormat="false" ht="15" hidden="false" customHeight="false" outlineLevel="0" collapsed="false">
      <c r="A862" s="4" t="s">
        <v>1157</v>
      </c>
      <c r="B862" s="4" t="s">
        <v>1101</v>
      </c>
      <c r="C862" s="4" t="s">
        <v>67</v>
      </c>
      <c r="D862" s="4" t="s">
        <v>68</v>
      </c>
      <c r="E862" s="5" t="n">
        <v>35720.59</v>
      </c>
      <c r="F862" s="4" t="s">
        <v>17</v>
      </c>
    </row>
    <row r="863" customFormat="false" ht="15" hidden="false" customHeight="false" outlineLevel="0" collapsed="false">
      <c r="A863" s="4" t="s">
        <v>1158</v>
      </c>
      <c r="B863" s="4" t="s">
        <v>1122</v>
      </c>
      <c r="C863" s="4" t="s">
        <v>62</v>
      </c>
      <c r="D863" s="4" t="s">
        <v>38</v>
      </c>
      <c r="E863" s="5" t="n">
        <v>30502.15</v>
      </c>
      <c r="F863" s="4" t="s">
        <v>38</v>
      </c>
    </row>
    <row r="864" customFormat="false" ht="15" hidden="false" customHeight="false" outlineLevel="0" collapsed="false">
      <c r="A864" s="4" t="s">
        <v>1159</v>
      </c>
      <c r="B864" s="4" t="s">
        <v>1108</v>
      </c>
      <c r="C864" s="4" t="s">
        <v>15</v>
      </c>
      <c r="D864" s="4" t="s">
        <v>16</v>
      </c>
      <c r="E864" s="5" t="n">
        <v>36663.98</v>
      </c>
      <c r="F864" s="4" t="s">
        <v>17</v>
      </c>
    </row>
    <row r="865" customFormat="false" ht="15" hidden="false" customHeight="false" outlineLevel="0" collapsed="false">
      <c r="A865" s="4" t="s">
        <v>1160</v>
      </c>
      <c r="B865" s="4" t="s">
        <v>1116</v>
      </c>
      <c r="C865" s="4" t="s">
        <v>94</v>
      </c>
      <c r="D865" s="4" t="s">
        <v>68</v>
      </c>
      <c r="E865" s="5" t="n">
        <v>9602.79</v>
      </c>
      <c r="F865" s="4" t="s">
        <v>17</v>
      </c>
    </row>
    <row r="866" customFormat="false" ht="15" hidden="false" customHeight="false" outlineLevel="0" collapsed="false">
      <c r="A866" s="4" t="s">
        <v>1161</v>
      </c>
      <c r="B866" s="4" t="s">
        <v>1118</v>
      </c>
      <c r="C866" s="4" t="s">
        <v>24</v>
      </c>
      <c r="D866" s="4" t="s">
        <v>25</v>
      </c>
      <c r="E866" s="5" t="n">
        <v>14604.41</v>
      </c>
      <c r="F866" s="4" t="s">
        <v>17</v>
      </c>
    </row>
    <row r="867" customFormat="false" ht="15" hidden="false" customHeight="false" outlineLevel="0" collapsed="false">
      <c r="A867" s="4" t="s">
        <v>1162</v>
      </c>
      <c r="B867" s="4" t="s">
        <v>1127</v>
      </c>
      <c r="C867" s="4" t="s">
        <v>62</v>
      </c>
      <c r="D867" s="4" t="s">
        <v>38</v>
      </c>
      <c r="E867" s="5" t="n">
        <v>50099.48</v>
      </c>
      <c r="F867" s="4" t="s">
        <v>38</v>
      </c>
    </row>
    <row r="868" customFormat="false" ht="15" hidden="false" customHeight="false" outlineLevel="0" collapsed="false">
      <c r="A868" s="4" t="s">
        <v>1163</v>
      </c>
      <c r="B868" s="4" t="s">
        <v>1101</v>
      </c>
      <c r="C868" s="4" t="s">
        <v>101</v>
      </c>
      <c r="D868" s="4" t="s">
        <v>33</v>
      </c>
      <c r="E868" s="5" t="n">
        <v>35939.59</v>
      </c>
      <c r="F868" s="4" t="s">
        <v>17</v>
      </c>
    </row>
    <row r="869" customFormat="false" ht="15" hidden="false" customHeight="false" outlineLevel="0" collapsed="false">
      <c r="A869" s="4" t="s">
        <v>1164</v>
      </c>
      <c r="B869" s="4" t="s">
        <v>1144</v>
      </c>
      <c r="C869" s="4" t="s">
        <v>15</v>
      </c>
      <c r="D869" s="4" t="s">
        <v>16</v>
      </c>
      <c r="E869" s="5" t="n">
        <v>23361.16</v>
      </c>
      <c r="F869" s="4" t="s">
        <v>17</v>
      </c>
    </row>
    <row r="870" customFormat="false" ht="15" hidden="false" customHeight="false" outlineLevel="0" collapsed="false">
      <c r="A870" s="4" t="s">
        <v>1165</v>
      </c>
      <c r="B870" s="4" t="s">
        <v>1108</v>
      </c>
      <c r="C870" s="4" t="s">
        <v>54</v>
      </c>
      <c r="D870" s="4" t="s">
        <v>21</v>
      </c>
      <c r="E870" s="5" t="n">
        <v>51974.69</v>
      </c>
      <c r="F870" s="4" t="s">
        <v>17</v>
      </c>
    </row>
    <row r="871" customFormat="false" ht="15" hidden="false" customHeight="false" outlineLevel="0" collapsed="false">
      <c r="A871" s="4" t="s">
        <v>1166</v>
      </c>
      <c r="B871" s="4" t="s">
        <v>1167</v>
      </c>
      <c r="C871" s="4" t="s">
        <v>20</v>
      </c>
      <c r="D871" s="4" t="s">
        <v>21</v>
      </c>
      <c r="E871" s="5" t="n">
        <v>9252.09</v>
      </c>
      <c r="F871" s="4" t="s">
        <v>17</v>
      </c>
    </row>
    <row r="872" customFormat="false" ht="15" hidden="false" customHeight="false" outlineLevel="0" collapsed="false">
      <c r="A872" s="4" t="s">
        <v>1168</v>
      </c>
      <c r="B872" s="4" t="s">
        <v>1106</v>
      </c>
      <c r="C872" s="4" t="s">
        <v>36</v>
      </c>
      <c r="D872" s="4" t="s">
        <v>37</v>
      </c>
      <c r="E872" s="5" t="n">
        <v>8077.11</v>
      </c>
      <c r="F872" s="4" t="s">
        <v>38</v>
      </c>
    </row>
    <row r="873" customFormat="false" ht="15" hidden="false" customHeight="false" outlineLevel="0" collapsed="false">
      <c r="A873" s="4" t="s">
        <v>1169</v>
      </c>
      <c r="B873" s="4" t="s">
        <v>1153</v>
      </c>
      <c r="C873" s="4" t="s">
        <v>54</v>
      </c>
      <c r="D873" s="4" t="s">
        <v>21</v>
      </c>
      <c r="E873" s="5" t="n">
        <v>32984.02</v>
      </c>
      <c r="F873" s="4" t="s">
        <v>17</v>
      </c>
    </row>
    <row r="874" customFormat="false" ht="15" hidden="false" customHeight="false" outlineLevel="0" collapsed="false">
      <c r="A874" s="4" t="s">
        <v>1170</v>
      </c>
      <c r="B874" s="4" t="s">
        <v>1108</v>
      </c>
      <c r="C874" s="4" t="s">
        <v>36</v>
      </c>
      <c r="D874" s="4" t="s">
        <v>37</v>
      </c>
      <c r="E874" s="5" t="n">
        <v>5459.71</v>
      </c>
      <c r="F874" s="4" t="s">
        <v>38</v>
      </c>
    </row>
    <row r="875" customFormat="false" ht="15" hidden="false" customHeight="false" outlineLevel="0" collapsed="false">
      <c r="A875" s="4" t="s">
        <v>1171</v>
      </c>
      <c r="B875" s="4" t="s">
        <v>1124</v>
      </c>
      <c r="C875" s="4" t="s">
        <v>101</v>
      </c>
      <c r="D875" s="4" t="s">
        <v>33</v>
      </c>
      <c r="E875" s="5" t="n">
        <v>50558.68</v>
      </c>
      <c r="F875" s="4" t="s">
        <v>17</v>
      </c>
    </row>
    <row r="876" customFormat="false" ht="15" hidden="false" customHeight="false" outlineLevel="0" collapsed="false">
      <c r="A876" s="4" t="s">
        <v>1172</v>
      </c>
      <c r="B876" s="4" t="s">
        <v>1112</v>
      </c>
      <c r="C876" s="4" t="s">
        <v>36</v>
      </c>
      <c r="D876" s="4" t="s">
        <v>37</v>
      </c>
      <c r="E876" s="5" t="n">
        <v>13355.72</v>
      </c>
      <c r="F876" s="4" t="s">
        <v>38</v>
      </c>
    </row>
    <row r="877" customFormat="false" ht="15" hidden="false" customHeight="false" outlineLevel="0" collapsed="false">
      <c r="A877" s="4" t="s">
        <v>1173</v>
      </c>
      <c r="B877" s="4" t="s">
        <v>1167</v>
      </c>
      <c r="C877" s="4" t="s">
        <v>36</v>
      </c>
      <c r="D877" s="4" t="s">
        <v>37</v>
      </c>
      <c r="E877" s="5" t="n">
        <v>58875.33</v>
      </c>
      <c r="F877" s="4" t="s">
        <v>38</v>
      </c>
    </row>
    <row r="878" customFormat="false" ht="15" hidden="false" customHeight="false" outlineLevel="0" collapsed="false">
      <c r="A878" s="4" t="s">
        <v>1174</v>
      </c>
      <c r="B878" s="4" t="s">
        <v>1124</v>
      </c>
      <c r="C878" s="4" t="s">
        <v>24</v>
      </c>
      <c r="D878" s="4" t="s">
        <v>25</v>
      </c>
      <c r="E878" s="5" t="n">
        <v>8325.83</v>
      </c>
      <c r="F878" s="4" t="s">
        <v>17</v>
      </c>
    </row>
    <row r="879" customFormat="false" ht="15" hidden="false" customHeight="false" outlineLevel="0" collapsed="false">
      <c r="A879" s="4" t="s">
        <v>1175</v>
      </c>
      <c r="B879" s="4" t="s">
        <v>1101</v>
      </c>
      <c r="C879" s="4" t="s">
        <v>101</v>
      </c>
      <c r="D879" s="4" t="s">
        <v>33</v>
      </c>
      <c r="E879" s="5" t="n">
        <v>39433.52</v>
      </c>
      <c r="F879" s="4" t="s">
        <v>17</v>
      </c>
    </row>
    <row r="880" customFormat="false" ht="15" hidden="false" customHeight="false" outlineLevel="0" collapsed="false">
      <c r="A880" s="4" t="s">
        <v>1176</v>
      </c>
      <c r="B880" s="4" t="s">
        <v>1124</v>
      </c>
      <c r="C880" s="4" t="s">
        <v>94</v>
      </c>
      <c r="D880" s="4" t="s">
        <v>68</v>
      </c>
      <c r="E880" s="5" t="n">
        <v>35001.18</v>
      </c>
      <c r="F880" s="4" t="s">
        <v>17</v>
      </c>
    </row>
    <row r="881" customFormat="false" ht="15" hidden="false" customHeight="false" outlineLevel="0" collapsed="false">
      <c r="A881" s="4" t="s">
        <v>1177</v>
      </c>
      <c r="B881" s="4" t="s">
        <v>1148</v>
      </c>
      <c r="C881" s="4" t="s">
        <v>15</v>
      </c>
      <c r="D881" s="4" t="s">
        <v>16</v>
      </c>
      <c r="E881" s="5" t="n">
        <v>20402.21</v>
      </c>
      <c r="F881" s="4" t="s">
        <v>17</v>
      </c>
    </row>
    <row r="882" customFormat="false" ht="15" hidden="false" customHeight="false" outlineLevel="0" collapsed="false">
      <c r="A882" s="4" t="s">
        <v>1178</v>
      </c>
      <c r="B882" s="4" t="s">
        <v>1099</v>
      </c>
      <c r="C882" s="4" t="s">
        <v>15</v>
      </c>
      <c r="D882" s="4" t="s">
        <v>16</v>
      </c>
      <c r="E882" s="5" t="n">
        <v>15890.54</v>
      </c>
      <c r="F882" s="4" t="s">
        <v>17</v>
      </c>
    </row>
    <row r="883" customFormat="false" ht="15" hidden="false" customHeight="false" outlineLevel="0" collapsed="false">
      <c r="A883" s="4" t="s">
        <v>1179</v>
      </c>
      <c r="B883" s="4" t="s">
        <v>1118</v>
      </c>
      <c r="C883" s="4" t="s">
        <v>62</v>
      </c>
      <c r="D883" s="4" t="s">
        <v>38</v>
      </c>
      <c r="E883" s="5" t="n">
        <v>47608.93</v>
      </c>
      <c r="F883" s="4" t="s">
        <v>38</v>
      </c>
    </row>
    <row r="884" customFormat="false" ht="15" hidden="false" customHeight="false" outlineLevel="0" collapsed="false">
      <c r="A884" s="4" t="s">
        <v>1180</v>
      </c>
      <c r="B884" s="4" t="s">
        <v>1181</v>
      </c>
      <c r="C884" s="4" t="s">
        <v>36</v>
      </c>
      <c r="D884" s="4" t="s">
        <v>37</v>
      </c>
      <c r="E884" s="5" t="n">
        <v>40141.88</v>
      </c>
      <c r="F884" s="4" t="s">
        <v>38</v>
      </c>
    </row>
    <row r="885" customFormat="false" ht="15" hidden="false" customHeight="false" outlineLevel="0" collapsed="false">
      <c r="A885" s="4" t="s">
        <v>1182</v>
      </c>
      <c r="B885" s="4" t="s">
        <v>1153</v>
      </c>
      <c r="C885" s="4" t="s">
        <v>15</v>
      </c>
      <c r="D885" s="4" t="s">
        <v>16</v>
      </c>
      <c r="E885" s="5" t="n">
        <v>20419.9</v>
      </c>
      <c r="F885" s="4" t="s">
        <v>17</v>
      </c>
    </row>
    <row r="886" customFormat="false" ht="15" hidden="false" customHeight="false" outlineLevel="0" collapsed="false">
      <c r="A886" s="4" t="s">
        <v>1183</v>
      </c>
      <c r="B886" s="4" t="s">
        <v>1127</v>
      </c>
      <c r="C886" s="4" t="s">
        <v>67</v>
      </c>
      <c r="D886" s="4" t="s">
        <v>68</v>
      </c>
      <c r="E886" s="5" t="n">
        <v>22876.25</v>
      </c>
      <c r="F886" s="4" t="s">
        <v>17</v>
      </c>
    </row>
    <row r="887" customFormat="false" ht="15" hidden="false" customHeight="false" outlineLevel="0" collapsed="false">
      <c r="A887" s="4" t="s">
        <v>1184</v>
      </c>
      <c r="B887" s="4" t="s">
        <v>1129</v>
      </c>
      <c r="C887" s="4" t="s">
        <v>15</v>
      </c>
      <c r="D887" s="4" t="s">
        <v>16</v>
      </c>
      <c r="E887" s="5" t="n">
        <v>56618.43</v>
      </c>
      <c r="F887" s="4" t="s">
        <v>17</v>
      </c>
    </row>
    <row r="888" customFormat="false" ht="15" hidden="false" customHeight="false" outlineLevel="0" collapsed="false">
      <c r="A888" s="4" t="s">
        <v>1185</v>
      </c>
      <c r="B888" s="4" t="s">
        <v>1186</v>
      </c>
      <c r="C888" s="4" t="s">
        <v>54</v>
      </c>
      <c r="D888" s="4" t="s">
        <v>21</v>
      </c>
      <c r="E888" s="5" t="n">
        <v>3530.16</v>
      </c>
      <c r="F888" s="4" t="s">
        <v>17</v>
      </c>
    </row>
    <row r="889" customFormat="false" ht="15" hidden="false" customHeight="false" outlineLevel="0" collapsed="false">
      <c r="A889" s="4" t="s">
        <v>1187</v>
      </c>
      <c r="B889" s="4" t="s">
        <v>1104</v>
      </c>
      <c r="C889" s="4" t="s">
        <v>94</v>
      </c>
      <c r="D889" s="4" t="s">
        <v>68</v>
      </c>
      <c r="E889" s="5" t="n">
        <v>60686.96</v>
      </c>
      <c r="F889" s="4" t="s">
        <v>17</v>
      </c>
    </row>
    <row r="890" customFormat="false" ht="15" hidden="false" customHeight="false" outlineLevel="0" collapsed="false">
      <c r="A890" s="4" t="s">
        <v>1188</v>
      </c>
      <c r="B890" s="4" t="s">
        <v>1099</v>
      </c>
      <c r="C890" s="4" t="s">
        <v>41</v>
      </c>
      <c r="D890" s="4" t="s">
        <v>16</v>
      </c>
      <c r="E890" s="5" t="n">
        <v>42682.11</v>
      </c>
      <c r="F890" s="4" t="s">
        <v>17</v>
      </c>
    </row>
    <row r="891" customFormat="false" ht="15" hidden="false" customHeight="false" outlineLevel="0" collapsed="false">
      <c r="A891" s="4" t="s">
        <v>1189</v>
      </c>
      <c r="B891" s="4" t="s">
        <v>1124</v>
      </c>
      <c r="C891" s="4" t="s">
        <v>24</v>
      </c>
      <c r="D891" s="4" t="s">
        <v>25</v>
      </c>
      <c r="E891" s="5" t="n">
        <v>21631.28</v>
      </c>
      <c r="F891" s="4" t="s">
        <v>17</v>
      </c>
    </row>
    <row r="892" customFormat="false" ht="15" hidden="false" customHeight="false" outlineLevel="0" collapsed="false">
      <c r="A892" s="4" t="s">
        <v>1190</v>
      </c>
      <c r="B892" s="4" t="s">
        <v>1099</v>
      </c>
      <c r="C892" s="4" t="s">
        <v>67</v>
      </c>
      <c r="D892" s="4" t="s">
        <v>68</v>
      </c>
      <c r="E892" s="5" t="n">
        <v>42615</v>
      </c>
      <c r="F892" s="4" t="s">
        <v>17</v>
      </c>
    </row>
    <row r="893" customFormat="false" ht="15" hidden="false" customHeight="false" outlineLevel="0" collapsed="false">
      <c r="A893" s="4" t="s">
        <v>1191</v>
      </c>
      <c r="B893" s="4" t="s">
        <v>1118</v>
      </c>
      <c r="C893" s="4" t="s">
        <v>20</v>
      </c>
      <c r="D893" s="4" t="s">
        <v>21</v>
      </c>
      <c r="E893" s="5" t="n">
        <v>65363.69</v>
      </c>
      <c r="F893" s="4" t="s">
        <v>17</v>
      </c>
    </row>
    <row r="894" customFormat="false" ht="15" hidden="false" customHeight="false" outlineLevel="0" collapsed="false">
      <c r="A894" s="4" t="s">
        <v>1192</v>
      </c>
      <c r="B894" s="4" t="s">
        <v>1124</v>
      </c>
      <c r="C894" s="4" t="s">
        <v>67</v>
      </c>
      <c r="D894" s="4" t="s">
        <v>68</v>
      </c>
      <c r="E894" s="5" t="n">
        <v>25705.14</v>
      </c>
      <c r="F894" s="4" t="s">
        <v>17</v>
      </c>
    </row>
    <row r="895" customFormat="false" ht="15" hidden="false" customHeight="false" outlineLevel="0" collapsed="false">
      <c r="A895" s="4" t="s">
        <v>1193</v>
      </c>
      <c r="B895" s="4" t="s">
        <v>1194</v>
      </c>
      <c r="C895" s="4" t="s">
        <v>20</v>
      </c>
      <c r="D895" s="4" t="s">
        <v>21</v>
      </c>
      <c r="E895" s="5" t="n">
        <v>6427.84</v>
      </c>
      <c r="F895" s="4" t="s">
        <v>17</v>
      </c>
    </row>
    <row r="896" customFormat="false" ht="15" hidden="false" customHeight="false" outlineLevel="0" collapsed="false">
      <c r="A896" s="4" t="s">
        <v>1195</v>
      </c>
      <c r="B896" s="4" t="s">
        <v>1110</v>
      </c>
      <c r="C896" s="4" t="s">
        <v>101</v>
      </c>
      <c r="D896" s="4" t="s">
        <v>33</v>
      </c>
      <c r="E896" s="5" t="n">
        <v>32312.85</v>
      </c>
      <c r="F896" s="4" t="s">
        <v>17</v>
      </c>
    </row>
    <row r="897" customFormat="false" ht="15" hidden="false" customHeight="false" outlineLevel="0" collapsed="false">
      <c r="A897" s="4" t="s">
        <v>1196</v>
      </c>
      <c r="B897" s="4" t="s">
        <v>1122</v>
      </c>
      <c r="C897" s="4" t="s">
        <v>36</v>
      </c>
      <c r="D897" s="4" t="s">
        <v>37</v>
      </c>
      <c r="E897" s="5" t="n">
        <v>9787.51</v>
      </c>
      <c r="F897" s="4" t="s">
        <v>38</v>
      </c>
    </row>
    <row r="898" customFormat="false" ht="15" hidden="false" customHeight="false" outlineLevel="0" collapsed="false">
      <c r="A898" s="4" t="s">
        <v>1197</v>
      </c>
      <c r="B898" s="4" t="s">
        <v>1122</v>
      </c>
      <c r="C898" s="4" t="s">
        <v>67</v>
      </c>
      <c r="D898" s="4" t="s">
        <v>68</v>
      </c>
      <c r="E898" s="5" t="n">
        <v>31894.63</v>
      </c>
      <c r="F898" s="4" t="s">
        <v>17</v>
      </c>
    </row>
    <row r="899" customFormat="false" ht="15" hidden="false" customHeight="false" outlineLevel="0" collapsed="false">
      <c r="A899" s="4" t="s">
        <v>1198</v>
      </c>
      <c r="B899" s="4" t="s">
        <v>1155</v>
      </c>
      <c r="C899" s="4" t="s">
        <v>62</v>
      </c>
      <c r="D899" s="4" t="s">
        <v>38</v>
      </c>
      <c r="E899" s="5" t="n">
        <v>64636.68</v>
      </c>
      <c r="F899" s="4" t="s">
        <v>38</v>
      </c>
    </row>
    <row r="900" customFormat="false" ht="15" hidden="false" customHeight="false" outlineLevel="0" collapsed="false">
      <c r="A900" s="4" t="s">
        <v>1199</v>
      </c>
      <c r="B900" s="4" t="s">
        <v>1131</v>
      </c>
      <c r="C900" s="4" t="s">
        <v>67</v>
      </c>
      <c r="D900" s="4" t="s">
        <v>68</v>
      </c>
      <c r="E900" s="5" t="n">
        <v>22259.38</v>
      </c>
      <c r="F900" s="4" t="s">
        <v>17</v>
      </c>
    </row>
    <row r="901" customFormat="false" ht="15" hidden="false" customHeight="false" outlineLevel="0" collapsed="false">
      <c r="A901" s="4" t="s">
        <v>1200</v>
      </c>
      <c r="B901" s="4" t="s">
        <v>1155</v>
      </c>
      <c r="C901" s="4" t="s">
        <v>54</v>
      </c>
      <c r="D901" s="4" t="s">
        <v>21</v>
      </c>
      <c r="E901" s="5" t="n">
        <v>44011.08</v>
      </c>
      <c r="F901" s="4" t="s">
        <v>17</v>
      </c>
    </row>
    <row r="902" customFormat="false" ht="15" hidden="false" customHeight="false" outlineLevel="0" collapsed="false">
      <c r="A902" s="4" t="s">
        <v>1201</v>
      </c>
      <c r="B902" s="4" t="s">
        <v>1104</v>
      </c>
      <c r="C902" s="4" t="s">
        <v>62</v>
      </c>
      <c r="D902" s="4" t="s">
        <v>38</v>
      </c>
      <c r="E902" s="5" t="n">
        <v>14227.35</v>
      </c>
      <c r="F902" s="4" t="s">
        <v>38</v>
      </c>
    </row>
    <row r="903" customFormat="false" ht="15" hidden="false" customHeight="false" outlineLevel="0" collapsed="false">
      <c r="A903" s="4" t="s">
        <v>1202</v>
      </c>
      <c r="B903" s="4" t="s">
        <v>1167</v>
      </c>
      <c r="C903" s="4" t="s">
        <v>54</v>
      </c>
      <c r="D903" s="4" t="s">
        <v>21</v>
      </c>
      <c r="E903" s="5" t="n">
        <v>9059.66</v>
      </c>
      <c r="F903" s="4" t="s">
        <v>17</v>
      </c>
    </row>
    <row r="904" customFormat="false" ht="15" hidden="false" customHeight="false" outlineLevel="0" collapsed="false">
      <c r="A904" s="4" t="s">
        <v>1203</v>
      </c>
      <c r="B904" s="4" t="s">
        <v>1155</v>
      </c>
      <c r="C904" s="4" t="s">
        <v>41</v>
      </c>
      <c r="D904" s="4" t="s">
        <v>16</v>
      </c>
      <c r="E904" s="5" t="n">
        <v>60846.62</v>
      </c>
      <c r="F904" s="4" t="s">
        <v>17</v>
      </c>
    </row>
    <row r="905" customFormat="false" ht="15" hidden="false" customHeight="false" outlineLevel="0" collapsed="false">
      <c r="A905" s="4" t="s">
        <v>1204</v>
      </c>
      <c r="B905" s="4" t="s">
        <v>1108</v>
      </c>
      <c r="C905" s="4" t="s">
        <v>32</v>
      </c>
      <c r="D905" s="4" t="s">
        <v>33</v>
      </c>
      <c r="E905" s="5" t="n">
        <v>5598.82</v>
      </c>
      <c r="F905" s="4" t="s">
        <v>17</v>
      </c>
    </row>
    <row r="906" customFormat="false" ht="15" hidden="false" customHeight="false" outlineLevel="0" collapsed="false">
      <c r="A906" s="4" t="s">
        <v>1205</v>
      </c>
      <c r="B906" s="4" t="s">
        <v>1106</v>
      </c>
      <c r="C906" s="4" t="s">
        <v>101</v>
      </c>
      <c r="D906" s="4" t="s">
        <v>33</v>
      </c>
      <c r="E906" s="5" t="n">
        <v>15978.93</v>
      </c>
      <c r="F906" s="4" t="s">
        <v>17</v>
      </c>
    </row>
    <row r="907" customFormat="false" ht="15" hidden="false" customHeight="false" outlineLevel="0" collapsed="false">
      <c r="A907" s="4" t="s">
        <v>1206</v>
      </c>
      <c r="B907" s="4" t="s">
        <v>1194</v>
      </c>
      <c r="C907" s="4" t="s">
        <v>67</v>
      </c>
      <c r="D907" s="4" t="s">
        <v>68</v>
      </c>
      <c r="E907" s="5" t="n">
        <v>56616.62</v>
      </c>
      <c r="F907" s="4" t="s">
        <v>17</v>
      </c>
    </row>
    <row r="908" customFormat="false" ht="15" hidden="false" customHeight="false" outlineLevel="0" collapsed="false">
      <c r="A908" s="4" t="s">
        <v>1207</v>
      </c>
      <c r="B908" s="4" t="s">
        <v>1134</v>
      </c>
      <c r="C908" s="4" t="s">
        <v>101</v>
      </c>
      <c r="D908" s="4" t="s">
        <v>33</v>
      </c>
      <c r="E908" s="5" t="n">
        <v>60499.56</v>
      </c>
      <c r="F908" s="4" t="s">
        <v>17</v>
      </c>
    </row>
    <row r="909" customFormat="false" ht="15" hidden="false" customHeight="false" outlineLevel="0" collapsed="false">
      <c r="A909" s="4" t="s">
        <v>1208</v>
      </c>
      <c r="B909" s="4" t="s">
        <v>1131</v>
      </c>
      <c r="C909" s="4" t="s">
        <v>94</v>
      </c>
      <c r="D909" s="4" t="s">
        <v>68</v>
      </c>
      <c r="E909" s="5" t="n">
        <v>13671.55</v>
      </c>
      <c r="F909" s="4" t="s">
        <v>17</v>
      </c>
    </row>
    <row r="910" customFormat="false" ht="15" hidden="false" customHeight="false" outlineLevel="0" collapsed="false">
      <c r="A910" s="4" t="s">
        <v>1209</v>
      </c>
      <c r="B910" s="4" t="s">
        <v>1210</v>
      </c>
      <c r="C910" s="4" t="s">
        <v>54</v>
      </c>
      <c r="D910" s="4" t="s">
        <v>21</v>
      </c>
      <c r="E910" s="5" t="n">
        <v>66194.26</v>
      </c>
      <c r="F910" s="4" t="s">
        <v>17</v>
      </c>
    </row>
    <row r="911" customFormat="false" ht="15" hidden="false" customHeight="false" outlineLevel="0" collapsed="false">
      <c r="A911" s="4" t="s">
        <v>1211</v>
      </c>
      <c r="B911" s="4" t="s">
        <v>1212</v>
      </c>
      <c r="C911" s="4" t="s">
        <v>101</v>
      </c>
      <c r="D911" s="4" t="s">
        <v>33</v>
      </c>
      <c r="E911" s="5" t="n">
        <v>60113.63</v>
      </c>
      <c r="F911" s="4" t="s">
        <v>17</v>
      </c>
    </row>
    <row r="912" customFormat="false" ht="15" hidden="false" customHeight="false" outlineLevel="0" collapsed="false">
      <c r="A912" s="4" t="s">
        <v>1213</v>
      </c>
      <c r="B912" s="4" t="s">
        <v>1214</v>
      </c>
      <c r="C912" s="4" t="s">
        <v>94</v>
      </c>
      <c r="D912" s="4" t="s">
        <v>68</v>
      </c>
      <c r="E912" s="5" t="n">
        <v>27736.65</v>
      </c>
      <c r="F912" s="4" t="s">
        <v>17</v>
      </c>
    </row>
    <row r="913" customFormat="false" ht="15" hidden="false" customHeight="false" outlineLevel="0" collapsed="false">
      <c r="A913" s="4" t="s">
        <v>1215</v>
      </c>
      <c r="B913" s="4" t="s">
        <v>1216</v>
      </c>
      <c r="C913" s="4" t="s">
        <v>45</v>
      </c>
      <c r="D913" s="4" t="s">
        <v>38</v>
      </c>
      <c r="E913" s="5" t="n">
        <v>56936.45</v>
      </c>
      <c r="F913" s="4" t="s">
        <v>38</v>
      </c>
    </row>
    <row r="914" customFormat="false" ht="15" hidden="false" customHeight="false" outlineLevel="0" collapsed="false">
      <c r="A914" s="4" t="s">
        <v>1217</v>
      </c>
      <c r="B914" s="4" t="s">
        <v>1218</v>
      </c>
      <c r="C914" s="4" t="s">
        <v>32</v>
      </c>
      <c r="D914" s="4" t="s">
        <v>33</v>
      </c>
      <c r="E914" s="5" t="n">
        <v>67938.29</v>
      </c>
      <c r="F914" s="4" t="s">
        <v>17</v>
      </c>
    </row>
    <row r="915" customFormat="false" ht="15" hidden="false" customHeight="false" outlineLevel="0" collapsed="false">
      <c r="A915" s="4" t="s">
        <v>1219</v>
      </c>
      <c r="B915" s="4" t="s">
        <v>1220</v>
      </c>
      <c r="C915" s="4" t="s">
        <v>41</v>
      </c>
      <c r="D915" s="4" t="s">
        <v>16</v>
      </c>
      <c r="E915" s="5" t="n">
        <v>67666.9</v>
      </c>
      <c r="F915" s="4" t="s">
        <v>17</v>
      </c>
    </row>
    <row r="916" customFormat="false" ht="15" hidden="false" customHeight="false" outlineLevel="0" collapsed="false">
      <c r="A916" s="4" t="s">
        <v>1221</v>
      </c>
      <c r="B916" s="4" t="s">
        <v>1222</v>
      </c>
      <c r="C916" s="4" t="s">
        <v>32</v>
      </c>
      <c r="D916" s="4" t="s">
        <v>33</v>
      </c>
      <c r="E916" s="5" t="n">
        <v>63830.03</v>
      </c>
      <c r="F916" s="4" t="s">
        <v>17</v>
      </c>
    </row>
    <row r="917" customFormat="false" ht="15" hidden="false" customHeight="false" outlineLevel="0" collapsed="false">
      <c r="A917" s="4" t="s">
        <v>1223</v>
      </c>
      <c r="B917" s="4" t="s">
        <v>1224</v>
      </c>
      <c r="C917" s="4" t="s">
        <v>94</v>
      </c>
      <c r="D917" s="4" t="s">
        <v>68</v>
      </c>
      <c r="E917" s="5" t="n">
        <v>12068.58</v>
      </c>
      <c r="F917" s="4" t="s">
        <v>17</v>
      </c>
    </row>
    <row r="918" customFormat="false" ht="15" hidden="false" customHeight="false" outlineLevel="0" collapsed="false">
      <c r="A918" s="4" t="s">
        <v>1225</v>
      </c>
      <c r="B918" s="4" t="s">
        <v>1226</v>
      </c>
      <c r="C918" s="4" t="s">
        <v>67</v>
      </c>
      <c r="D918" s="4" t="s">
        <v>68</v>
      </c>
      <c r="E918" s="5" t="n">
        <v>30827.26</v>
      </c>
      <c r="F918" s="4" t="s">
        <v>17</v>
      </c>
    </row>
    <row r="919" customFormat="false" ht="15" hidden="false" customHeight="false" outlineLevel="0" collapsed="false">
      <c r="A919" s="4" t="s">
        <v>1227</v>
      </c>
      <c r="B919" s="4" t="s">
        <v>1228</v>
      </c>
      <c r="C919" s="4" t="s">
        <v>45</v>
      </c>
      <c r="D919" s="4" t="s">
        <v>38</v>
      </c>
      <c r="E919" s="5" t="n">
        <v>33026.78</v>
      </c>
      <c r="F919" s="4" t="s">
        <v>38</v>
      </c>
    </row>
    <row r="920" customFormat="false" ht="15" hidden="false" customHeight="false" outlineLevel="0" collapsed="false">
      <c r="A920" s="4" t="s">
        <v>1229</v>
      </c>
      <c r="B920" s="4" t="s">
        <v>1230</v>
      </c>
      <c r="C920" s="4" t="s">
        <v>94</v>
      </c>
      <c r="D920" s="4" t="s">
        <v>68</v>
      </c>
      <c r="E920" s="5" t="n">
        <v>52888.4</v>
      </c>
      <c r="F920" s="4" t="s">
        <v>17</v>
      </c>
    </row>
    <row r="921" customFormat="false" ht="15" hidden="false" customHeight="false" outlineLevel="0" collapsed="false">
      <c r="A921" s="4" t="s">
        <v>1231</v>
      </c>
      <c r="B921" s="4" t="s">
        <v>1216</v>
      </c>
      <c r="C921" s="4" t="s">
        <v>54</v>
      </c>
      <c r="D921" s="4" t="s">
        <v>21</v>
      </c>
      <c r="E921" s="5" t="n">
        <v>14660.55</v>
      </c>
      <c r="F921" s="4" t="s">
        <v>17</v>
      </c>
    </row>
    <row r="922" customFormat="false" ht="15" hidden="false" customHeight="false" outlineLevel="0" collapsed="false">
      <c r="A922" s="4" t="s">
        <v>1232</v>
      </c>
      <c r="B922" s="4" t="s">
        <v>1222</v>
      </c>
      <c r="C922" s="4" t="s">
        <v>24</v>
      </c>
      <c r="D922" s="4" t="s">
        <v>25</v>
      </c>
      <c r="E922" s="5" t="n">
        <v>45435.02</v>
      </c>
      <c r="F922" s="4" t="s">
        <v>17</v>
      </c>
    </row>
    <row r="923" customFormat="false" ht="15" hidden="false" customHeight="false" outlineLevel="0" collapsed="false">
      <c r="A923" s="4" t="s">
        <v>1233</v>
      </c>
      <c r="B923" s="4" t="s">
        <v>1234</v>
      </c>
      <c r="C923" s="4" t="s">
        <v>20</v>
      </c>
      <c r="D923" s="4" t="s">
        <v>21</v>
      </c>
      <c r="E923" s="5" t="n">
        <v>34317.3</v>
      </c>
      <c r="F923" s="4" t="s">
        <v>17</v>
      </c>
    </row>
    <row r="924" customFormat="false" ht="15" hidden="false" customHeight="false" outlineLevel="0" collapsed="false">
      <c r="A924" s="4" t="s">
        <v>1235</v>
      </c>
      <c r="B924" s="4" t="s">
        <v>1236</v>
      </c>
      <c r="C924" s="4" t="s">
        <v>67</v>
      </c>
      <c r="D924" s="4" t="s">
        <v>68</v>
      </c>
      <c r="E924" s="5" t="n">
        <v>48603.83</v>
      </c>
      <c r="F924" s="4" t="s">
        <v>17</v>
      </c>
    </row>
    <row r="925" customFormat="false" ht="15" hidden="false" customHeight="false" outlineLevel="0" collapsed="false">
      <c r="A925" s="4" t="s">
        <v>1237</v>
      </c>
      <c r="B925" s="4" t="s">
        <v>1224</v>
      </c>
      <c r="C925" s="4" t="s">
        <v>94</v>
      </c>
      <c r="D925" s="4" t="s">
        <v>68</v>
      </c>
      <c r="E925" s="5" t="n">
        <v>4945.3</v>
      </c>
      <c r="F925" s="4" t="s">
        <v>17</v>
      </c>
    </row>
    <row r="926" customFormat="false" ht="15" hidden="false" customHeight="false" outlineLevel="0" collapsed="false">
      <c r="A926" s="4" t="s">
        <v>1238</v>
      </c>
      <c r="B926" s="4" t="s">
        <v>1239</v>
      </c>
      <c r="C926" s="4" t="s">
        <v>54</v>
      </c>
      <c r="D926" s="4" t="s">
        <v>21</v>
      </c>
      <c r="E926" s="5" t="n">
        <v>59788.1</v>
      </c>
      <c r="F926" s="4" t="s">
        <v>17</v>
      </c>
    </row>
    <row r="927" customFormat="false" ht="15" hidden="false" customHeight="false" outlineLevel="0" collapsed="false">
      <c r="A927" s="4" t="s">
        <v>1240</v>
      </c>
      <c r="B927" s="4" t="s">
        <v>1241</v>
      </c>
      <c r="C927" s="4" t="s">
        <v>45</v>
      </c>
      <c r="D927" s="4" t="s">
        <v>38</v>
      </c>
      <c r="E927" s="5" t="n">
        <v>33871.86</v>
      </c>
      <c r="F927" s="4" t="s">
        <v>38</v>
      </c>
    </row>
    <row r="928" customFormat="false" ht="15" hidden="false" customHeight="false" outlineLevel="0" collapsed="false">
      <c r="A928" s="4" t="s">
        <v>1242</v>
      </c>
      <c r="B928" s="4" t="s">
        <v>1216</v>
      </c>
      <c r="C928" s="4" t="s">
        <v>15</v>
      </c>
      <c r="D928" s="4" t="s">
        <v>16</v>
      </c>
      <c r="E928" s="5" t="n">
        <v>4141.19</v>
      </c>
      <c r="F928" s="4" t="s">
        <v>17</v>
      </c>
    </row>
    <row r="929" customFormat="false" ht="15" hidden="false" customHeight="false" outlineLevel="0" collapsed="false">
      <c r="A929" s="4" t="s">
        <v>1243</v>
      </c>
      <c r="B929" s="4" t="s">
        <v>1244</v>
      </c>
      <c r="C929" s="4" t="s">
        <v>62</v>
      </c>
      <c r="D929" s="4" t="s">
        <v>38</v>
      </c>
      <c r="E929" s="5" t="n">
        <v>13368.8</v>
      </c>
      <c r="F929" s="4" t="s">
        <v>38</v>
      </c>
    </row>
    <row r="930" customFormat="false" ht="15" hidden="false" customHeight="false" outlineLevel="0" collapsed="false">
      <c r="A930" s="4" t="s">
        <v>1245</v>
      </c>
      <c r="B930" s="4" t="s">
        <v>1246</v>
      </c>
      <c r="C930" s="4" t="s">
        <v>54</v>
      </c>
      <c r="D930" s="4" t="s">
        <v>21</v>
      </c>
      <c r="E930" s="5" t="n">
        <v>4941.98</v>
      </c>
      <c r="F930" s="4" t="s">
        <v>17</v>
      </c>
    </row>
    <row r="931" customFormat="false" ht="15" hidden="false" customHeight="false" outlineLevel="0" collapsed="false">
      <c r="A931" s="4" t="s">
        <v>1247</v>
      </c>
      <c r="B931" s="4" t="s">
        <v>1248</v>
      </c>
      <c r="C931" s="4" t="s">
        <v>32</v>
      </c>
      <c r="D931" s="4" t="s">
        <v>33</v>
      </c>
      <c r="E931" s="5" t="n">
        <v>47980.71</v>
      </c>
      <c r="F931" s="4" t="s">
        <v>17</v>
      </c>
    </row>
    <row r="932" customFormat="false" ht="15" hidden="false" customHeight="false" outlineLevel="0" collapsed="false">
      <c r="A932" s="4" t="s">
        <v>1249</v>
      </c>
      <c r="B932" s="4" t="s">
        <v>1228</v>
      </c>
      <c r="C932" s="4" t="s">
        <v>62</v>
      </c>
      <c r="D932" s="4" t="s">
        <v>38</v>
      </c>
      <c r="E932" s="5" t="n">
        <v>58322.49</v>
      </c>
      <c r="F932" s="4" t="s">
        <v>38</v>
      </c>
    </row>
    <row r="933" customFormat="false" ht="15" hidden="false" customHeight="false" outlineLevel="0" collapsed="false">
      <c r="A933" s="4" t="s">
        <v>1250</v>
      </c>
      <c r="B933" s="4" t="s">
        <v>1248</v>
      </c>
      <c r="C933" s="4" t="s">
        <v>54</v>
      </c>
      <c r="D933" s="4" t="s">
        <v>21</v>
      </c>
      <c r="E933" s="5" t="n">
        <v>46268.75</v>
      </c>
      <c r="F933" s="4" t="s">
        <v>17</v>
      </c>
    </row>
    <row r="934" customFormat="false" ht="15" hidden="false" customHeight="false" outlineLevel="0" collapsed="false">
      <c r="A934" s="4" t="s">
        <v>1251</v>
      </c>
      <c r="B934" s="4" t="s">
        <v>1236</v>
      </c>
      <c r="C934" s="4" t="s">
        <v>36</v>
      </c>
      <c r="D934" s="4" t="s">
        <v>37</v>
      </c>
      <c r="E934" s="5" t="n">
        <v>49026.53</v>
      </c>
      <c r="F934" s="4" t="s">
        <v>38</v>
      </c>
    </row>
    <row r="935" customFormat="false" ht="15" hidden="false" customHeight="false" outlineLevel="0" collapsed="false">
      <c r="A935" s="4" t="s">
        <v>1252</v>
      </c>
      <c r="B935" s="4" t="s">
        <v>1253</v>
      </c>
      <c r="C935" s="4" t="s">
        <v>101</v>
      </c>
      <c r="D935" s="4" t="s">
        <v>33</v>
      </c>
      <c r="E935" s="5" t="n">
        <v>20363.21</v>
      </c>
      <c r="F935" s="4" t="s">
        <v>17</v>
      </c>
    </row>
    <row r="936" customFormat="false" ht="15" hidden="false" customHeight="false" outlineLevel="0" collapsed="false">
      <c r="A936" s="4" t="s">
        <v>1254</v>
      </c>
      <c r="B936" s="4" t="s">
        <v>1218</v>
      </c>
      <c r="C936" s="4" t="s">
        <v>101</v>
      </c>
      <c r="D936" s="4" t="s">
        <v>33</v>
      </c>
      <c r="E936" s="5" t="n">
        <v>24420.24</v>
      </c>
      <c r="F936" s="4" t="s">
        <v>17</v>
      </c>
    </row>
    <row r="937" customFormat="false" ht="15" hidden="false" customHeight="false" outlineLevel="0" collapsed="false">
      <c r="A937" s="4" t="s">
        <v>1255</v>
      </c>
      <c r="B937" s="4" t="s">
        <v>1256</v>
      </c>
      <c r="C937" s="4" t="s">
        <v>67</v>
      </c>
      <c r="D937" s="4" t="s">
        <v>68</v>
      </c>
      <c r="E937" s="5" t="n">
        <v>24532.62</v>
      </c>
      <c r="F937" s="4" t="s">
        <v>17</v>
      </c>
    </row>
    <row r="938" customFormat="false" ht="15" hidden="false" customHeight="false" outlineLevel="0" collapsed="false">
      <c r="A938" s="4" t="s">
        <v>1257</v>
      </c>
      <c r="B938" s="4" t="s">
        <v>1258</v>
      </c>
      <c r="C938" s="4" t="s">
        <v>67</v>
      </c>
      <c r="D938" s="4" t="s">
        <v>68</v>
      </c>
      <c r="E938" s="5" t="n">
        <v>51038.6</v>
      </c>
      <c r="F938" s="4" t="s">
        <v>17</v>
      </c>
    </row>
    <row r="939" customFormat="false" ht="15" hidden="false" customHeight="false" outlineLevel="0" collapsed="false">
      <c r="A939" s="4" t="s">
        <v>1259</v>
      </c>
      <c r="B939" s="4" t="s">
        <v>1260</v>
      </c>
      <c r="C939" s="4" t="s">
        <v>20</v>
      </c>
      <c r="D939" s="4" t="s">
        <v>21</v>
      </c>
      <c r="E939" s="5" t="n">
        <v>40908.61</v>
      </c>
      <c r="F939" s="4" t="s">
        <v>17</v>
      </c>
    </row>
    <row r="940" customFormat="false" ht="15" hidden="false" customHeight="false" outlineLevel="0" collapsed="false">
      <c r="A940" s="4" t="s">
        <v>1261</v>
      </c>
      <c r="B940" s="4" t="s">
        <v>1239</v>
      </c>
      <c r="C940" s="4" t="s">
        <v>36</v>
      </c>
      <c r="D940" s="4" t="s">
        <v>37</v>
      </c>
      <c r="E940" s="5" t="n">
        <v>13329.14</v>
      </c>
      <c r="F940" s="4" t="s">
        <v>38</v>
      </c>
    </row>
    <row r="941" customFormat="false" ht="15" hidden="false" customHeight="false" outlineLevel="0" collapsed="false">
      <c r="A941" s="4" t="s">
        <v>1262</v>
      </c>
      <c r="B941" s="4" t="s">
        <v>1222</v>
      </c>
      <c r="C941" s="4" t="s">
        <v>67</v>
      </c>
      <c r="D941" s="4" t="s">
        <v>68</v>
      </c>
      <c r="E941" s="5" t="n">
        <v>51538.31</v>
      </c>
      <c r="F941" s="4" t="s">
        <v>17</v>
      </c>
    </row>
    <row r="942" customFormat="false" ht="15" hidden="false" customHeight="false" outlineLevel="0" collapsed="false">
      <c r="A942" s="4" t="s">
        <v>1263</v>
      </c>
      <c r="B942" s="4" t="s">
        <v>1264</v>
      </c>
      <c r="C942" s="4" t="s">
        <v>54</v>
      </c>
      <c r="D942" s="4" t="s">
        <v>21</v>
      </c>
      <c r="E942" s="5" t="n">
        <v>48935.08</v>
      </c>
      <c r="F942" s="4" t="s">
        <v>17</v>
      </c>
    </row>
    <row r="943" customFormat="false" ht="15" hidden="false" customHeight="false" outlineLevel="0" collapsed="false">
      <c r="A943" s="4" t="s">
        <v>1265</v>
      </c>
      <c r="B943" s="4" t="s">
        <v>1218</v>
      </c>
      <c r="C943" s="4" t="s">
        <v>20</v>
      </c>
      <c r="D943" s="4" t="s">
        <v>21</v>
      </c>
      <c r="E943" s="5" t="n">
        <v>22717.66</v>
      </c>
      <c r="F943" s="4" t="s">
        <v>17</v>
      </c>
    </row>
    <row r="944" customFormat="false" ht="15" hidden="false" customHeight="false" outlineLevel="0" collapsed="false">
      <c r="A944" s="4" t="s">
        <v>1266</v>
      </c>
      <c r="B944" s="4" t="s">
        <v>1267</v>
      </c>
      <c r="C944" s="4" t="s">
        <v>32</v>
      </c>
      <c r="D944" s="4" t="s">
        <v>33</v>
      </c>
      <c r="E944" s="5" t="n">
        <v>38444.15</v>
      </c>
      <c r="F944" s="4" t="s">
        <v>17</v>
      </c>
    </row>
    <row r="945" customFormat="false" ht="15" hidden="false" customHeight="false" outlineLevel="0" collapsed="false">
      <c r="A945" s="4" t="s">
        <v>1268</v>
      </c>
      <c r="B945" s="4" t="s">
        <v>1269</v>
      </c>
      <c r="C945" s="4" t="s">
        <v>20</v>
      </c>
      <c r="D945" s="4" t="s">
        <v>21</v>
      </c>
      <c r="E945" s="5" t="n">
        <v>12755.76</v>
      </c>
      <c r="F945" s="4" t="s">
        <v>17</v>
      </c>
    </row>
    <row r="946" customFormat="false" ht="15" hidden="false" customHeight="false" outlineLevel="0" collapsed="false">
      <c r="A946" s="4" t="s">
        <v>1270</v>
      </c>
      <c r="B946" s="4" t="s">
        <v>1214</v>
      </c>
      <c r="C946" s="4" t="s">
        <v>36</v>
      </c>
      <c r="D946" s="4" t="s">
        <v>37</v>
      </c>
      <c r="E946" s="5" t="n">
        <v>14183.17</v>
      </c>
      <c r="F946" s="4" t="s">
        <v>38</v>
      </c>
    </row>
    <row r="947" customFormat="false" ht="15" hidden="false" customHeight="false" outlineLevel="0" collapsed="false">
      <c r="A947" s="4" t="s">
        <v>1271</v>
      </c>
      <c r="B947" s="4" t="s">
        <v>1258</v>
      </c>
      <c r="C947" s="4" t="s">
        <v>24</v>
      </c>
      <c r="D947" s="4" t="s">
        <v>25</v>
      </c>
      <c r="E947" s="5" t="n">
        <v>14248.31</v>
      </c>
      <c r="F947" s="4" t="s">
        <v>17</v>
      </c>
    </row>
    <row r="948" customFormat="false" ht="15" hidden="false" customHeight="false" outlineLevel="0" collapsed="false">
      <c r="A948" s="4" t="s">
        <v>1272</v>
      </c>
      <c r="B948" s="4" t="s">
        <v>1273</v>
      </c>
      <c r="C948" s="4" t="s">
        <v>24</v>
      </c>
      <c r="D948" s="4" t="s">
        <v>25</v>
      </c>
      <c r="E948" s="5" t="n">
        <v>12566.4</v>
      </c>
      <c r="F948" s="4" t="s">
        <v>17</v>
      </c>
    </row>
    <row r="949" customFormat="false" ht="15" hidden="false" customHeight="false" outlineLevel="0" collapsed="false">
      <c r="A949" s="4" t="s">
        <v>1274</v>
      </c>
      <c r="B949" s="4" t="s">
        <v>1275</v>
      </c>
      <c r="C949" s="4" t="s">
        <v>45</v>
      </c>
      <c r="D949" s="4" t="s">
        <v>38</v>
      </c>
      <c r="E949" s="5" t="n">
        <v>38027.16</v>
      </c>
      <c r="F949" s="4" t="s">
        <v>38</v>
      </c>
    </row>
    <row r="950" customFormat="false" ht="15" hidden="false" customHeight="false" outlineLevel="0" collapsed="false">
      <c r="A950" s="4" t="s">
        <v>1276</v>
      </c>
      <c r="B950" s="4" t="s">
        <v>1212</v>
      </c>
      <c r="C950" s="4" t="s">
        <v>20</v>
      </c>
      <c r="D950" s="4" t="s">
        <v>21</v>
      </c>
      <c r="E950" s="5" t="n">
        <v>2919.23</v>
      </c>
      <c r="F950" s="4" t="s">
        <v>17</v>
      </c>
    </row>
    <row r="951" customFormat="false" ht="15" hidden="false" customHeight="false" outlineLevel="0" collapsed="false">
      <c r="A951" s="4" t="s">
        <v>1277</v>
      </c>
      <c r="B951" s="4" t="s">
        <v>1216</v>
      </c>
      <c r="C951" s="4" t="s">
        <v>41</v>
      </c>
      <c r="D951" s="4" t="s">
        <v>16</v>
      </c>
      <c r="E951" s="5" t="n">
        <v>19734.11</v>
      </c>
      <c r="F951" s="4" t="s">
        <v>17</v>
      </c>
    </row>
    <row r="952" customFormat="false" ht="15" hidden="false" customHeight="false" outlineLevel="0" collapsed="false">
      <c r="A952" s="4" t="s">
        <v>1278</v>
      </c>
      <c r="B952" s="4" t="s">
        <v>1253</v>
      </c>
      <c r="C952" s="4" t="s">
        <v>32</v>
      </c>
      <c r="D952" s="4" t="s">
        <v>33</v>
      </c>
      <c r="E952" s="5" t="n">
        <v>24926.74</v>
      </c>
      <c r="F952" s="4" t="s">
        <v>17</v>
      </c>
    </row>
    <row r="953" customFormat="false" ht="15" hidden="false" customHeight="false" outlineLevel="0" collapsed="false">
      <c r="A953" s="4" t="s">
        <v>1279</v>
      </c>
      <c r="B953" s="4" t="s">
        <v>1269</v>
      </c>
      <c r="C953" s="4" t="s">
        <v>24</v>
      </c>
      <c r="D953" s="4" t="s">
        <v>25</v>
      </c>
      <c r="E953" s="5" t="n">
        <v>16860.5</v>
      </c>
      <c r="F953" s="4" t="s">
        <v>17</v>
      </c>
    </row>
    <row r="954" customFormat="false" ht="15" hidden="false" customHeight="false" outlineLevel="0" collapsed="false">
      <c r="A954" s="4" t="s">
        <v>1280</v>
      </c>
      <c r="B954" s="4" t="s">
        <v>1264</v>
      </c>
      <c r="C954" s="4" t="s">
        <v>36</v>
      </c>
      <c r="D954" s="4" t="s">
        <v>37</v>
      </c>
      <c r="E954" s="5" t="n">
        <v>41538.66</v>
      </c>
      <c r="F954" s="4" t="s">
        <v>38</v>
      </c>
    </row>
    <row r="955" customFormat="false" ht="15" hidden="false" customHeight="false" outlineLevel="0" collapsed="false">
      <c r="A955" s="4" t="s">
        <v>1281</v>
      </c>
      <c r="B955" s="4" t="s">
        <v>1256</v>
      </c>
      <c r="C955" s="4" t="s">
        <v>32</v>
      </c>
      <c r="D955" s="4" t="s">
        <v>33</v>
      </c>
      <c r="E955" s="5" t="n">
        <v>6206.64</v>
      </c>
      <c r="F955" s="4" t="s">
        <v>17</v>
      </c>
    </row>
    <row r="956" customFormat="false" ht="15" hidden="false" customHeight="false" outlineLevel="0" collapsed="false">
      <c r="A956" s="4" t="s">
        <v>1282</v>
      </c>
      <c r="B956" s="4" t="s">
        <v>1264</v>
      </c>
      <c r="C956" s="4" t="s">
        <v>54</v>
      </c>
      <c r="D956" s="4" t="s">
        <v>21</v>
      </c>
      <c r="E956" s="5" t="n">
        <v>29854.37</v>
      </c>
      <c r="F956" s="4" t="s">
        <v>17</v>
      </c>
    </row>
    <row r="957" customFormat="false" ht="15" hidden="false" customHeight="false" outlineLevel="0" collapsed="false">
      <c r="A957" s="4" t="s">
        <v>1283</v>
      </c>
      <c r="B957" s="4" t="s">
        <v>1256</v>
      </c>
      <c r="C957" s="4" t="s">
        <v>36</v>
      </c>
      <c r="D957" s="4" t="s">
        <v>37</v>
      </c>
      <c r="E957" s="5" t="n">
        <v>13941.24</v>
      </c>
      <c r="F957" s="4" t="s">
        <v>38</v>
      </c>
    </row>
    <row r="958" customFormat="false" ht="15" hidden="false" customHeight="false" outlineLevel="0" collapsed="false">
      <c r="A958" s="4" t="s">
        <v>1284</v>
      </c>
      <c r="B958" s="4" t="s">
        <v>1246</v>
      </c>
      <c r="C958" s="4" t="s">
        <v>24</v>
      </c>
      <c r="D958" s="4" t="s">
        <v>25</v>
      </c>
      <c r="E958" s="5" t="n">
        <v>14212.75</v>
      </c>
      <c r="F958" s="4" t="s">
        <v>17</v>
      </c>
    </row>
    <row r="959" customFormat="false" ht="15" hidden="false" customHeight="false" outlineLevel="0" collapsed="false">
      <c r="A959" s="4" t="s">
        <v>1285</v>
      </c>
      <c r="B959" s="4" t="s">
        <v>1212</v>
      </c>
      <c r="C959" s="4" t="s">
        <v>94</v>
      </c>
      <c r="D959" s="4" t="s">
        <v>68</v>
      </c>
      <c r="E959" s="5" t="n">
        <v>48522.74</v>
      </c>
      <c r="F959" s="4" t="s">
        <v>17</v>
      </c>
    </row>
    <row r="960" customFormat="false" ht="15" hidden="false" customHeight="false" outlineLevel="0" collapsed="false">
      <c r="A960" s="4" t="s">
        <v>1286</v>
      </c>
      <c r="B960" s="4" t="s">
        <v>1273</v>
      </c>
      <c r="C960" s="4" t="s">
        <v>41</v>
      </c>
      <c r="D960" s="4" t="s">
        <v>16</v>
      </c>
      <c r="E960" s="5" t="n">
        <v>24521.03</v>
      </c>
      <c r="F960" s="4" t="s">
        <v>17</v>
      </c>
    </row>
    <row r="961" customFormat="false" ht="15" hidden="false" customHeight="false" outlineLevel="0" collapsed="false">
      <c r="A961" s="4" t="s">
        <v>1287</v>
      </c>
      <c r="B961" s="4" t="s">
        <v>1216</v>
      </c>
      <c r="C961" s="4" t="s">
        <v>45</v>
      </c>
      <c r="D961" s="4" t="s">
        <v>38</v>
      </c>
      <c r="E961" s="5" t="n">
        <v>66896.47</v>
      </c>
      <c r="F961" s="4" t="s">
        <v>38</v>
      </c>
    </row>
    <row r="962" customFormat="false" ht="15" hidden="false" customHeight="false" outlineLevel="0" collapsed="false">
      <c r="A962" s="4" t="s">
        <v>1288</v>
      </c>
      <c r="B962" s="4" t="s">
        <v>1289</v>
      </c>
      <c r="C962" s="4" t="s">
        <v>41</v>
      </c>
      <c r="D962" s="4" t="s">
        <v>16</v>
      </c>
      <c r="E962" s="5" t="n">
        <v>34458.61</v>
      </c>
      <c r="F962" s="4" t="s">
        <v>17</v>
      </c>
    </row>
    <row r="963" customFormat="false" ht="15" hidden="false" customHeight="false" outlineLevel="0" collapsed="false">
      <c r="A963" s="4" t="s">
        <v>1290</v>
      </c>
      <c r="B963" s="4" t="s">
        <v>1224</v>
      </c>
      <c r="C963" s="4" t="s">
        <v>41</v>
      </c>
      <c r="D963" s="4" t="s">
        <v>16</v>
      </c>
      <c r="E963" s="5" t="n">
        <v>49593.75</v>
      </c>
      <c r="F963" s="4" t="s">
        <v>17</v>
      </c>
    </row>
    <row r="964" customFormat="false" ht="15" hidden="false" customHeight="false" outlineLevel="0" collapsed="false">
      <c r="A964" s="4" t="s">
        <v>1291</v>
      </c>
      <c r="B964" s="4" t="s">
        <v>1258</v>
      </c>
      <c r="C964" s="4" t="s">
        <v>94</v>
      </c>
      <c r="D964" s="4" t="s">
        <v>68</v>
      </c>
      <c r="E964" s="5" t="n">
        <v>39161.77</v>
      </c>
      <c r="F964" s="4" t="s">
        <v>17</v>
      </c>
    </row>
    <row r="965" customFormat="false" ht="15" hidden="false" customHeight="false" outlineLevel="0" collapsed="false">
      <c r="A965" s="4" t="s">
        <v>1292</v>
      </c>
      <c r="B965" s="4" t="s">
        <v>1248</v>
      </c>
      <c r="C965" s="4" t="s">
        <v>36</v>
      </c>
      <c r="D965" s="4" t="s">
        <v>37</v>
      </c>
      <c r="E965" s="5" t="n">
        <v>42026.54</v>
      </c>
      <c r="F965" s="4" t="s">
        <v>38</v>
      </c>
    </row>
    <row r="966" customFormat="false" ht="15" hidden="false" customHeight="false" outlineLevel="0" collapsed="false">
      <c r="A966" s="4" t="s">
        <v>1293</v>
      </c>
      <c r="B966" s="4" t="s">
        <v>1289</v>
      </c>
      <c r="C966" s="4" t="s">
        <v>67</v>
      </c>
      <c r="D966" s="4" t="s">
        <v>68</v>
      </c>
      <c r="E966" s="5" t="n">
        <v>14655.01</v>
      </c>
      <c r="F966" s="4" t="s">
        <v>17</v>
      </c>
    </row>
    <row r="967" customFormat="false" ht="15" hidden="false" customHeight="false" outlineLevel="0" collapsed="false">
      <c r="A967" s="4" t="s">
        <v>1294</v>
      </c>
      <c r="B967" s="4" t="s">
        <v>1275</v>
      </c>
      <c r="C967" s="4" t="s">
        <v>45</v>
      </c>
      <c r="D967" s="4" t="s">
        <v>38</v>
      </c>
      <c r="E967" s="5" t="n">
        <v>26629.34</v>
      </c>
      <c r="F967" s="4" t="s">
        <v>38</v>
      </c>
    </row>
    <row r="968" customFormat="false" ht="15" hidden="false" customHeight="false" outlineLevel="0" collapsed="false">
      <c r="A968" s="4" t="s">
        <v>1295</v>
      </c>
      <c r="B968" s="4" t="s">
        <v>1241</v>
      </c>
      <c r="C968" s="4" t="s">
        <v>54</v>
      </c>
      <c r="D968" s="4" t="s">
        <v>21</v>
      </c>
      <c r="E968" s="5" t="n">
        <v>65219.75</v>
      </c>
      <c r="F968" s="4" t="s">
        <v>17</v>
      </c>
    </row>
    <row r="969" customFormat="false" ht="15" hidden="false" customHeight="false" outlineLevel="0" collapsed="false">
      <c r="A969" s="4" t="s">
        <v>1296</v>
      </c>
      <c r="B969" s="4" t="s">
        <v>1228</v>
      </c>
      <c r="C969" s="4" t="s">
        <v>15</v>
      </c>
      <c r="D969" s="4" t="s">
        <v>16</v>
      </c>
      <c r="E969" s="5" t="n">
        <v>17305.73</v>
      </c>
      <c r="F969" s="4" t="s">
        <v>17</v>
      </c>
    </row>
    <row r="970" customFormat="false" ht="15" hidden="false" customHeight="false" outlineLevel="0" collapsed="false">
      <c r="A970" s="4" t="s">
        <v>1297</v>
      </c>
      <c r="B970" s="4" t="s">
        <v>1289</v>
      </c>
      <c r="C970" s="4" t="s">
        <v>62</v>
      </c>
      <c r="D970" s="4" t="s">
        <v>38</v>
      </c>
      <c r="E970" s="5" t="n">
        <v>62144.86</v>
      </c>
      <c r="F970" s="4" t="s">
        <v>38</v>
      </c>
    </row>
    <row r="971" customFormat="false" ht="15" hidden="false" customHeight="false" outlineLevel="0" collapsed="false">
      <c r="A971" s="4" t="s">
        <v>1298</v>
      </c>
      <c r="B971" s="4" t="s">
        <v>1273</v>
      </c>
      <c r="C971" s="4" t="s">
        <v>15</v>
      </c>
      <c r="D971" s="4" t="s">
        <v>16</v>
      </c>
      <c r="E971" s="5" t="n">
        <v>42124.01</v>
      </c>
      <c r="F971" s="4" t="s">
        <v>17</v>
      </c>
    </row>
    <row r="972" customFormat="false" ht="15" hidden="false" customHeight="false" outlineLevel="0" collapsed="false">
      <c r="A972" s="4" t="s">
        <v>1299</v>
      </c>
      <c r="B972" s="4" t="s">
        <v>1212</v>
      </c>
      <c r="C972" s="4" t="s">
        <v>94</v>
      </c>
      <c r="D972" s="4" t="s">
        <v>68</v>
      </c>
      <c r="E972" s="5" t="n">
        <v>38237.59</v>
      </c>
      <c r="F972" s="4" t="s">
        <v>17</v>
      </c>
    </row>
    <row r="973" customFormat="false" ht="15" hidden="false" customHeight="false" outlineLevel="0" collapsed="false">
      <c r="A973" s="4" t="s">
        <v>1300</v>
      </c>
      <c r="B973" s="4" t="s">
        <v>1218</v>
      </c>
      <c r="C973" s="4" t="s">
        <v>62</v>
      </c>
      <c r="D973" s="4" t="s">
        <v>38</v>
      </c>
      <c r="E973" s="5" t="n">
        <v>19980.61</v>
      </c>
      <c r="F973" s="4" t="s">
        <v>38</v>
      </c>
    </row>
    <row r="974" customFormat="false" ht="15" hidden="false" customHeight="false" outlineLevel="0" collapsed="false">
      <c r="A974" s="4" t="s">
        <v>1301</v>
      </c>
      <c r="B974" s="4" t="s">
        <v>1264</v>
      </c>
      <c r="C974" s="4" t="s">
        <v>101</v>
      </c>
      <c r="D974" s="4" t="s">
        <v>33</v>
      </c>
      <c r="E974" s="5" t="n">
        <v>61364.94</v>
      </c>
      <c r="F974" s="4" t="s">
        <v>17</v>
      </c>
    </row>
    <row r="975" customFormat="false" ht="15" hidden="false" customHeight="false" outlineLevel="0" collapsed="false">
      <c r="A975" s="4" t="s">
        <v>1302</v>
      </c>
      <c r="B975" s="4" t="s">
        <v>1260</v>
      </c>
      <c r="C975" s="4" t="s">
        <v>62</v>
      </c>
      <c r="D975" s="4" t="s">
        <v>38</v>
      </c>
      <c r="E975" s="5" t="n">
        <v>23887.02</v>
      </c>
      <c r="F975" s="4" t="s">
        <v>38</v>
      </c>
    </row>
    <row r="976" customFormat="false" ht="15" hidden="false" customHeight="false" outlineLevel="0" collapsed="false">
      <c r="A976" s="4" t="s">
        <v>1303</v>
      </c>
      <c r="B976" s="4" t="s">
        <v>1212</v>
      </c>
      <c r="C976" s="4" t="s">
        <v>32</v>
      </c>
      <c r="D976" s="4" t="s">
        <v>33</v>
      </c>
      <c r="E976" s="5" t="n">
        <v>48580.81</v>
      </c>
      <c r="F976" s="4" t="s">
        <v>17</v>
      </c>
    </row>
    <row r="977" customFormat="false" ht="15" hidden="false" customHeight="false" outlineLevel="0" collapsed="false">
      <c r="A977" s="4" t="s">
        <v>1304</v>
      </c>
      <c r="B977" s="4" t="s">
        <v>1289</v>
      </c>
      <c r="C977" s="4" t="s">
        <v>62</v>
      </c>
      <c r="D977" s="4" t="s">
        <v>38</v>
      </c>
      <c r="E977" s="5" t="n">
        <v>42220.19</v>
      </c>
      <c r="F977" s="4" t="s">
        <v>38</v>
      </c>
    </row>
    <row r="978" customFormat="false" ht="15" hidden="false" customHeight="false" outlineLevel="0" collapsed="false">
      <c r="A978" s="4" t="s">
        <v>1305</v>
      </c>
      <c r="B978" s="4" t="s">
        <v>1275</v>
      </c>
      <c r="C978" s="4" t="s">
        <v>94</v>
      </c>
      <c r="D978" s="4" t="s">
        <v>68</v>
      </c>
      <c r="E978" s="5" t="n">
        <v>7901.78</v>
      </c>
      <c r="F978" s="4" t="s">
        <v>17</v>
      </c>
    </row>
    <row r="979" customFormat="false" ht="15" hidden="false" customHeight="false" outlineLevel="0" collapsed="false">
      <c r="A979" s="4" t="s">
        <v>1306</v>
      </c>
      <c r="B979" s="4" t="s">
        <v>1289</v>
      </c>
      <c r="C979" s="4" t="s">
        <v>32</v>
      </c>
      <c r="D979" s="4" t="s">
        <v>33</v>
      </c>
      <c r="E979" s="5" t="n">
        <v>45353.24</v>
      </c>
      <c r="F979" s="4" t="s">
        <v>17</v>
      </c>
    </row>
    <row r="980" customFormat="false" ht="15" hidden="false" customHeight="false" outlineLevel="0" collapsed="false">
      <c r="A980" s="4" t="s">
        <v>1307</v>
      </c>
      <c r="B980" s="4" t="s">
        <v>1234</v>
      </c>
      <c r="C980" s="4" t="s">
        <v>15</v>
      </c>
      <c r="D980" s="4" t="s">
        <v>16</v>
      </c>
      <c r="E980" s="5" t="n">
        <v>62727.81</v>
      </c>
      <c r="F980" s="4" t="s">
        <v>17</v>
      </c>
    </row>
    <row r="981" customFormat="false" ht="15" hidden="false" customHeight="false" outlineLevel="0" collapsed="false">
      <c r="A981" s="4" t="s">
        <v>1308</v>
      </c>
      <c r="B981" s="4" t="s">
        <v>1275</v>
      </c>
      <c r="C981" s="4" t="s">
        <v>15</v>
      </c>
      <c r="D981" s="4" t="s">
        <v>16</v>
      </c>
      <c r="E981" s="5" t="n">
        <v>3222.99</v>
      </c>
      <c r="F981" s="4" t="s">
        <v>17</v>
      </c>
    </row>
    <row r="982" customFormat="false" ht="15" hidden="false" customHeight="false" outlineLevel="0" collapsed="false">
      <c r="A982" s="4" t="s">
        <v>1309</v>
      </c>
      <c r="B982" s="4" t="s">
        <v>1267</v>
      </c>
      <c r="C982" s="4" t="s">
        <v>45</v>
      </c>
      <c r="D982" s="4" t="s">
        <v>38</v>
      </c>
      <c r="E982" s="5" t="n">
        <v>22023.39</v>
      </c>
      <c r="F982" s="4" t="s">
        <v>38</v>
      </c>
    </row>
    <row r="983" customFormat="false" ht="15" hidden="false" customHeight="false" outlineLevel="0" collapsed="false">
      <c r="A983" s="4" t="s">
        <v>1310</v>
      </c>
      <c r="B983" s="4" t="s">
        <v>1239</v>
      </c>
      <c r="C983" s="4" t="s">
        <v>24</v>
      </c>
      <c r="D983" s="4" t="s">
        <v>25</v>
      </c>
      <c r="E983" s="5" t="n">
        <v>16821.1</v>
      </c>
      <c r="F983" s="4" t="s">
        <v>17</v>
      </c>
    </row>
    <row r="984" customFormat="false" ht="15" hidden="false" customHeight="false" outlineLevel="0" collapsed="false">
      <c r="A984" s="4" t="s">
        <v>1311</v>
      </c>
      <c r="B984" s="4" t="s">
        <v>1222</v>
      </c>
      <c r="C984" s="4" t="s">
        <v>67</v>
      </c>
      <c r="D984" s="4" t="s">
        <v>68</v>
      </c>
      <c r="E984" s="5" t="n">
        <v>16753.66</v>
      </c>
      <c r="F984" s="4" t="s">
        <v>17</v>
      </c>
    </row>
    <row r="985" customFormat="false" ht="15" hidden="false" customHeight="false" outlineLevel="0" collapsed="false">
      <c r="A985" s="4" t="s">
        <v>1312</v>
      </c>
      <c r="B985" s="4" t="s">
        <v>1228</v>
      </c>
      <c r="C985" s="4" t="s">
        <v>62</v>
      </c>
      <c r="D985" s="4" t="s">
        <v>38</v>
      </c>
      <c r="E985" s="5" t="n">
        <v>50319.95</v>
      </c>
      <c r="F985" s="4" t="s">
        <v>38</v>
      </c>
    </row>
    <row r="986" customFormat="false" ht="15" hidden="false" customHeight="false" outlineLevel="0" collapsed="false">
      <c r="A986" s="4" t="s">
        <v>1313</v>
      </c>
      <c r="B986" s="4" t="s">
        <v>1314</v>
      </c>
      <c r="C986" s="4" t="s">
        <v>62</v>
      </c>
      <c r="D986" s="4" t="s">
        <v>38</v>
      </c>
      <c r="E986" s="5" t="n">
        <v>50309.32</v>
      </c>
      <c r="F986" s="4" t="s">
        <v>38</v>
      </c>
    </row>
    <row r="987" customFormat="false" ht="15" hidden="false" customHeight="false" outlineLevel="0" collapsed="false">
      <c r="A987" s="4" t="s">
        <v>1315</v>
      </c>
      <c r="B987" s="4" t="s">
        <v>1236</v>
      </c>
      <c r="C987" s="4" t="s">
        <v>15</v>
      </c>
      <c r="D987" s="4" t="s">
        <v>16</v>
      </c>
      <c r="E987" s="5" t="n">
        <v>34167.21</v>
      </c>
      <c r="F987" s="4" t="s">
        <v>17</v>
      </c>
    </row>
    <row r="988" customFormat="false" ht="15" hidden="false" customHeight="false" outlineLevel="0" collapsed="false">
      <c r="A988" s="4" t="s">
        <v>1316</v>
      </c>
      <c r="B988" s="4" t="s">
        <v>1314</v>
      </c>
      <c r="C988" s="4" t="s">
        <v>101</v>
      </c>
      <c r="D988" s="4" t="s">
        <v>33</v>
      </c>
      <c r="E988" s="5" t="n">
        <v>10854.34</v>
      </c>
      <c r="F988" s="4" t="s">
        <v>17</v>
      </c>
    </row>
    <row r="989" customFormat="false" ht="15" hidden="false" customHeight="false" outlineLevel="0" collapsed="false">
      <c r="A989" s="4" t="s">
        <v>1317</v>
      </c>
      <c r="B989" s="4" t="s">
        <v>1234</v>
      </c>
      <c r="C989" s="4" t="s">
        <v>101</v>
      </c>
      <c r="D989" s="4" t="s">
        <v>33</v>
      </c>
      <c r="E989" s="5" t="n">
        <v>29417.31</v>
      </c>
      <c r="F989" s="4" t="s">
        <v>17</v>
      </c>
    </row>
    <row r="990" customFormat="false" ht="15" hidden="false" customHeight="false" outlineLevel="0" collapsed="false">
      <c r="A990" s="4" t="s">
        <v>1318</v>
      </c>
      <c r="B990" s="4" t="s">
        <v>1248</v>
      </c>
      <c r="C990" s="4" t="s">
        <v>45</v>
      </c>
      <c r="D990" s="4" t="s">
        <v>38</v>
      </c>
      <c r="E990" s="5" t="n">
        <v>57577.99</v>
      </c>
      <c r="F990" s="4" t="s">
        <v>38</v>
      </c>
    </row>
    <row r="991" customFormat="false" ht="15" hidden="false" customHeight="false" outlineLevel="0" collapsed="false">
      <c r="A991" s="4" t="s">
        <v>1319</v>
      </c>
      <c r="B991" s="4" t="s">
        <v>1226</v>
      </c>
      <c r="C991" s="4" t="s">
        <v>45</v>
      </c>
      <c r="D991" s="4" t="s">
        <v>38</v>
      </c>
      <c r="E991" s="5" t="n">
        <v>59246.95</v>
      </c>
      <c r="F991" s="4" t="s">
        <v>38</v>
      </c>
    </row>
    <row r="992" customFormat="false" ht="15" hidden="false" customHeight="false" outlineLevel="0" collapsed="false">
      <c r="A992" s="4" t="s">
        <v>1320</v>
      </c>
      <c r="B992" s="4" t="s">
        <v>1273</v>
      </c>
      <c r="C992" s="4" t="s">
        <v>54</v>
      </c>
      <c r="D992" s="4" t="s">
        <v>21</v>
      </c>
      <c r="E992" s="5" t="n">
        <v>14715.02</v>
      </c>
      <c r="F992" s="4" t="s">
        <v>17</v>
      </c>
    </row>
    <row r="993" customFormat="false" ht="15" hidden="false" customHeight="false" outlineLevel="0" collapsed="false">
      <c r="A993" s="4" t="s">
        <v>1321</v>
      </c>
      <c r="B993" s="4" t="s">
        <v>1216</v>
      </c>
      <c r="C993" s="4" t="s">
        <v>24</v>
      </c>
      <c r="D993" s="4" t="s">
        <v>25</v>
      </c>
      <c r="E993" s="5" t="n">
        <v>12970.53</v>
      </c>
      <c r="F993" s="4" t="s">
        <v>17</v>
      </c>
    </row>
    <row r="994" customFormat="false" ht="15" hidden="false" customHeight="false" outlineLevel="0" collapsed="false">
      <c r="A994" s="4" t="s">
        <v>1322</v>
      </c>
      <c r="B994" s="4" t="s">
        <v>1269</v>
      </c>
      <c r="C994" s="4" t="s">
        <v>20</v>
      </c>
      <c r="D994" s="4" t="s">
        <v>21</v>
      </c>
      <c r="E994" s="5" t="n">
        <v>8950.45</v>
      </c>
      <c r="F994" s="4" t="s">
        <v>17</v>
      </c>
    </row>
    <row r="995" customFormat="false" ht="15" hidden="false" customHeight="false" outlineLevel="0" collapsed="false">
      <c r="A995" s="4" t="s">
        <v>1323</v>
      </c>
      <c r="B995" s="4" t="s">
        <v>1248</v>
      </c>
      <c r="C995" s="4" t="s">
        <v>15</v>
      </c>
      <c r="D995" s="4" t="s">
        <v>16</v>
      </c>
      <c r="E995" s="5" t="n">
        <v>30849.66</v>
      </c>
      <c r="F995" s="4" t="s">
        <v>17</v>
      </c>
    </row>
    <row r="996" customFormat="false" ht="15" hidden="false" customHeight="false" outlineLevel="0" collapsed="false">
      <c r="A996" s="4" t="s">
        <v>1324</v>
      </c>
      <c r="B996" s="4" t="s">
        <v>1216</v>
      </c>
      <c r="C996" s="4" t="s">
        <v>20</v>
      </c>
      <c r="D996" s="4" t="s">
        <v>21</v>
      </c>
      <c r="E996" s="5" t="n">
        <v>55764.51</v>
      </c>
      <c r="F996" s="4" t="s">
        <v>17</v>
      </c>
    </row>
    <row r="997" customFormat="false" ht="15" hidden="false" customHeight="false" outlineLevel="0" collapsed="false">
      <c r="A997" s="4" t="s">
        <v>1325</v>
      </c>
      <c r="B997" s="4" t="s">
        <v>1326</v>
      </c>
      <c r="C997" s="4" t="s">
        <v>36</v>
      </c>
      <c r="D997" s="4" t="s">
        <v>37</v>
      </c>
      <c r="E997" s="5" t="n">
        <v>51382.76</v>
      </c>
      <c r="F997" s="4" t="s">
        <v>38</v>
      </c>
    </row>
    <row r="998" customFormat="false" ht="15" hidden="false" customHeight="false" outlineLevel="0" collapsed="false">
      <c r="A998" s="4" t="s">
        <v>1327</v>
      </c>
      <c r="B998" s="4" t="s">
        <v>1328</v>
      </c>
      <c r="C998" s="4" t="s">
        <v>94</v>
      </c>
      <c r="D998" s="4" t="s">
        <v>68</v>
      </c>
      <c r="E998" s="5" t="n">
        <v>46370.58</v>
      </c>
      <c r="F998" s="4" t="s">
        <v>17</v>
      </c>
    </row>
    <row r="999" customFormat="false" ht="15" hidden="false" customHeight="false" outlineLevel="0" collapsed="false">
      <c r="A999" s="4" t="s">
        <v>1329</v>
      </c>
      <c r="B999" s="4" t="s">
        <v>1330</v>
      </c>
      <c r="C999" s="4" t="s">
        <v>24</v>
      </c>
      <c r="D999" s="4" t="s">
        <v>25</v>
      </c>
      <c r="E999" s="5" t="n">
        <v>58132.01</v>
      </c>
      <c r="F999" s="4" t="s">
        <v>17</v>
      </c>
    </row>
    <row r="1000" customFormat="false" ht="15" hidden="false" customHeight="false" outlineLevel="0" collapsed="false">
      <c r="A1000" s="4" t="s">
        <v>1331</v>
      </c>
      <c r="B1000" s="4" t="s">
        <v>1332</v>
      </c>
      <c r="C1000" s="4" t="s">
        <v>101</v>
      </c>
      <c r="D1000" s="4" t="s">
        <v>33</v>
      </c>
      <c r="E1000" s="5" t="n">
        <v>64955.48</v>
      </c>
      <c r="F1000" s="4" t="s">
        <v>17</v>
      </c>
    </row>
    <row r="1001" customFormat="false" ht="15" hidden="false" customHeight="false" outlineLevel="0" collapsed="false">
      <c r="A1001" s="4" t="s">
        <v>1333</v>
      </c>
      <c r="B1001" s="4" t="s">
        <v>1334</v>
      </c>
      <c r="C1001" s="4" t="s">
        <v>15</v>
      </c>
      <c r="D1001" s="4" t="s">
        <v>16</v>
      </c>
      <c r="E1001" s="5" t="n">
        <v>61560</v>
      </c>
      <c r="F1001" s="4" t="s">
        <v>17</v>
      </c>
    </row>
    <row r="1002" customFormat="false" ht="15" hidden="false" customHeight="false" outlineLevel="0" collapsed="false">
      <c r="A1002" s="4" t="s">
        <v>1335</v>
      </c>
      <c r="B1002" s="4" t="s">
        <v>1336</v>
      </c>
      <c r="C1002" s="4" t="s">
        <v>54</v>
      </c>
      <c r="D1002" s="4" t="s">
        <v>21</v>
      </c>
      <c r="E1002" s="5" t="n">
        <v>22592.06</v>
      </c>
      <c r="F1002" s="4" t="s">
        <v>17</v>
      </c>
    </row>
    <row r="1003" customFormat="false" ht="15" hidden="false" customHeight="false" outlineLevel="0" collapsed="false">
      <c r="A1003" s="4" t="s">
        <v>1337</v>
      </c>
      <c r="B1003" s="4" t="s">
        <v>1338</v>
      </c>
      <c r="C1003" s="4" t="s">
        <v>67</v>
      </c>
      <c r="D1003" s="4" t="s">
        <v>68</v>
      </c>
      <c r="E1003" s="5" t="n">
        <v>17737.19</v>
      </c>
      <c r="F1003" s="4" t="s">
        <v>17</v>
      </c>
    </row>
    <row r="1004" customFormat="false" ht="15" hidden="false" customHeight="false" outlineLevel="0" collapsed="false">
      <c r="A1004" s="4" t="s">
        <v>1339</v>
      </c>
      <c r="B1004" s="4" t="s">
        <v>1340</v>
      </c>
      <c r="C1004" s="4" t="s">
        <v>45</v>
      </c>
      <c r="D1004" s="4" t="s">
        <v>38</v>
      </c>
      <c r="E1004" s="5" t="n">
        <v>60761.33</v>
      </c>
      <c r="F1004" s="4" t="s">
        <v>38</v>
      </c>
    </row>
    <row r="1005" customFormat="false" ht="15" hidden="false" customHeight="false" outlineLevel="0" collapsed="false">
      <c r="A1005" s="4" t="s">
        <v>1341</v>
      </c>
      <c r="B1005" s="4" t="s">
        <v>1342</v>
      </c>
      <c r="C1005" s="4" t="s">
        <v>15</v>
      </c>
      <c r="D1005" s="4" t="s">
        <v>16</v>
      </c>
      <c r="E1005" s="5" t="n">
        <v>7330.69</v>
      </c>
      <c r="F1005" s="4" t="s">
        <v>17</v>
      </c>
    </row>
    <row r="1006" customFormat="false" ht="15" hidden="false" customHeight="false" outlineLevel="0" collapsed="false">
      <c r="A1006" s="4" t="s">
        <v>1343</v>
      </c>
      <c r="B1006" s="4" t="s">
        <v>1332</v>
      </c>
      <c r="C1006" s="4" t="s">
        <v>32</v>
      </c>
      <c r="D1006" s="4" t="s">
        <v>33</v>
      </c>
      <c r="E1006" s="5" t="n">
        <v>17367.27</v>
      </c>
      <c r="F1006" s="4" t="s">
        <v>17</v>
      </c>
    </row>
    <row r="1007" customFormat="false" ht="15" hidden="false" customHeight="false" outlineLevel="0" collapsed="false">
      <c r="A1007" s="4" t="s">
        <v>1344</v>
      </c>
      <c r="B1007" s="4" t="s">
        <v>1345</v>
      </c>
      <c r="C1007" s="4" t="s">
        <v>41</v>
      </c>
      <c r="D1007" s="4" t="s">
        <v>16</v>
      </c>
      <c r="E1007" s="5" t="n">
        <v>67754.72</v>
      </c>
      <c r="F1007" s="4" t="s">
        <v>17</v>
      </c>
    </row>
    <row r="1008" customFormat="false" ht="15" hidden="false" customHeight="false" outlineLevel="0" collapsed="false">
      <c r="A1008" s="4" t="s">
        <v>1346</v>
      </c>
      <c r="B1008" s="4" t="s">
        <v>1347</v>
      </c>
      <c r="C1008" s="4" t="s">
        <v>67</v>
      </c>
      <c r="D1008" s="4" t="s">
        <v>68</v>
      </c>
      <c r="E1008" s="5" t="n">
        <v>12271.27</v>
      </c>
      <c r="F1008" s="4" t="s">
        <v>17</v>
      </c>
    </row>
    <row r="1009" customFormat="false" ht="15" hidden="false" customHeight="false" outlineLevel="0" collapsed="false">
      <c r="A1009" s="4" t="s">
        <v>1348</v>
      </c>
      <c r="B1009" s="4" t="s">
        <v>1328</v>
      </c>
      <c r="C1009" s="4" t="s">
        <v>41</v>
      </c>
      <c r="D1009" s="4" t="s">
        <v>16</v>
      </c>
      <c r="E1009" s="5" t="n">
        <v>55791.35</v>
      </c>
      <c r="F1009" s="4" t="s">
        <v>17</v>
      </c>
    </row>
    <row r="1010" customFormat="false" ht="15" hidden="false" customHeight="false" outlineLevel="0" collapsed="false">
      <c r="A1010" s="4" t="s">
        <v>1349</v>
      </c>
      <c r="B1010" s="4" t="s">
        <v>1336</v>
      </c>
      <c r="C1010" s="4" t="s">
        <v>62</v>
      </c>
      <c r="D1010" s="4" t="s">
        <v>38</v>
      </c>
      <c r="E1010" s="5" t="n">
        <v>53467.73</v>
      </c>
      <c r="F1010" s="4" t="s">
        <v>38</v>
      </c>
    </row>
    <row r="1011" customFormat="false" ht="15" hidden="false" customHeight="false" outlineLevel="0" collapsed="false">
      <c r="A1011" s="4" t="s">
        <v>1350</v>
      </c>
      <c r="B1011" s="4" t="s">
        <v>1351</v>
      </c>
      <c r="C1011" s="4" t="s">
        <v>94</v>
      </c>
      <c r="D1011" s="4" t="s">
        <v>68</v>
      </c>
      <c r="E1011" s="5" t="n">
        <v>46276.59</v>
      </c>
      <c r="F1011" s="4" t="s">
        <v>17</v>
      </c>
    </row>
    <row r="1012" customFormat="false" ht="15" hidden="false" customHeight="false" outlineLevel="0" collapsed="false">
      <c r="A1012" s="4" t="s">
        <v>1352</v>
      </c>
      <c r="B1012" s="4" t="s">
        <v>1353</v>
      </c>
      <c r="C1012" s="4" t="s">
        <v>41</v>
      </c>
      <c r="D1012" s="4" t="s">
        <v>16</v>
      </c>
      <c r="E1012" s="5" t="n">
        <v>17119.28</v>
      </c>
      <c r="F1012" s="4" t="s">
        <v>17</v>
      </c>
    </row>
    <row r="1013" customFormat="false" ht="15" hidden="false" customHeight="false" outlineLevel="0" collapsed="false">
      <c r="A1013" s="4" t="s">
        <v>1354</v>
      </c>
      <c r="B1013" s="4" t="s">
        <v>1351</v>
      </c>
      <c r="C1013" s="4" t="s">
        <v>15</v>
      </c>
      <c r="D1013" s="4" t="s">
        <v>16</v>
      </c>
      <c r="E1013" s="5" t="n">
        <v>35377.18</v>
      </c>
      <c r="F1013" s="4" t="s">
        <v>17</v>
      </c>
    </row>
    <row r="1014" customFormat="false" ht="15" hidden="false" customHeight="false" outlineLevel="0" collapsed="false">
      <c r="A1014" s="4" t="s">
        <v>1355</v>
      </c>
      <c r="B1014" s="4" t="s">
        <v>1356</v>
      </c>
      <c r="C1014" s="4" t="s">
        <v>32</v>
      </c>
      <c r="D1014" s="4" t="s">
        <v>33</v>
      </c>
      <c r="E1014" s="5" t="n">
        <v>48381.45</v>
      </c>
      <c r="F1014" s="4" t="s">
        <v>17</v>
      </c>
    </row>
    <row r="1015" customFormat="false" ht="15" hidden="false" customHeight="false" outlineLevel="0" collapsed="false">
      <c r="A1015" s="4" t="s">
        <v>1357</v>
      </c>
      <c r="B1015" s="4" t="s">
        <v>1358</v>
      </c>
      <c r="C1015" s="4" t="s">
        <v>20</v>
      </c>
      <c r="D1015" s="4" t="s">
        <v>21</v>
      </c>
      <c r="E1015" s="5" t="n">
        <v>64797.03</v>
      </c>
      <c r="F1015" s="4" t="s">
        <v>17</v>
      </c>
    </row>
    <row r="1016" customFormat="false" ht="15" hidden="false" customHeight="false" outlineLevel="0" collapsed="false">
      <c r="A1016" s="4" t="s">
        <v>1359</v>
      </c>
      <c r="B1016" s="4" t="s">
        <v>1360</v>
      </c>
      <c r="C1016" s="4" t="s">
        <v>15</v>
      </c>
      <c r="D1016" s="4" t="s">
        <v>16</v>
      </c>
      <c r="E1016" s="5" t="n">
        <v>46554.43</v>
      </c>
      <c r="F1016" s="4" t="s">
        <v>17</v>
      </c>
    </row>
    <row r="1017" customFormat="false" ht="15" hidden="false" customHeight="false" outlineLevel="0" collapsed="false">
      <c r="A1017" s="4" t="s">
        <v>1361</v>
      </c>
      <c r="B1017" s="4" t="s">
        <v>1362</v>
      </c>
      <c r="C1017" s="4" t="s">
        <v>101</v>
      </c>
      <c r="D1017" s="4" t="s">
        <v>33</v>
      </c>
      <c r="E1017" s="5" t="n">
        <v>6003.53</v>
      </c>
      <c r="F1017" s="4" t="s">
        <v>17</v>
      </c>
    </row>
    <row r="1018" customFormat="false" ht="15" hidden="false" customHeight="false" outlineLevel="0" collapsed="false">
      <c r="A1018" s="4" t="s">
        <v>1363</v>
      </c>
      <c r="B1018" s="4" t="s">
        <v>1364</v>
      </c>
      <c r="C1018" s="4" t="s">
        <v>94</v>
      </c>
      <c r="D1018" s="4" t="s">
        <v>68</v>
      </c>
      <c r="E1018" s="5" t="n">
        <v>6540.88</v>
      </c>
      <c r="F1018" s="4" t="s">
        <v>17</v>
      </c>
    </row>
    <row r="1019" customFormat="false" ht="15" hidden="false" customHeight="false" outlineLevel="0" collapsed="false">
      <c r="A1019" s="4" t="s">
        <v>1365</v>
      </c>
      <c r="B1019" s="4" t="s">
        <v>1334</v>
      </c>
      <c r="C1019" s="4" t="s">
        <v>41</v>
      </c>
      <c r="D1019" s="4" t="s">
        <v>16</v>
      </c>
      <c r="E1019" s="5" t="n">
        <v>37674.23</v>
      </c>
      <c r="F1019" s="4" t="s">
        <v>17</v>
      </c>
    </row>
    <row r="1020" customFormat="false" ht="15" hidden="false" customHeight="false" outlineLevel="0" collapsed="false">
      <c r="A1020" s="4" t="s">
        <v>1366</v>
      </c>
      <c r="B1020" s="4" t="s">
        <v>1364</v>
      </c>
      <c r="C1020" s="4" t="s">
        <v>41</v>
      </c>
      <c r="D1020" s="4" t="s">
        <v>16</v>
      </c>
      <c r="E1020" s="5" t="n">
        <v>10458.61</v>
      </c>
      <c r="F1020" s="4" t="s">
        <v>17</v>
      </c>
    </row>
    <row r="1021" customFormat="false" ht="15" hidden="false" customHeight="false" outlineLevel="0" collapsed="false">
      <c r="A1021" s="4" t="s">
        <v>1367</v>
      </c>
      <c r="B1021" s="4" t="s">
        <v>1368</v>
      </c>
      <c r="C1021" s="4" t="s">
        <v>67</v>
      </c>
      <c r="D1021" s="4" t="s">
        <v>68</v>
      </c>
      <c r="E1021" s="5" t="n">
        <v>5668.3</v>
      </c>
      <c r="F1021" s="4" t="s">
        <v>17</v>
      </c>
    </row>
    <row r="1022" customFormat="false" ht="15" hidden="false" customHeight="false" outlineLevel="0" collapsed="false">
      <c r="A1022" s="4" t="s">
        <v>1369</v>
      </c>
      <c r="B1022" s="4" t="s">
        <v>1334</v>
      </c>
      <c r="C1022" s="4" t="s">
        <v>20</v>
      </c>
      <c r="D1022" s="4" t="s">
        <v>21</v>
      </c>
      <c r="E1022" s="5" t="n">
        <v>32793.71</v>
      </c>
      <c r="F1022" s="4" t="s">
        <v>17</v>
      </c>
    </row>
    <row r="1023" customFormat="false" ht="15" hidden="false" customHeight="false" outlineLevel="0" collapsed="false">
      <c r="A1023" s="4" t="s">
        <v>1370</v>
      </c>
      <c r="B1023" s="4" t="s">
        <v>1340</v>
      </c>
      <c r="C1023" s="4" t="s">
        <v>24</v>
      </c>
      <c r="D1023" s="4" t="s">
        <v>25</v>
      </c>
      <c r="E1023" s="5" t="n">
        <v>54203.95</v>
      </c>
      <c r="F1023" s="4" t="s">
        <v>17</v>
      </c>
    </row>
    <row r="1024" customFormat="false" ht="15" hidden="false" customHeight="false" outlineLevel="0" collapsed="false">
      <c r="A1024" s="4" t="s">
        <v>1371</v>
      </c>
      <c r="B1024" s="4" t="s">
        <v>1356</v>
      </c>
      <c r="C1024" s="4" t="s">
        <v>101</v>
      </c>
      <c r="D1024" s="4" t="s">
        <v>33</v>
      </c>
      <c r="E1024" s="5" t="n">
        <v>52005.97</v>
      </c>
      <c r="F1024" s="4" t="s">
        <v>17</v>
      </c>
    </row>
    <row r="1025" customFormat="false" ht="15" hidden="false" customHeight="false" outlineLevel="0" collapsed="false">
      <c r="A1025" s="4" t="s">
        <v>1372</v>
      </c>
      <c r="B1025" s="4" t="s">
        <v>1373</v>
      </c>
      <c r="C1025" s="4" t="s">
        <v>36</v>
      </c>
      <c r="D1025" s="4" t="s">
        <v>37</v>
      </c>
      <c r="E1025" s="5" t="n">
        <v>41837.73</v>
      </c>
      <c r="F1025" s="4" t="s">
        <v>38</v>
      </c>
    </row>
    <row r="1026" customFormat="false" ht="15" hidden="false" customHeight="false" outlineLevel="0" collapsed="false">
      <c r="A1026" s="4" t="s">
        <v>1374</v>
      </c>
      <c r="B1026" s="4" t="s">
        <v>1362</v>
      </c>
      <c r="C1026" s="4" t="s">
        <v>41</v>
      </c>
      <c r="D1026" s="4" t="s">
        <v>16</v>
      </c>
      <c r="E1026" s="5" t="n">
        <v>15440.03</v>
      </c>
      <c r="F1026" s="4" t="s">
        <v>17</v>
      </c>
    </row>
    <row r="1027" customFormat="false" ht="15" hidden="false" customHeight="false" outlineLevel="0" collapsed="false">
      <c r="A1027" s="4" t="s">
        <v>1375</v>
      </c>
      <c r="B1027" s="4" t="s">
        <v>1368</v>
      </c>
      <c r="C1027" s="4" t="s">
        <v>41</v>
      </c>
      <c r="D1027" s="4" t="s">
        <v>16</v>
      </c>
      <c r="E1027" s="5" t="n">
        <v>20126.94</v>
      </c>
      <c r="F1027" s="4" t="s">
        <v>17</v>
      </c>
    </row>
    <row r="1028" customFormat="false" ht="15" hidden="false" customHeight="false" outlineLevel="0" collapsed="false">
      <c r="A1028" s="4" t="s">
        <v>1376</v>
      </c>
      <c r="B1028" s="4" t="s">
        <v>1364</v>
      </c>
      <c r="C1028" s="4" t="s">
        <v>94</v>
      </c>
      <c r="D1028" s="4" t="s">
        <v>68</v>
      </c>
      <c r="E1028" s="5" t="n">
        <v>45675.39</v>
      </c>
      <c r="F1028" s="4" t="s">
        <v>17</v>
      </c>
    </row>
    <row r="1029" customFormat="false" ht="15" hidden="false" customHeight="false" outlineLevel="0" collapsed="false">
      <c r="A1029" s="4" t="s">
        <v>1377</v>
      </c>
      <c r="B1029" s="4" t="s">
        <v>1356</v>
      </c>
      <c r="C1029" s="4" t="s">
        <v>32</v>
      </c>
      <c r="D1029" s="4" t="s">
        <v>33</v>
      </c>
      <c r="E1029" s="5" t="n">
        <v>49661.75</v>
      </c>
      <c r="F1029" s="4" t="s">
        <v>17</v>
      </c>
    </row>
    <row r="1030" customFormat="false" ht="15" hidden="false" customHeight="false" outlineLevel="0" collapsed="false">
      <c r="A1030" s="4" t="s">
        <v>1378</v>
      </c>
      <c r="B1030" s="4" t="s">
        <v>1360</v>
      </c>
      <c r="C1030" s="4" t="s">
        <v>94</v>
      </c>
      <c r="D1030" s="4" t="s">
        <v>68</v>
      </c>
      <c r="E1030" s="5" t="n">
        <v>10125.67</v>
      </c>
      <c r="F1030" s="4" t="s">
        <v>17</v>
      </c>
    </row>
    <row r="1031" customFormat="false" ht="15" hidden="false" customHeight="false" outlineLevel="0" collapsed="false">
      <c r="A1031" s="4" t="s">
        <v>1379</v>
      </c>
      <c r="B1031" s="4" t="s">
        <v>1338</v>
      </c>
      <c r="C1031" s="4" t="s">
        <v>67</v>
      </c>
      <c r="D1031" s="4" t="s">
        <v>68</v>
      </c>
      <c r="E1031" s="5" t="n">
        <v>25521.35</v>
      </c>
      <c r="F1031" s="4" t="s">
        <v>17</v>
      </c>
    </row>
    <row r="1032" customFormat="false" ht="15" hidden="false" customHeight="false" outlineLevel="0" collapsed="false">
      <c r="A1032" s="4" t="s">
        <v>1380</v>
      </c>
      <c r="B1032" s="4" t="s">
        <v>1356</v>
      </c>
      <c r="C1032" s="4" t="s">
        <v>41</v>
      </c>
      <c r="D1032" s="4" t="s">
        <v>16</v>
      </c>
      <c r="E1032" s="5" t="n">
        <v>55018.51</v>
      </c>
      <c r="F1032" s="4" t="s">
        <v>17</v>
      </c>
    </row>
    <row r="1033" customFormat="false" ht="15" hidden="false" customHeight="false" outlineLevel="0" collapsed="false">
      <c r="A1033" s="4" t="s">
        <v>1381</v>
      </c>
      <c r="B1033" s="4" t="s">
        <v>1351</v>
      </c>
      <c r="C1033" s="4" t="s">
        <v>67</v>
      </c>
      <c r="D1033" s="4" t="s">
        <v>68</v>
      </c>
      <c r="E1033" s="5" t="n">
        <v>1629.3</v>
      </c>
      <c r="F1033" s="4" t="s">
        <v>17</v>
      </c>
    </row>
    <row r="1034" customFormat="false" ht="15" hidden="false" customHeight="false" outlineLevel="0" collapsed="false">
      <c r="A1034" s="4" t="s">
        <v>1382</v>
      </c>
      <c r="B1034" s="4" t="s">
        <v>1340</v>
      </c>
      <c r="C1034" s="4" t="s">
        <v>24</v>
      </c>
      <c r="D1034" s="4" t="s">
        <v>25</v>
      </c>
      <c r="E1034" s="5" t="n">
        <v>20937.68</v>
      </c>
      <c r="F1034" s="4" t="s">
        <v>17</v>
      </c>
    </row>
    <row r="1035" customFormat="false" ht="15" hidden="false" customHeight="false" outlineLevel="0" collapsed="false">
      <c r="A1035" s="4" t="s">
        <v>1383</v>
      </c>
      <c r="B1035" s="4" t="s">
        <v>1326</v>
      </c>
      <c r="C1035" s="4" t="s">
        <v>15</v>
      </c>
      <c r="D1035" s="4" t="s">
        <v>16</v>
      </c>
      <c r="E1035" s="5" t="n">
        <v>17088.46</v>
      </c>
      <c r="F1035" s="4" t="s">
        <v>17</v>
      </c>
    </row>
    <row r="1036" customFormat="false" ht="15" hidden="false" customHeight="false" outlineLevel="0" collapsed="false">
      <c r="A1036" s="4" t="s">
        <v>1384</v>
      </c>
      <c r="B1036" s="4" t="s">
        <v>1334</v>
      </c>
      <c r="C1036" s="4" t="s">
        <v>62</v>
      </c>
      <c r="D1036" s="4" t="s">
        <v>38</v>
      </c>
      <c r="E1036" s="5" t="n">
        <v>65342.85</v>
      </c>
      <c r="F1036" s="4" t="s">
        <v>38</v>
      </c>
    </row>
    <row r="1037" customFormat="false" ht="15" hidden="false" customHeight="false" outlineLevel="0" collapsed="false">
      <c r="A1037" s="4" t="s">
        <v>1385</v>
      </c>
      <c r="B1037" s="4" t="s">
        <v>1360</v>
      </c>
      <c r="C1037" s="4" t="s">
        <v>36</v>
      </c>
      <c r="D1037" s="4" t="s">
        <v>37</v>
      </c>
      <c r="E1037" s="5" t="n">
        <v>21680.19</v>
      </c>
      <c r="F1037" s="4" t="s">
        <v>38</v>
      </c>
    </row>
    <row r="1038" customFormat="false" ht="15" hidden="false" customHeight="false" outlineLevel="0" collapsed="false">
      <c r="A1038" s="4" t="s">
        <v>1386</v>
      </c>
      <c r="B1038" s="4" t="s">
        <v>1362</v>
      </c>
      <c r="C1038" s="4" t="s">
        <v>54</v>
      </c>
      <c r="D1038" s="4" t="s">
        <v>21</v>
      </c>
      <c r="E1038" s="5" t="n">
        <v>32911.83</v>
      </c>
      <c r="F1038" s="4" t="s">
        <v>17</v>
      </c>
    </row>
    <row r="1039" customFormat="false" ht="15" hidden="false" customHeight="false" outlineLevel="0" collapsed="false">
      <c r="A1039" s="4" t="s">
        <v>1387</v>
      </c>
      <c r="B1039" s="4" t="s">
        <v>1388</v>
      </c>
      <c r="C1039" s="4" t="s">
        <v>24</v>
      </c>
      <c r="D1039" s="4" t="s">
        <v>25</v>
      </c>
      <c r="E1039" s="5" t="n">
        <v>46783.83</v>
      </c>
      <c r="F1039" s="4" t="s">
        <v>17</v>
      </c>
    </row>
    <row r="1040" customFormat="false" ht="15" hidden="false" customHeight="false" outlineLevel="0" collapsed="false">
      <c r="A1040" s="4" t="s">
        <v>1389</v>
      </c>
      <c r="B1040" s="4" t="s">
        <v>1326</v>
      </c>
      <c r="C1040" s="4" t="s">
        <v>32</v>
      </c>
      <c r="D1040" s="4" t="s">
        <v>33</v>
      </c>
      <c r="E1040" s="5" t="n">
        <v>41186.93</v>
      </c>
      <c r="F1040" s="4" t="s">
        <v>17</v>
      </c>
    </row>
    <row r="1041" customFormat="false" ht="15" hidden="false" customHeight="false" outlineLevel="0" collapsed="false">
      <c r="A1041" s="4" t="s">
        <v>1390</v>
      </c>
      <c r="B1041" s="4" t="s">
        <v>1358</v>
      </c>
      <c r="C1041" s="4" t="s">
        <v>67</v>
      </c>
      <c r="D1041" s="4" t="s">
        <v>68</v>
      </c>
      <c r="E1041" s="5" t="n">
        <v>51708.87</v>
      </c>
      <c r="F1041" s="4" t="s">
        <v>17</v>
      </c>
    </row>
    <row r="1042" customFormat="false" ht="15" hidden="false" customHeight="false" outlineLevel="0" collapsed="false">
      <c r="A1042" s="4" t="s">
        <v>1391</v>
      </c>
      <c r="B1042" s="4" t="s">
        <v>1392</v>
      </c>
      <c r="C1042" s="4" t="s">
        <v>45</v>
      </c>
      <c r="D1042" s="4" t="s">
        <v>38</v>
      </c>
      <c r="E1042" s="5" t="n">
        <v>10176.71</v>
      </c>
      <c r="F1042" s="4" t="s">
        <v>38</v>
      </c>
    </row>
    <row r="1043" customFormat="false" ht="15" hidden="false" customHeight="false" outlineLevel="0" collapsed="false">
      <c r="A1043" s="4" t="s">
        <v>1393</v>
      </c>
      <c r="B1043" s="4" t="s">
        <v>1394</v>
      </c>
      <c r="C1043" s="4" t="s">
        <v>45</v>
      </c>
      <c r="D1043" s="4" t="s">
        <v>38</v>
      </c>
      <c r="E1043" s="5" t="n">
        <v>26621.9</v>
      </c>
      <c r="F1043" s="4" t="s">
        <v>38</v>
      </c>
    </row>
    <row r="1044" customFormat="false" ht="15" hidden="false" customHeight="false" outlineLevel="0" collapsed="false">
      <c r="A1044" s="4" t="s">
        <v>1395</v>
      </c>
      <c r="B1044" s="4" t="s">
        <v>1396</v>
      </c>
      <c r="C1044" s="4" t="s">
        <v>15</v>
      </c>
      <c r="D1044" s="4" t="s">
        <v>16</v>
      </c>
      <c r="E1044" s="5" t="n">
        <v>48766.4</v>
      </c>
      <c r="F1044" s="4" t="s">
        <v>17</v>
      </c>
    </row>
    <row r="1045" customFormat="false" ht="15" hidden="false" customHeight="false" outlineLevel="0" collapsed="false">
      <c r="A1045" s="4" t="s">
        <v>1397</v>
      </c>
      <c r="B1045" s="4" t="s">
        <v>1353</v>
      </c>
      <c r="C1045" s="4" t="s">
        <v>36</v>
      </c>
      <c r="D1045" s="4" t="s">
        <v>37</v>
      </c>
      <c r="E1045" s="5" t="n">
        <v>60766.28</v>
      </c>
      <c r="F1045" s="4" t="s">
        <v>38</v>
      </c>
    </row>
    <row r="1046" customFormat="false" ht="15" hidden="false" customHeight="false" outlineLevel="0" collapsed="false">
      <c r="A1046" s="4" t="s">
        <v>1398</v>
      </c>
      <c r="B1046" s="4" t="s">
        <v>1358</v>
      </c>
      <c r="C1046" s="4" t="s">
        <v>36</v>
      </c>
      <c r="D1046" s="4" t="s">
        <v>37</v>
      </c>
      <c r="E1046" s="5" t="n">
        <v>38361.99</v>
      </c>
      <c r="F1046" s="4" t="s">
        <v>38</v>
      </c>
    </row>
    <row r="1047" customFormat="false" ht="15" hidden="false" customHeight="false" outlineLevel="0" collapsed="false">
      <c r="A1047" s="4" t="s">
        <v>1399</v>
      </c>
      <c r="B1047" s="4" t="s">
        <v>1400</v>
      </c>
      <c r="C1047" s="4" t="s">
        <v>20</v>
      </c>
      <c r="D1047" s="4" t="s">
        <v>21</v>
      </c>
      <c r="E1047" s="5" t="n">
        <v>61763.83</v>
      </c>
      <c r="F1047" s="4" t="s">
        <v>17</v>
      </c>
    </row>
    <row r="1048" customFormat="false" ht="15" hidden="false" customHeight="false" outlineLevel="0" collapsed="false">
      <c r="A1048" s="4" t="s">
        <v>1401</v>
      </c>
      <c r="B1048" s="4" t="s">
        <v>1373</v>
      </c>
      <c r="C1048" s="4" t="s">
        <v>45</v>
      </c>
      <c r="D1048" s="4" t="s">
        <v>38</v>
      </c>
      <c r="E1048" s="5" t="n">
        <v>34158.58</v>
      </c>
      <c r="F1048" s="4" t="s">
        <v>38</v>
      </c>
    </row>
    <row r="1049" customFormat="false" ht="15" hidden="false" customHeight="false" outlineLevel="0" collapsed="false">
      <c r="A1049" s="4" t="s">
        <v>1402</v>
      </c>
      <c r="B1049" s="4" t="s">
        <v>1326</v>
      </c>
      <c r="C1049" s="4" t="s">
        <v>54</v>
      </c>
      <c r="D1049" s="4" t="s">
        <v>21</v>
      </c>
      <c r="E1049" s="5" t="n">
        <v>30623.97</v>
      </c>
      <c r="F1049" s="4" t="s">
        <v>17</v>
      </c>
    </row>
    <row r="1050" customFormat="false" ht="15" hidden="false" customHeight="false" outlineLevel="0" collapsed="false">
      <c r="A1050" s="4" t="s">
        <v>1403</v>
      </c>
      <c r="B1050" s="4" t="s">
        <v>1373</v>
      </c>
      <c r="C1050" s="4" t="s">
        <v>15</v>
      </c>
      <c r="D1050" s="4" t="s">
        <v>16</v>
      </c>
      <c r="E1050" s="5" t="n">
        <v>15979.55</v>
      </c>
      <c r="F1050" s="4" t="s">
        <v>17</v>
      </c>
    </row>
    <row r="1051" customFormat="false" ht="15" hidden="false" customHeight="false" outlineLevel="0" collapsed="false">
      <c r="A1051" s="4" t="s">
        <v>1404</v>
      </c>
      <c r="B1051" s="4" t="s">
        <v>1362</v>
      </c>
      <c r="C1051" s="4" t="s">
        <v>45</v>
      </c>
      <c r="D1051" s="4" t="s">
        <v>38</v>
      </c>
      <c r="E1051" s="5" t="n">
        <v>45142.74</v>
      </c>
      <c r="F1051" s="4" t="s">
        <v>38</v>
      </c>
    </row>
    <row r="1052" customFormat="false" ht="15" hidden="false" customHeight="false" outlineLevel="0" collapsed="false">
      <c r="A1052" s="4" t="s">
        <v>1405</v>
      </c>
      <c r="B1052" s="4" t="s">
        <v>1392</v>
      </c>
      <c r="C1052" s="4" t="s">
        <v>32</v>
      </c>
      <c r="D1052" s="4" t="s">
        <v>33</v>
      </c>
      <c r="E1052" s="5" t="n">
        <v>41830.35</v>
      </c>
      <c r="F1052" s="4" t="s">
        <v>17</v>
      </c>
    </row>
    <row r="1053" customFormat="false" ht="15" hidden="false" customHeight="false" outlineLevel="0" collapsed="false">
      <c r="A1053" s="4" t="s">
        <v>1406</v>
      </c>
      <c r="B1053" s="4" t="s">
        <v>1347</v>
      </c>
      <c r="C1053" s="4" t="s">
        <v>20</v>
      </c>
      <c r="D1053" s="4" t="s">
        <v>21</v>
      </c>
      <c r="E1053" s="5" t="n">
        <v>66068.93</v>
      </c>
      <c r="F1053" s="4" t="s">
        <v>17</v>
      </c>
    </row>
    <row r="1054" customFormat="false" ht="15" hidden="false" customHeight="false" outlineLevel="0" collapsed="false">
      <c r="A1054" s="4" t="s">
        <v>1407</v>
      </c>
      <c r="B1054" s="4" t="s">
        <v>1368</v>
      </c>
      <c r="C1054" s="4" t="s">
        <v>36</v>
      </c>
      <c r="D1054" s="4" t="s">
        <v>37</v>
      </c>
      <c r="E1054" s="5" t="n">
        <v>31855.36</v>
      </c>
      <c r="F1054" s="4" t="s">
        <v>38</v>
      </c>
    </row>
    <row r="1055" customFormat="false" ht="15" hidden="false" customHeight="false" outlineLevel="0" collapsed="false">
      <c r="A1055" s="4" t="s">
        <v>1408</v>
      </c>
      <c r="B1055" s="4" t="s">
        <v>1345</v>
      </c>
      <c r="C1055" s="4" t="s">
        <v>101</v>
      </c>
      <c r="D1055" s="4" t="s">
        <v>33</v>
      </c>
      <c r="E1055" s="5" t="n">
        <v>4274.36</v>
      </c>
      <c r="F1055" s="4" t="s">
        <v>17</v>
      </c>
    </row>
    <row r="1056" customFormat="false" ht="15" hidden="false" customHeight="false" outlineLevel="0" collapsed="false">
      <c r="A1056" s="4" t="s">
        <v>1409</v>
      </c>
      <c r="B1056" s="4" t="s">
        <v>1364</v>
      </c>
      <c r="C1056" s="4" t="s">
        <v>45</v>
      </c>
      <c r="D1056" s="4" t="s">
        <v>38</v>
      </c>
      <c r="E1056" s="5" t="n">
        <v>16450.84</v>
      </c>
      <c r="F1056" s="4" t="s">
        <v>38</v>
      </c>
    </row>
    <row r="1057" customFormat="false" ht="15" hidden="false" customHeight="false" outlineLevel="0" collapsed="false">
      <c r="A1057" s="4" t="s">
        <v>1410</v>
      </c>
      <c r="B1057" s="4" t="s">
        <v>1364</v>
      </c>
      <c r="C1057" s="4" t="s">
        <v>62</v>
      </c>
      <c r="D1057" s="4" t="s">
        <v>38</v>
      </c>
      <c r="E1057" s="5" t="n">
        <v>9274.45</v>
      </c>
      <c r="F1057" s="4" t="s">
        <v>38</v>
      </c>
    </row>
    <row r="1058" customFormat="false" ht="15" hidden="false" customHeight="false" outlineLevel="0" collapsed="false">
      <c r="A1058" s="4" t="s">
        <v>1411</v>
      </c>
      <c r="B1058" s="4" t="s">
        <v>1345</v>
      </c>
      <c r="C1058" s="4" t="s">
        <v>62</v>
      </c>
      <c r="D1058" s="4" t="s">
        <v>38</v>
      </c>
      <c r="E1058" s="5" t="n">
        <v>24215.24</v>
      </c>
      <c r="F1058" s="4" t="s">
        <v>38</v>
      </c>
    </row>
    <row r="1059" customFormat="false" ht="15" hidden="false" customHeight="false" outlineLevel="0" collapsed="false">
      <c r="A1059" s="4" t="s">
        <v>1412</v>
      </c>
      <c r="B1059" s="4" t="s">
        <v>1396</v>
      </c>
      <c r="C1059" s="4" t="s">
        <v>67</v>
      </c>
      <c r="D1059" s="4" t="s">
        <v>68</v>
      </c>
      <c r="E1059" s="5" t="n">
        <v>63304.62</v>
      </c>
      <c r="F1059" s="4" t="s">
        <v>17</v>
      </c>
    </row>
    <row r="1060" customFormat="false" ht="15" hidden="false" customHeight="false" outlineLevel="0" collapsed="false">
      <c r="A1060" s="4" t="s">
        <v>1413</v>
      </c>
      <c r="B1060" s="4" t="s">
        <v>1396</v>
      </c>
      <c r="C1060" s="4" t="s">
        <v>15</v>
      </c>
      <c r="D1060" s="4" t="s">
        <v>16</v>
      </c>
      <c r="E1060" s="5" t="n">
        <v>44405.83</v>
      </c>
      <c r="F1060" s="4" t="s">
        <v>17</v>
      </c>
    </row>
    <row r="1061" customFormat="false" ht="15" hidden="false" customHeight="false" outlineLevel="0" collapsed="false">
      <c r="A1061" s="4" t="s">
        <v>1414</v>
      </c>
      <c r="B1061" s="4" t="s">
        <v>1347</v>
      </c>
      <c r="C1061" s="4" t="s">
        <v>45</v>
      </c>
      <c r="D1061" s="4" t="s">
        <v>38</v>
      </c>
      <c r="E1061" s="5" t="n">
        <v>56581.9</v>
      </c>
      <c r="F1061" s="4" t="s">
        <v>38</v>
      </c>
    </row>
    <row r="1062" customFormat="false" ht="15" hidden="false" customHeight="false" outlineLevel="0" collapsed="false">
      <c r="A1062" s="4" t="s">
        <v>1415</v>
      </c>
      <c r="B1062" s="4" t="s">
        <v>1353</v>
      </c>
      <c r="C1062" s="4" t="s">
        <v>94</v>
      </c>
      <c r="D1062" s="4" t="s">
        <v>68</v>
      </c>
      <c r="E1062" s="5" t="n">
        <v>9045.7</v>
      </c>
      <c r="F1062" s="4" t="s">
        <v>17</v>
      </c>
    </row>
    <row r="1063" customFormat="false" ht="15" hidden="false" customHeight="false" outlineLevel="0" collapsed="false">
      <c r="A1063" s="4" t="s">
        <v>1416</v>
      </c>
      <c r="B1063" s="4" t="s">
        <v>1336</v>
      </c>
      <c r="C1063" s="4" t="s">
        <v>24</v>
      </c>
      <c r="D1063" s="4" t="s">
        <v>25</v>
      </c>
      <c r="E1063" s="5" t="n">
        <v>3536.3</v>
      </c>
      <c r="F1063" s="4" t="s">
        <v>17</v>
      </c>
    </row>
    <row r="1064" customFormat="false" ht="15" hidden="false" customHeight="false" outlineLevel="0" collapsed="false">
      <c r="A1064" s="4" t="s">
        <v>1417</v>
      </c>
      <c r="B1064" s="4" t="s">
        <v>1356</v>
      </c>
      <c r="C1064" s="4" t="s">
        <v>24</v>
      </c>
      <c r="D1064" s="4" t="s">
        <v>25</v>
      </c>
      <c r="E1064" s="5" t="n">
        <v>28282.19</v>
      </c>
      <c r="F1064" s="4" t="s">
        <v>17</v>
      </c>
    </row>
    <row r="1065" customFormat="false" ht="15" hidden="false" customHeight="false" outlineLevel="0" collapsed="false">
      <c r="A1065" s="4" t="s">
        <v>1418</v>
      </c>
      <c r="B1065" s="4" t="s">
        <v>1347</v>
      </c>
      <c r="C1065" s="4" t="s">
        <v>54</v>
      </c>
      <c r="D1065" s="4" t="s">
        <v>21</v>
      </c>
      <c r="E1065" s="5" t="n">
        <v>46542.83</v>
      </c>
      <c r="F1065" s="4" t="s">
        <v>17</v>
      </c>
    </row>
    <row r="1066" customFormat="false" ht="15" hidden="false" customHeight="false" outlineLevel="0" collapsed="false">
      <c r="A1066" s="4" t="s">
        <v>1419</v>
      </c>
      <c r="B1066" s="4" t="s">
        <v>1332</v>
      </c>
      <c r="C1066" s="4" t="s">
        <v>24</v>
      </c>
      <c r="D1066" s="4" t="s">
        <v>25</v>
      </c>
      <c r="E1066" s="5" t="n">
        <v>43639.83</v>
      </c>
      <c r="F1066" s="4" t="s">
        <v>17</v>
      </c>
    </row>
    <row r="1067" customFormat="false" ht="15" hidden="false" customHeight="false" outlineLevel="0" collapsed="false">
      <c r="A1067" s="4" t="s">
        <v>1420</v>
      </c>
      <c r="B1067" s="4" t="s">
        <v>1396</v>
      </c>
      <c r="C1067" s="4" t="s">
        <v>62</v>
      </c>
      <c r="D1067" s="4" t="s">
        <v>38</v>
      </c>
      <c r="E1067" s="5" t="n">
        <v>59778.79</v>
      </c>
      <c r="F1067" s="4" t="s">
        <v>38</v>
      </c>
    </row>
    <row r="1068" customFormat="false" ht="15" hidden="false" customHeight="false" outlineLevel="0" collapsed="false">
      <c r="A1068" s="4" t="s">
        <v>1421</v>
      </c>
      <c r="B1068" s="4" t="s">
        <v>1342</v>
      </c>
      <c r="C1068" s="4" t="s">
        <v>62</v>
      </c>
      <c r="D1068" s="4" t="s">
        <v>38</v>
      </c>
      <c r="E1068" s="5" t="n">
        <v>35414.92</v>
      </c>
      <c r="F1068" s="4" t="s">
        <v>38</v>
      </c>
    </row>
    <row r="1069" customFormat="false" ht="15" hidden="false" customHeight="false" outlineLevel="0" collapsed="false">
      <c r="A1069" s="4" t="s">
        <v>1422</v>
      </c>
      <c r="B1069" s="4" t="s">
        <v>1332</v>
      </c>
      <c r="C1069" s="4" t="s">
        <v>32</v>
      </c>
      <c r="D1069" s="4" t="s">
        <v>33</v>
      </c>
      <c r="E1069" s="5" t="n">
        <v>61826.98</v>
      </c>
      <c r="F1069" s="4" t="s">
        <v>17</v>
      </c>
    </row>
    <row r="1070" customFormat="false" ht="15" hidden="false" customHeight="false" outlineLevel="0" collapsed="false">
      <c r="A1070" s="4" t="s">
        <v>1423</v>
      </c>
      <c r="B1070" s="4" t="s">
        <v>1347</v>
      </c>
      <c r="C1070" s="4" t="s">
        <v>20</v>
      </c>
      <c r="D1070" s="4" t="s">
        <v>21</v>
      </c>
      <c r="E1070" s="5" t="n">
        <v>43897.74</v>
      </c>
      <c r="F1070" s="4" t="s">
        <v>17</v>
      </c>
    </row>
    <row r="1071" customFormat="false" ht="15" hidden="false" customHeight="false" outlineLevel="0" collapsed="false">
      <c r="A1071" s="4" t="s">
        <v>1424</v>
      </c>
      <c r="B1071" s="4" t="s">
        <v>1362</v>
      </c>
      <c r="C1071" s="4" t="s">
        <v>24</v>
      </c>
      <c r="D1071" s="4" t="s">
        <v>25</v>
      </c>
      <c r="E1071" s="5" t="n">
        <v>27521.29</v>
      </c>
      <c r="F1071" s="4" t="s">
        <v>17</v>
      </c>
    </row>
    <row r="1072" customFormat="false" ht="15" hidden="false" customHeight="false" outlineLevel="0" collapsed="false">
      <c r="A1072" s="4" t="s">
        <v>1425</v>
      </c>
      <c r="B1072" s="4" t="s">
        <v>1364</v>
      </c>
      <c r="C1072" s="4" t="s">
        <v>41</v>
      </c>
      <c r="D1072" s="4" t="s">
        <v>16</v>
      </c>
      <c r="E1072" s="5" t="n">
        <v>25552.86</v>
      </c>
      <c r="F1072" s="4" t="s">
        <v>17</v>
      </c>
    </row>
    <row r="1073" customFormat="false" ht="15" hidden="false" customHeight="false" outlineLevel="0" collapsed="false">
      <c r="A1073" s="4" t="s">
        <v>1426</v>
      </c>
      <c r="B1073" s="4" t="s">
        <v>1394</v>
      </c>
      <c r="C1073" s="4" t="s">
        <v>94</v>
      </c>
      <c r="D1073" s="4" t="s">
        <v>68</v>
      </c>
      <c r="E1073" s="5" t="n">
        <v>41463.22</v>
      </c>
      <c r="F1073" s="4" t="s">
        <v>17</v>
      </c>
    </row>
    <row r="1074" customFormat="false" ht="15" hidden="false" customHeight="false" outlineLevel="0" collapsed="false">
      <c r="A1074" s="4" t="s">
        <v>1427</v>
      </c>
      <c r="B1074" s="4" t="s">
        <v>1334</v>
      </c>
      <c r="C1074" s="4" t="s">
        <v>32</v>
      </c>
      <c r="D1074" s="4" t="s">
        <v>33</v>
      </c>
      <c r="E1074" s="5" t="n">
        <v>40304.69</v>
      </c>
      <c r="F1074" s="4" t="s">
        <v>17</v>
      </c>
    </row>
    <row r="1075" customFormat="false" ht="15" hidden="false" customHeight="false" outlineLevel="0" collapsed="false">
      <c r="A1075" s="4" t="s">
        <v>1428</v>
      </c>
      <c r="B1075" s="4" t="s">
        <v>1330</v>
      </c>
      <c r="C1075" s="4" t="s">
        <v>15</v>
      </c>
      <c r="D1075" s="4" t="s">
        <v>16</v>
      </c>
      <c r="E1075" s="5" t="n">
        <v>46339.1</v>
      </c>
      <c r="F1075" s="4" t="s">
        <v>17</v>
      </c>
    </row>
    <row r="1076" customFormat="false" ht="15" hidden="false" customHeight="false" outlineLevel="0" collapsed="false">
      <c r="A1076" s="4" t="s">
        <v>1429</v>
      </c>
      <c r="B1076" s="4" t="s">
        <v>1430</v>
      </c>
      <c r="C1076" s="4" t="s">
        <v>94</v>
      </c>
      <c r="D1076" s="4" t="s">
        <v>68</v>
      </c>
      <c r="E1076" s="5" t="n">
        <v>3567.93</v>
      </c>
      <c r="F1076" s="4" t="s">
        <v>17</v>
      </c>
    </row>
    <row r="1077" customFormat="false" ht="15" hidden="false" customHeight="false" outlineLevel="0" collapsed="false">
      <c r="A1077" s="4" t="s">
        <v>1431</v>
      </c>
      <c r="B1077" s="4" t="s">
        <v>1338</v>
      </c>
      <c r="C1077" s="4" t="s">
        <v>32</v>
      </c>
      <c r="D1077" s="4" t="s">
        <v>33</v>
      </c>
      <c r="E1077" s="5" t="n">
        <v>35851.38</v>
      </c>
      <c r="F1077" s="4" t="s">
        <v>17</v>
      </c>
    </row>
    <row r="1078" customFormat="false" ht="15" hidden="false" customHeight="false" outlineLevel="0" collapsed="false">
      <c r="A1078" s="4" t="s">
        <v>1432</v>
      </c>
      <c r="B1078" s="4" t="s">
        <v>1351</v>
      </c>
      <c r="C1078" s="4" t="s">
        <v>67</v>
      </c>
      <c r="D1078" s="4" t="s">
        <v>68</v>
      </c>
      <c r="E1078" s="5" t="n">
        <v>61110.96</v>
      </c>
      <c r="F1078" s="4" t="s">
        <v>17</v>
      </c>
    </row>
    <row r="1079" customFormat="false" ht="15" hidden="false" customHeight="false" outlineLevel="0" collapsed="false">
      <c r="A1079" s="4" t="s">
        <v>1433</v>
      </c>
      <c r="B1079" s="4" t="s">
        <v>1328</v>
      </c>
      <c r="C1079" s="4" t="s">
        <v>101</v>
      </c>
      <c r="D1079" s="4" t="s">
        <v>33</v>
      </c>
      <c r="E1079" s="5" t="n">
        <v>66478.56</v>
      </c>
      <c r="F1079" s="4" t="s">
        <v>17</v>
      </c>
    </row>
    <row r="1080" customFormat="false" ht="15" hidden="false" customHeight="false" outlineLevel="0" collapsed="false">
      <c r="A1080" s="4" t="s">
        <v>1434</v>
      </c>
      <c r="B1080" s="4" t="s">
        <v>1392</v>
      </c>
      <c r="C1080" s="4" t="s">
        <v>45</v>
      </c>
      <c r="D1080" s="4" t="s">
        <v>38</v>
      </c>
      <c r="E1080" s="5" t="n">
        <v>65575.01</v>
      </c>
      <c r="F1080" s="4" t="s">
        <v>38</v>
      </c>
    </row>
    <row r="1081" customFormat="false" ht="15" hidden="false" customHeight="false" outlineLevel="0" collapsed="false">
      <c r="A1081" s="4" t="s">
        <v>1435</v>
      </c>
      <c r="B1081" s="4" t="s">
        <v>1353</v>
      </c>
      <c r="C1081" s="4" t="s">
        <v>62</v>
      </c>
      <c r="D1081" s="4" t="s">
        <v>38</v>
      </c>
      <c r="E1081" s="5" t="n">
        <v>14615.12</v>
      </c>
      <c r="F1081" s="4" t="s">
        <v>38</v>
      </c>
    </row>
    <row r="1082" customFormat="false" ht="15" hidden="false" customHeight="false" outlineLevel="0" collapsed="false">
      <c r="A1082" s="4" t="s">
        <v>1436</v>
      </c>
      <c r="B1082" s="4" t="s">
        <v>1360</v>
      </c>
      <c r="C1082" s="4" t="s">
        <v>24</v>
      </c>
      <c r="D1082" s="4" t="s">
        <v>25</v>
      </c>
      <c r="E1082" s="5" t="n">
        <v>20060.48</v>
      </c>
      <c r="F1082" s="4" t="s">
        <v>17</v>
      </c>
    </row>
    <row r="1083" customFormat="false" ht="15" hidden="false" customHeight="false" outlineLevel="0" collapsed="false">
      <c r="A1083" s="4" t="s">
        <v>1437</v>
      </c>
      <c r="B1083" s="4" t="s">
        <v>1326</v>
      </c>
      <c r="C1083" s="4" t="s">
        <v>24</v>
      </c>
      <c r="D1083" s="4" t="s">
        <v>25</v>
      </c>
      <c r="E1083" s="5" t="n">
        <v>61039.25</v>
      </c>
      <c r="F1083" s="4" t="s">
        <v>17</v>
      </c>
    </row>
    <row r="1084" customFormat="false" ht="15" hidden="false" customHeight="false" outlineLevel="0" collapsed="false">
      <c r="A1084" s="4" t="s">
        <v>1438</v>
      </c>
      <c r="B1084" s="4" t="s">
        <v>1328</v>
      </c>
      <c r="C1084" s="4" t="s">
        <v>24</v>
      </c>
      <c r="D1084" s="4" t="s">
        <v>25</v>
      </c>
      <c r="E1084" s="5" t="n">
        <v>44650.58</v>
      </c>
      <c r="F1084" s="4" t="s">
        <v>17</v>
      </c>
    </row>
    <row r="1085" customFormat="false" ht="15" hidden="false" customHeight="false" outlineLevel="0" collapsed="false">
      <c r="A1085" s="4" t="s">
        <v>1439</v>
      </c>
      <c r="B1085" s="4" t="s">
        <v>1388</v>
      </c>
      <c r="C1085" s="4" t="s">
        <v>62</v>
      </c>
      <c r="D1085" s="4" t="s">
        <v>38</v>
      </c>
      <c r="E1085" s="5" t="n">
        <v>51758.15</v>
      </c>
      <c r="F1085" s="4" t="s">
        <v>38</v>
      </c>
    </row>
    <row r="1086" customFormat="false" ht="15" hidden="false" customHeight="false" outlineLevel="0" collapsed="false">
      <c r="A1086" s="4" t="s">
        <v>1440</v>
      </c>
      <c r="B1086" s="4" t="s">
        <v>1394</v>
      </c>
      <c r="C1086" s="4" t="s">
        <v>62</v>
      </c>
      <c r="D1086" s="4" t="s">
        <v>38</v>
      </c>
      <c r="E1086" s="5" t="n">
        <v>19254.17</v>
      </c>
      <c r="F1086" s="4" t="s">
        <v>38</v>
      </c>
    </row>
    <row r="1087" customFormat="false" ht="15" hidden="false" customHeight="false" outlineLevel="0" collapsed="false">
      <c r="A1087" s="4" t="s">
        <v>1441</v>
      </c>
      <c r="B1087" s="4" t="s">
        <v>1345</v>
      </c>
      <c r="C1087" s="4" t="s">
        <v>41</v>
      </c>
      <c r="D1087" s="4" t="s">
        <v>16</v>
      </c>
      <c r="E1087" s="5" t="n">
        <v>31436.68</v>
      </c>
      <c r="F1087" s="4" t="s">
        <v>17</v>
      </c>
    </row>
    <row r="1088" customFormat="false" ht="15" hidden="false" customHeight="false" outlineLevel="0" collapsed="false">
      <c r="A1088" s="4" t="s">
        <v>1442</v>
      </c>
      <c r="B1088" s="4" t="s">
        <v>1430</v>
      </c>
      <c r="C1088" s="4" t="s">
        <v>54</v>
      </c>
      <c r="D1088" s="4" t="s">
        <v>21</v>
      </c>
      <c r="E1088" s="5" t="n">
        <v>40966.52</v>
      </c>
      <c r="F1088" s="4" t="s">
        <v>17</v>
      </c>
    </row>
    <row r="1089" customFormat="false" ht="15" hidden="false" customHeight="false" outlineLevel="0" collapsed="false">
      <c r="A1089" s="4" t="s">
        <v>1443</v>
      </c>
      <c r="B1089" s="4" t="s">
        <v>1345</v>
      </c>
      <c r="C1089" s="4" t="s">
        <v>45</v>
      </c>
      <c r="D1089" s="4" t="s">
        <v>38</v>
      </c>
      <c r="E1089" s="5" t="n">
        <v>32620.94</v>
      </c>
      <c r="F1089" s="4" t="s">
        <v>38</v>
      </c>
    </row>
    <row r="1090" customFormat="false" ht="15" hidden="false" customHeight="false" outlineLevel="0" collapsed="false">
      <c r="A1090" s="4" t="s">
        <v>1444</v>
      </c>
      <c r="B1090" s="4" t="s">
        <v>1396</v>
      </c>
      <c r="C1090" s="4" t="s">
        <v>20</v>
      </c>
      <c r="D1090" s="4" t="s">
        <v>21</v>
      </c>
      <c r="E1090" s="5" t="n">
        <v>37280.1</v>
      </c>
      <c r="F1090" s="4" t="s">
        <v>17</v>
      </c>
    </row>
    <row r="1091" customFormat="false" ht="15" hidden="false" customHeight="false" outlineLevel="0" collapsed="false">
      <c r="A1091" s="4" t="s">
        <v>1445</v>
      </c>
      <c r="B1091" s="4" t="s">
        <v>1446</v>
      </c>
      <c r="C1091" s="4" t="s">
        <v>36</v>
      </c>
      <c r="D1091" s="4" t="s">
        <v>37</v>
      </c>
      <c r="E1091" s="5" t="n">
        <v>63154.05</v>
      </c>
      <c r="F1091" s="4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48"/>
    <col collapsed="false" customWidth="true" hidden="false" outlineLevel="0" max="3" min="3" style="0" width="18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1" t="s">
        <v>1447</v>
      </c>
    </row>
    <row r="4" customFormat="false" ht="15" hidden="false" customHeight="false" outlineLevel="0" collapsed="false">
      <c r="B4" s="6" t="s">
        <v>1448</v>
      </c>
      <c r="C4" s="7" t="n">
        <v>2450000</v>
      </c>
      <c r="D4" s="2" t="s">
        <v>1449</v>
      </c>
    </row>
    <row r="6" customFormat="false" ht="15" hidden="false" customHeight="false" outlineLevel="0" collapsed="false">
      <c r="B6" s="6" t="s">
        <v>1450</v>
      </c>
    </row>
    <row r="7" customFormat="false" ht="15" hidden="false" customHeight="false" outlineLevel="0" collapsed="false">
      <c r="B7" s="8" t="s">
        <v>1451</v>
      </c>
      <c r="C7" s="9" t="n">
        <f aca="false">SUMIFS(01_Adjustments_Ledger!E2:E1091,01_Adjustments_Ledger!D2:D1091,"Disallowed 50%",01_Adjustments_Ledger!F2:F1091,"Add")*0.5</f>
        <v>3057451.095</v>
      </c>
    </row>
    <row r="8" customFormat="false" ht="15" hidden="false" customHeight="false" outlineLevel="0" collapsed="false">
      <c r="B8" s="8" t="s">
        <v>1452</v>
      </c>
      <c r="C8" s="9" t="n">
        <f aca="false">SUMIFS(01_Adjustments_Ledger!E2:E1091,01_Adjustments_Ledger!D2:D1091,"Fully Disallowed",01_Adjustments_Ledger!F2:F1091,"Add")*1</f>
        <v>5638996.98</v>
      </c>
    </row>
    <row r="9" customFormat="false" ht="15" hidden="false" customHeight="false" outlineLevel="0" collapsed="false">
      <c r="B9" s="8" t="s">
        <v>1453</v>
      </c>
      <c r="C9" s="9" t="n">
        <f aca="false">SUMIFS(01_Adjustments_Ledger!E2:E1091,01_Adjustments_Ledger!D2:D1091,"Add Back",01_Adjustments_Ledger!F2:F1091,"Add")*1</f>
        <v>5959567.83</v>
      </c>
    </row>
    <row r="10" customFormat="false" ht="15" hidden="false" customHeight="false" outlineLevel="0" collapsed="false">
      <c r="B10" s="6" t="s">
        <v>1454</v>
      </c>
      <c r="C10" s="10" t="n">
        <f aca="false">SUM(C7:C9)</f>
        <v>14656015.905</v>
      </c>
    </row>
    <row r="12" customFormat="false" ht="15" hidden="false" customHeight="false" outlineLevel="0" collapsed="false">
      <c r="B12" s="6" t="s">
        <v>1455</v>
      </c>
    </row>
    <row r="13" customFormat="false" ht="15" hidden="false" customHeight="false" outlineLevel="0" collapsed="false">
      <c r="B13" s="8" t="s">
        <v>1456</v>
      </c>
      <c r="C13" s="9" t="n">
        <f aca="false">SUMIFS(01_Adjustments_Ledger!E2:E1091,01_Adjustments_Ledger!D2:D1091,"Deduct")</f>
        <v>7581262.03</v>
      </c>
    </row>
    <row r="14" customFormat="false" ht="15" hidden="false" customHeight="false" outlineLevel="0" collapsed="false">
      <c r="B14" s="8" t="s">
        <v>1457</v>
      </c>
      <c r="C14" s="9" t="n">
        <f aca="false">SUMIFS(01_Adjustments_Ledger!E2:E1091,01_Adjustments_Ledger!D2:D1091,"Exempt Income")</f>
        <v>5826889.43</v>
      </c>
    </row>
    <row r="15" customFormat="false" ht="15" hidden="false" customHeight="false" outlineLevel="0" collapsed="false">
      <c r="B15" s="6" t="s">
        <v>1458</v>
      </c>
      <c r="C15" s="10" t="n">
        <f aca="false">SUM(C13:C14)</f>
        <v>13408151.46</v>
      </c>
    </row>
    <row r="17" customFormat="false" ht="15" hidden="false" customHeight="false" outlineLevel="0" collapsed="false">
      <c r="B17" s="6" t="s">
        <v>1459</v>
      </c>
      <c r="C17" s="9" t="n">
        <f aca="false">SUMIFS(01_Adjustments_Ledger!E2:E1091,01_Adjustments_Ledger!D2:D1091,"Related Party Adj.")-SUMIFS(01_Adjustments_Ledger!E2:E1091,01_Adjustments_Ledger!D2:D1091,"Transfer Pricing Adj.")</f>
        <v>-405194.84</v>
      </c>
    </row>
    <row r="19" customFormat="false" ht="15" hidden="false" customHeight="false" outlineLevel="0" collapsed="false">
      <c r="B19" s="11" t="s">
        <v>1460</v>
      </c>
      <c r="C19" s="12" t="n">
        <f aca="false">C4+C10-C15+C17</f>
        <v>3292669.605</v>
      </c>
    </row>
    <row r="22" customFormat="false" ht="15" hidden="false" customHeight="false" outlineLevel="0" collapsed="false">
      <c r="B22" s="6" t="s">
        <v>1461</v>
      </c>
      <c r="C22" s="5" t="n">
        <v>375000</v>
      </c>
      <c r="D22" s="2" t="s">
        <v>1462</v>
      </c>
    </row>
    <row r="23" customFormat="false" ht="15" hidden="false" customHeight="false" outlineLevel="0" collapsed="false">
      <c r="B23" s="6" t="s">
        <v>1463</v>
      </c>
      <c r="C23" s="13" t="n">
        <v>0.09</v>
      </c>
    </row>
    <row r="25" customFormat="false" ht="15" hidden="false" customHeight="false" outlineLevel="0" collapsed="false">
      <c r="B25" s="14" t="s">
        <v>1464</v>
      </c>
      <c r="C25" s="9" t="n">
        <f aca="false">MIN(C19,C22)</f>
        <v>375000</v>
      </c>
    </row>
    <row r="26" customFormat="false" ht="15" hidden="false" customHeight="false" outlineLevel="0" collapsed="false">
      <c r="B26" s="14" t="s">
        <v>1465</v>
      </c>
      <c r="C26" s="9" t="n">
        <f aca="false">MAX(C19-C22,0)</f>
        <v>2917669.605</v>
      </c>
    </row>
    <row r="28" customFormat="false" ht="16.15" hidden="false" customHeight="false" outlineLevel="0" collapsed="false">
      <c r="B28" s="15" t="s">
        <v>1466</v>
      </c>
      <c r="C28" s="16" t="n">
        <f aca="false">C25*0+C26*C23</f>
        <v>262590.26445</v>
      </c>
    </row>
    <row r="29" customFormat="false" ht="15" hidden="false" customHeight="false" outlineLevel="0" collapsed="false">
      <c r="B29" s="6" t="s">
        <v>1467</v>
      </c>
      <c r="C29" s="17" t="n">
        <f aca="false">IFERROR(C28/C19,0)</f>
        <v>0.0797499585294711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2026-09-17T04:33:23Z</dcterms:created>
  <dc:creator>openpyxl</dc:creator>
  <dc:description/>
  <dc:language>en-US</dc:language>
  <cp:lastModifiedBy/>
  <dcterms:modified xsi:type="dcterms:W3CDTF">2026-09-17T04:33:23Z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