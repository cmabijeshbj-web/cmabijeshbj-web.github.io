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_Summary" sheetId="1" state="visible" r:id="rId3"/>
    <sheet name="CT_Computation" sheetId="2" state="visible" r:id="rId4"/>
    <sheet name="Rate_Reconciliation" sheetId="3" state="visible" r:id="rId5"/>
    <sheet name="Interest_Limitation" sheetId="4" state="visible" r:id="rId6"/>
    <sheet name="Adjustment_Summary" sheetId="5" state="visible" r:id="rId7"/>
    <sheet name="Sensitivity" sheetId="6" state="visible" r:id="rId8"/>
    <sheet name="Parameters" sheetId="7" state="visible" r:id="rId9"/>
    <sheet name="Treatment_Table" sheetId="8" state="visible" r:id="rId10"/>
    <sheet name="GL_Register" sheetId="9" state="visible" r:id="rId11"/>
    <sheet name="KPI_Dictionary" sheetId="10" state="visible" r:id="rId12"/>
    <sheet name="Checks" sheetId="11" state="visible" r:id="rId13"/>
  </sheets>
  <definedNames>
    <definedName function="false" hidden="true" localSheetId="8" name="_xlnm._FilterDatabase" vbProcedure="false">GL_Register!$A$5:$J$1092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<sst xmlns="http://schemas.openxmlformats.org/spreadsheetml/2006/main" count="6828" uniqueCount="1343">
  <si>
    <t xml:space="preserve">Meridian Gulf Trading LLC — UAE Corporate Tax Pack</t>
  </si>
  <si>
    <t xml:space="preserve">Illustrative taxable person · period FY2025 (1 Jan – 31 Dec 2025) · AED · mainland entity, not a Qualifying Free Zone Person</t>
  </si>
  <si>
    <t xml:space="preserve">Model status</t>
  </si>
  <si>
    <t xml:space="preserve">1 · HEADLINE KPIs</t>
  </si>
  <si>
    <t xml:space="preserve">Accounting profit before tax</t>
  </si>
  <si>
    <t xml:space="preserve">Total tax adjustments</t>
  </si>
  <si>
    <t xml:space="preserve">add-backs less exempt income</t>
  </si>
  <si>
    <t xml:space="preserve">Taxable income before losses</t>
  </si>
  <si>
    <t xml:space="preserve">Losses utilised</t>
  </si>
  <si>
    <t xml:space="preserve">capped at 75% of taxable income</t>
  </si>
  <si>
    <t xml:space="preserve">Taxable income</t>
  </si>
  <si>
    <t xml:space="preserve">NET CORPORATE TAX PAYABLE</t>
  </si>
  <si>
    <t xml:space="preserve">after foreign tax credit</t>
  </si>
  <si>
    <t xml:space="preserve">Effective tax rate on accounting profit</t>
  </si>
  <si>
    <t xml:space="preserve">vs 9.00% headline</t>
  </si>
  <si>
    <t xml:space="preserve">Tax saved by exempt income</t>
  </si>
  <si>
    <t xml:space="preserve">participation exemption × 9%</t>
  </si>
  <si>
    <t xml:space="preserve">Tax cost of non-deductible items</t>
  </si>
  <si>
    <t xml:space="preserve">policy leakage × 9%</t>
  </si>
  <si>
    <t xml:space="preserve">Interest headroom under the cap</t>
  </si>
  <si>
    <t xml:space="preserve">greater of 30% EBITDA and AED 12M</t>
  </si>
  <si>
    <t xml:space="preserve">Tax losses carried forward</t>
  </si>
  <si>
    <t xml:space="preserve">future tax shield</t>
  </si>
  <si>
    <t xml:space="preserve">Small Business Relief eligible?</t>
  </si>
  <si>
    <t xml:space="preserve">2 · PROFIT-TO-TAXABLE-INCOME BRIDGE</t>
  </si>
  <si>
    <t xml:space="preserve">Step</t>
  </si>
  <si>
    <t xml:space="preserve">Movement</t>
  </si>
  <si>
    <t xml:space="preserve">Cumulative</t>
  </si>
  <si>
    <t xml:space="preserve">Base (hidden)</t>
  </si>
  <si>
    <t xml:space="preserve">Increase</t>
  </si>
  <si>
    <t xml:space="preserve">Decrease</t>
  </si>
  <si>
    <t xml:space="preserve">Total</t>
  </si>
  <si>
    <t xml:space="preserve">Accounting profit</t>
  </si>
  <si>
    <t xml:space="preserve">Non-deductible add-backs</t>
  </si>
  <si>
    <t xml:space="preserve">Exempt income</t>
  </si>
  <si>
    <t xml:space="preserve">3 · KEY MESSAGES (auto-generated)</t>
  </si>
  <si>
    <t xml:space="preserve">Corporate tax computation — FY2025</t>
  </si>
  <si>
    <t xml:space="preserve">Accounting profit → taxable income → CT payable (AED). All lines are formulas over GL_Register and Parameters.</t>
  </si>
  <si>
    <t xml:space="preserve">Line</t>
  </si>
  <si>
    <t xml:space="preserve">AED</t>
  </si>
  <si>
    <t xml:space="preserve">Basis</t>
  </si>
  <si>
    <t xml:space="preserve">Total income (accounting)</t>
  </si>
  <si>
    <t xml:space="preserve">GL_Register class = Income</t>
  </si>
  <si>
    <t xml:space="preserve">Total expenses (accounting)</t>
  </si>
  <si>
    <t xml:space="preserve">GL_Register class = Expense</t>
  </si>
  <si>
    <t xml:space="preserve">ACCOUNTING PROFIT BEFORE TAX</t>
  </si>
  <si>
    <t xml:space="preserve">ADJUSTMENTS</t>
  </si>
  <si>
    <t xml:space="preserve">Add: non-deductible expenses (100%)</t>
  </si>
  <si>
    <t xml:space="preserve">Fines, personal, non-qualifying donations, general provisions</t>
  </si>
  <si>
    <t xml:space="preserve">Add: entertainment (50% disallowed)</t>
  </si>
  <si>
    <t xml:space="preserve">Treatment DIS50</t>
  </si>
  <si>
    <t xml:space="preserve">Add: transfer-pricing adjustment</t>
  </si>
  <si>
    <t xml:space="preserve">Related-party excess</t>
  </si>
  <si>
    <t xml:space="preserve">Less: exempt dividends (qualifying participations)</t>
  </si>
  <si>
    <t xml:space="preserve">Participation exemption</t>
  </si>
  <si>
    <t xml:space="preserve">Less: exempt capital gains (qualifying shareholdings)</t>
  </si>
  <si>
    <t xml:space="preserve">Add: donations in excess of cap</t>
  </si>
  <si>
    <t xml:space="preserve">Qualifying donations above 5% of taxable income</t>
  </si>
  <si>
    <t xml:space="preserve">Add: interest limitation disallowance</t>
  </si>
  <si>
    <t xml:space="preserve">See Interest_Limitation</t>
  </si>
  <si>
    <t xml:space="preserve">TOTAL ADJUSTMENTS</t>
  </si>
  <si>
    <t xml:space="preserve">TAXABLE INCOME BEFORE LOSSES</t>
  </si>
  <si>
    <t xml:space="preserve">TAX-LOSS RELIEF</t>
  </si>
  <si>
    <t xml:space="preserve">Brought-forward tax losses</t>
  </si>
  <si>
    <t xml:space="preserve">Utilisation cap (75% of taxable income)</t>
  </si>
  <si>
    <t xml:space="preserve">Losses carried forward</t>
  </si>
  <si>
    <t xml:space="preserve">TAXABLE INCOME</t>
  </si>
  <si>
    <t xml:space="preserve">TAX CALCULATION</t>
  </si>
  <si>
    <t xml:space="preserve">Taxable income taxed at 0%</t>
  </si>
  <si>
    <t xml:space="preserve">Taxable income taxed at 9%</t>
  </si>
  <si>
    <t xml:space="preserve">Corporate tax at 9%</t>
  </si>
  <si>
    <t xml:space="preserve">Less: foreign tax credit (capped at liability)</t>
  </si>
  <si>
    <t xml:space="preserve">Taxable income ÷ accounting profit</t>
  </si>
  <si>
    <t xml:space="preserve">Effective-rate reconciliation</t>
  </si>
  <si>
    <t xml:space="preserve">From the 9% headline rate to the effective rate paid — the CFO view of why tax ≠ 9% × profit</t>
  </si>
  <si>
    <t xml:space="preserve">% of accounting profit</t>
  </si>
  <si>
    <t xml:space="preserve">Notional tax at headline 9%</t>
  </si>
  <si>
    <t xml:space="preserve">Exempt dividends and gains</t>
  </si>
  <si>
    <t xml:space="preserve">Non-deductible expenses and TP / donation / interest add-backs</t>
  </si>
  <si>
    <t xml:space="preserve">Utilisation of brought-forward losses</t>
  </si>
  <si>
    <t xml:space="preserve">0% band on first AED 375,000</t>
  </si>
  <si>
    <t xml:space="preserve">Foreign tax credit</t>
  </si>
  <si>
    <t xml:space="preserve">NET CT PAYABLE</t>
  </si>
  <si>
    <t xml:space="preserve">Check vs CT_Computation (should be 0)</t>
  </si>
  <si>
    <t xml:space="preserve">Interest deductibility test</t>
  </si>
  <si>
    <t xml:space="preserve">Net interest above the greater of 30% of tax EBITDA and the de-minimis amount is disallowed</t>
  </si>
  <si>
    <t xml:space="preserve">Note</t>
  </si>
  <si>
    <t xml:space="preserve">Interest expense (treatment INTLIM)</t>
  </si>
  <si>
    <t xml:space="preserve">Third-party + related-party</t>
  </si>
  <si>
    <t xml:space="preserve">Less: interest income</t>
  </si>
  <si>
    <t xml:space="preserve">Bank deposit interest</t>
  </si>
  <si>
    <t xml:space="preserve">Net interest expense</t>
  </si>
  <si>
    <t xml:space="preserve">Add: non-deductibles, TP, less exempt income</t>
  </si>
  <si>
    <t xml:space="preserve">Adjustments before interest / donations limits</t>
  </si>
  <si>
    <t xml:space="preserve">Add: net interest expense</t>
  </si>
  <si>
    <t xml:space="preserve">Add: depreciation</t>
  </si>
  <si>
    <t xml:space="preserve">TAX EBITDA</t>
  </si>
  <si>
    <t xml:space="preserve">30% of tax EBITDA</t>
  </si>
  <si>
    <t xml:space="preserve">De-minimis threshold</t>
  </si>
  <si>
    <t xml:space="preserve">Deductible interest cap (greater of)</t>
  </si>
  <si>
    <t xml:space="preserve">DISALLOWED INTEREST</t>
  </si>
  <si>
    <t xml:space="preserve">Added back in CT_Computation</t>
  </si>
  <si>
    <t xml:space="preserve">Headroom (cap − net interest)</t>
  </si>
  <si>
    <t xml:space="preserve">Result</t>
  </si>
  <si>
    <t xml:space="preserve">Adjustment summary by account</t>
  </si>
  <si>
    <t xml:space="preserve">Every ledger account, its treatment and the resulting tax adjustment</t>
  </si>
  <si>
    <t xml:space="preserve">Account</t>
  </si>
  <si>
    <t xml:space="preserve">Treatment</t>
  </si>
  <si>
    <t xml:space="preserve">Lines</t>
  </si>
  <si>
    <t xml:space="preserve">Amount (AED)</t>
  </si>
  <si>
    <t xml:space="preserve">Tax adjustment</t>
  </si>
  <si>
    <t xml:space="preserve">Share of total add-backs</t>
  </si>
  <si>
    <t xml:space="preserve">Dividend income - qualifying participation (&gt;=5%, held &gt;=12m)</t>
  </si>
  <si>
    <t xml:space="preserve">EXEMPT</t>
  </si>
  <si>
    <t xml:space="preserve">Gain on disposal - qualifying shareholding</t>
  </si>
  <si>
    <t xml:space="preserve">FX gain (realised)</t>
  </si>
  <si>
    <t xml:space="preserve">TAXABLE</t>
  </si>
  <si>
    <t xml:space="preserve">Interest income - bank deposits</t>
  </si>
  <si>
    <t xml:space="preserve">Revenue - Projects</t>
  </si>
  <si>
    <t xml:space="preserve">Revenue - Services</t>
  </si>
  <si>
    <t xml:space="preserve">Bad debt written off (specific)</t>
  </si>
  <si>
    <t xml:space="preserve">ALLOW</t>
  </si>
  <si>
    <t xml:space="preserve">Bank charges</t>
  </si>
  <si>
    <t xml:space="preserve">Cost of delivery - subcontractors</t>
  </si>
  <si>
    <t xml:space="preserve">Depreciation</t>
  </si>
  <si>
    <t xml:space="preserve">Donations - qualifying public benefit entity</t>
  </si>
  <si>
    <t xml:space="preserve">IT &amp; software</t>
  </si>
  <si>
    <t xml:space="preserve">Insurance</t>
  </si>
  <si>
    <t xml:space="preserve">Marketing</t>
  </si>
  <si>
    <t xml:space="preserve">Professional fees</t>
  </si>
  <si>
    <t xml:space="preserve">Rent &amp; facilities</t>
  </si>
  <si>
    <t xml:space="preserve">Staff costs</t>
  </si>
  <si>
    <t xml:space="preserve">Travel</t>
  </si>
  <si>
    <t xml:space="preserve">Donations - non-qualifying</t>
  </si>
  <si>
    <t xml:space="preserve">DIS100</t>
  </si>
  <si>
    <t xml:space="preserve">Fines &amp; penalties</t>
  </si>
  <si>
    <t xml:space="preserve">Owner/shareholder personal expenses</t>
  </si>
  <si>
    <t xml:space="preserve">Provision for doubtful debts (general)</t>
  </si>
  <si>
    <t xml:space="preserve">Client entertainment</t>
  </si>
  <si>
    <t xml:space="preserve">DIS50</t>
  </si>
  <si>
    <t xml:space="preserve">Interest expense - related party</t>
  </si>
  <si>
    <t xml:space="preserve">INTLIM</t>
  </si>
  <si>
    <t xml:space="preserve">Interest expense - third party</t>
  </si>
  <si>
    <t xml:space="preserve">Related-party management fee (non-arm's length excess)</t>
  </si>
  <si>
    <t xml:space="preserve">TP</t>
  </si>
  <si>
    <t xml:space="preserve">Sensitivity — profit change vs corporate tax</t>
  </si>
  <si>
    <t xml:space="preserve">What happens to CT if pre-tax profit moves, holding the adjustments constant</t>
  </si>
  <si>
    <t xml:space="preserve">Change in accounting profit</t>
  </si>
  <si>
    <t xml:space="preserve">Total adjustments (held constant)</t>
  </si>
  <si>
    <t xml:space="preserve">Effective rate on profit</t>
  </si>
  <si>
    <t xml:space="preserve">Base-case check (should be 0)</t>
  </si>
  <si>
    <t xml:space="preserve">Parameters — UAE Corporate Tax</t>
  </si>
  <si>
    <t xml:space="preserve">Federal Decree-Law No. 47 of 2022 (as amended) and related Ministerial Decisions · rules summarised for illustration; confirm against current law before filing</t>
  </si>
  <si>
    <t xml:space="preserve">Parameter</t>
  </si>
  <si>
    <t xml:space="preserve">Value</t>
  </si>
  <si>
    <t xml:space="preserve">Tax period</t>
  </si>
  <si>
    <t xml:space="preserve">FY2025 (1 Jan – 31 Dec 2025)</t>
  </si>
  <si>
    <t xml:space="preserve">Return due within 9 months of period end</t>
  </si>
  <si>
    <t xml:space="preserve">Taxable-income band taxed at 0% (AED)</t>
  </si>
  <si>
    <t xml:space="preserve">Applies to taxable income up to this amount</t>
  </si>
  <si>
    <t xml:space="preserve">Standard CT rate</t>
  </si>
  <si>
    <t xml:space="preserve">On taxable income above the band</t>
  </si>
  <si>
    <t xml:space="preserve">Tax-loss offset cap (% of taxable income)</t>
  </si>
  <si>
    <t xml:space="preserve">Brought-forward losses can offset up to 75% of taxable income</t>
  </si>
  <si>
    <t xml:space="preserve">Brought-forward tax losses (AED)</t>
  </si>
  <si>
    <t xml:space="preserve">Per prior-year CT returns (input)</t>
  </si>
  <si>
    <t xml:space="preserve">Interest deductibility: % of tax EBITDA</t>
  </si>
  <si>
    <t xml:space="preserve">Net interest expense cap</t>
  </si>
  <si>
    <t xml:space="preserve">Interest deductibility: de-minimis threshold (AED)</t>
  </si>
  <si>
    <t xml:space="preserve">Net interest up to this amount always deductible</t>
  </si>
  <si>
    <t xml:space="preserve">Donations cap (% of taxable income)</t>
  </si>
  <si>
    <t xml:space="preserve">Qualifying public-benefit donations only</t>
  </si>
  <si>
    <t xml:space="preserve">Foreign tax credit claimed (AED)</t>
  </si>
  <si>
    <t xml:space="preserve">Withholding tax suffered on foreign dividends/fees (input)</t>
  </si>
  <si>
    <t xml:space="preserve">Small Business Relief revenue threshold (AED)</t>
  </si>
  <si>
    <t xml:space="preserve">Not eligible if revenue exceeds threshold</t>
  </si>
  <si>
    <t xml:space="preserve">Tax treatment codes</t>
  </si>
  <si>
    <t xml:space="preserve">Each GL line carries a code; the adjustment factor drives the computation</t>
  </si>
  <si>
    <t xml:space="preserve">Code</t>
  </si>
  <si>
    <t xml:space="preserve">Description</t>
  </si>
  <si>
    <t xml:space="preserve">Class</t>
  </si>
  <si>
    <t xml:space="preserve">Adjustment factor</t>
  </si>
  <si>
    <t xml:space="preserve">Rationale</t>
  </si>
  <si>
    <t xml:space="preserve">Income</t>
  </si>
  <si>
    <t xml:space="preserve">Included in accounting profit and in taxable income</t>
  </si>
  <si>
    <t xml:space="preserve">Exempt income (qualifying participation dividends / gains)</t>
  </si>
  <si>
    <t xml:space="preserve">Deducted from accounting profit: participation exemption conditions assumed met</t>
  </si>
  <si>
    <t xml:space="preserve">Deductible expense</t>
  </si>
  <si>
    <t xml:space="preserve">Expense</t>
  </si>
  <si>
    <t xml:space="preserve">Deductible when incurred wholly and exclusively for business</t>
  </si>
  <si>
    <t xml:space="preserve">Non-deductible expense (100% add-back)</t>
  </si>
  <si>
    <t xml:space="preserve">Fines, personal expenses, non-qualifying donations, general provisions</t>
  </si>
  <si>
    <t xml:space="preserve">Entertainment (50% add-back)</t>
  </si>
  <si>
    <t xml:space="preserve">Client entertainment deductible at 50%</t>
  </si>
  <si>
    <t xml:space="preserve">Interest expense (subject to limitation test)</t>
  </si>
  <si>
    <t xml:space="preserve">See Interest_Limitation: disallowance computed separately</t>
  </si>
  <si>
    <t xml:space="preserve">Related-party excess over arm's-length price</t>
  </si>
  <si>
    <t xml:space="preserve">Transfer-pricing adjustment</t>
  </si>
  <si>
    <t xml:space="preserve">General-ledger register — FY2025</t>
  </si>
  <si>
    <t xml:space="preserve">1,087 P&amp;L lines used to build accounting profit and tax adjustments (AED). Blue = ledger data; black = tax engine.</t>
  </si>
  <si>
    <t xml:space="preserve">Line ID</t>
  </si>
  <si>
    <t xml:space="preserve">Period</t>
  </si>
  <si>
    <t xml:space="preserve">Adj. factor</t>
  </si>
  <si>
    <t xml:space="preserve">P&amp;L effect</t>
  </si>
  <si>
    <t xml:space="preserve">GL00001</t>
  </si>
  <si>
    <t xml:space="preserve">2025-08</t>
  </si>
  <si>
    <t xml:space="preserve">Revenue - Services invoice batch</t>
  </si>
  <si>
    <t xml:space="preserve">GL00002</t>
  </si>
  <si>
    <t xml:space="preserve">2025-06</t>
  </si>
  <si>
    <t xml:space="preserve">GL00003</t>
  </si>
  <si>
    <t xml:space="preserve">2025-10</t>
  </si>
  <si>
    <t xml:space="preserve">Revenue - Projects invoice batch</t>
  </si>
  <si>
    <t xml:space="preserve">GL00004</t>
  </si>
  <si>
    <t xml:space="preserve">GL00005</t>
  </si>
  <si>
    <t xml:space="preserve">2025-05</t>
  </si>
  <si>
    <t xml:space="preserve">GL00006</t>
  </si>
  <si>
    <t xml:space="preserve">2025-04</t>
  </si>
  <si>
    <t xml:space="preserve">GL00007</t>
  </si>
  <si>
    <t xml:space="preserve">2025-09</t>
  </si>
  <si>
    <t xml:space="preserve">GL00008</t>
  </si>
  <si>
    <t xml:space="preserve">GL00009</t>
  </si>
  <si>
    <t xml:space="preserve">GL00010</t>
  </si>
  <si>
    <t xml:space="preserve">GL00011</t>
  </si>
  <si>
    <t xml:space="preserve">2025-12</t>
  </si>
  <si>
    <t xml:space="preserve">GL00012</t>
  </si>
  <si>
    <t xml:space="preserve">GL00013</t>
  </si>
  <si>
    <t xml:space="preserve">GL00014</t>
  </si>
  <si>
    <t xml:space="preserve">GL00015</t>
  </si>
  <si>
    <t xml:space="preserve">2025-02</t>
  </si>
  <si>
    <t xml:space="preserve">GL00016</t>
  </si>
  <si>
    <t xml:space="preserve">2025-01</t>
  </si>
  <si>
    <t xml:space="preserve">GL00017</t>
  </si>
  <si>
    <t xml:space="preserve">GL00018</t>
  </si>
  <si>
    <t xml:space="preserve">GL00019</t>
  </si>
  <si>
    <t xml:space="preserve">GL00020</t>
  </si>
  <si>
    <t xml:space="preserve">2025-07</t>
  </si>
  <si>
    <t xml:space="preserve">GL00021</t>
  </si>
  <si>
    <t xml:space="preserve">GL00022</t>
  </si>
  <si>
    <t xml:space="preserve">GL00023</t>
  </si>
  <si>
    <t xml:space="preserve">GL00024</t>
  </si>
  <si>
    <t xml:space="preserve">GL00025</t>
  </si>
  <si>
    <t xml:space="preserve">GL00026</t>
  </si>
  <si>
    <t xml:space="preserve">GL00027</t>
  </si>
  <si>
    <t xml:space="preserve">2025-11</t>
  </si>
  <si>
    <t xml:space="preserve">GL00028</t>
  </si>
  <si>
    <t xml:space="preserve">GL00029</t>
  </si>
  <si>
    <t xml:space="preserve">GL00030</t>
  </si>
  <si>
    <t xml:space="preserve">2025-03</t>
  </si>
  <si>
    <t xml:space="preserve">GL00031</t>
  </si>
  <si>
    <t xml:space="preserve">GL00032</t>
  </si>
  <si>
    <t xml:space="preserve">GL00033</t>
  </si>
  <si>
    <t xml:space="preserve">GL00034</t>
  </si>
  <si>
    <t xml:space="preserve">GL00035</t>
  </si>
  <si>
    <t xml:space="preserve">GL00036</t>
  </si>
  <si>
    <t xml:space="preserve">GL00037</t>
  </si>
  <si>
    <t xml:space="preserve">GL00038</t>
  </si>
  <si>
    <t xml:space="preserve">GL00039</t>
  </si>
  <si>
    <t xml:space="preserve">GL00040</t>
  </si>
  <si>
    <t xml:space="preserve">GL00041</t>
  </si>
  <si>
    <t xml:space="preserve">GL00042</t>
  </si>
  <si>
    <t xml:space="preserve">GL00043</t>
  </si>
  <si>
    <t xml:space="preserve">GL00044</t>
  </si>
  <si>
    <t xml:space="preserve">GL00045</t>
  </si>
  <si>
    <t xml:space="preserve">GL00046</t>
  </si>
  <si>
    <t xml:space="preserve">GL00047</t>
  </si>
  <si>
    <t xml:space="preserve">GL00048</t>
  </si>
  <si>
    <t xml:space="preserve">GL00049</t>
  </si>
  <si>
    <t xml:space="preserve">GL00050</t>
  </si>
  <si>
    <t xml:space="preserve">GL00051</t>
  </si>
  <si>
    <t xml:space="preserve">GL00052</t>
  </si>
  <si>
    <t xml:space="preserve">GL00053</t>
  </si>
  <si>
    <t xml:space="preserve">GL00054</t>
  </si>
  <si>
    <t xml:space="preserve">GL00055</t>
  </si>
  <si>
    <t xml:space="preserve">GL00056</t>
  </si>
  <si>
    <t xml:space="preserve">GL00057</t>
  </si>
  <si>
    <t xml:space="preserve">GL00058</t>
  </si>
  <si>
    <t xml:space="preserve">GL00059</t>
  </si>
  <si>
    <t xml:space="preserve">GL00060</t>
  </si>
  <si>
    <t xml:space="preserve">GL00061</t>
  </si>
  <si>
    <t xml:space="preserve">GL00062</t>
  </si>
  <si>
    <t xml:space="preserve">GL00063</t>
  </si>
  <si>
    <t xml:space="preserve">GL00064</t>
  </si>
  <si>
    <t xml:space="preserve">GL00065</t>
  </si>
  <si>
    <t xml:space="preserve">GL00066</t>
  </si>
  <si>
    <t xml:space="preserve">GL00067</t>
  </si>
  <si>
    <t xml:space="preserve">GL00068</t>
  </si>
  <si>
    <t xml:space="preserve">GL00069</t>
  </si>
  <si>
    <t xml:space="preserve">GL00070</t>
  </si>
  <si>
    <t xml:space="preserve">GL00071</t>
  </si>
  <si>
    <t xml:space="preserve">GL00072</t>
  </si>
  <si>
    <t xml:space="preserve">GL00073</t>
  </si>
  <si>
    <t xml:space="preserve">GL00074</t>
  </si>
  <si>
    <t xml:space="preserve">GL00075</t>
  </si>
  <si>
    <t xml:space="preserve">GL00076</t>
  </si>
  <si>
    <t xml:space="preserve">GL00077</t>
  </si>
  <si>
    <t xml:space="preserve">GL00078</t>
  </si>
  <si>
    <t xml:space="preserve">GL00079</t>
  </si>
  <si>
    <t xml:space="preserve">GL00080</t>
  </si>
  <si>
    <t xml:space="preserve">GL00081</t>
  </si>
  <si>
    <t xml:space="preserve">GL00082</t>
  </si>
  <si>
    <t xml:space="preserve">GL00083</t>
  </si>
  <si>
    <t xml:space="preserve">GL00084</t>
  </si>
  <si>
    <t xml:space="preserve">GL00085</t>
  </si>
  <si>
    <t xml:space="preserve">GL00086</t>
  </si>
  <si>
    <t xml:space="preserve">GL00087</t>
  </si>
  <si>
    <t xml:space="preserve">GL00088</t>
  </si>
  <si>
    <t xml:space="preserve">GL00089</t>
  </si>
  <si>
    <t xml:space="preserve">GL00090</t>
  </si>
  <si>
    <t xml:space="preserve">GL00091</t>
  </si>
  <si>
    <t xml:space="preserve">GL00092</t>
  </si>
  <si>
    <t xml:space="preserve">GL00093</t>
  </si>
  <si>
    <t xml:space="preserve">GL00094</t>
  </si>
  <si>
    <t xml:space="preserve">GL00095</t>
  </si>
  <si>
    <t xml:space="preserve">GL00096</t>
  </si>
  <si>
    <t xml:space="preserve">GL00097</t>
  </si>
  <si>
    <t xml:space="preserve">GL00098</t>
  </si>
  <si>
    <t xml:space="preserve">GL00099</t>
  </si>
  <si>
    <t xml:space="preserve">GL00100</t>
  </si>
  <si>
    <t xml:space="preserve">GL00101</t>
  </si>
  <si>
    <t xml:space="preserve">GL00102</t>
  </si>
  <si>
    <t xml:space="preserve">GL00103</t>
  </si>
  <si>
    <t xml:space="preserve">GL00104</t>
  </si>
  <si>
    <t xml:space="preserve">GL00105</t>
  </si>
  <si>
    <t xml:space="preserve">GL00106</t>
  </si>
  <si>
    <t xml:space="preserve">GL00107</t>
  </si>
  <si>
    <t xml:space="preserve">GL00108</t>
  </si>
  <si>
    <t xml:space="preserve">GL00109</t>
  </si>
  <si>
    <t xml:space="preserve">GL00110</t>
  </si>
  <si>
    <t xml:space="preserve">GL00111</t>
  </si>
  <si>
    <t xml:space="preserve">GL00112</t>
  </si>
  <si>
    <t xml:space="preserve">GL00113</t>
  </si>
  <si>
    <t xml:space="preserve">GL00114</t>
  </si>
  <si>
    <t xml:space="preserve">GL00115</t>
  </si>
  <si>
    <t xml:space="preserve">GL00116</t>
  </si>
  <si>
    <t xml:space="preserve">GL00117</t>
  </si>
  <si>
    <t xml:space="preserve">GL00118</t>
  </si>
  <si>
    <t xml:space="preserve">GL00119</t>
  </si>
  <si>
    <t xml:space="preserve">GL00120</t>
  </si>
  <si>
    <t xml:space="preserve">GL00121</t>
  </si>
  <si>
    <t xml:space="preserve">GL00122</t>
  </si>
  <si>
    <t xml:space="preserve">GL00123</t>
  </si>
  <si>
    <t xml:space="preserve">GL00124</t>
  </si>
  <si>
    <t xml:space="preserve">GL00125</t>
  </si>
  <si>
    <t xml:space="preserve">GL00126</t>
  </si>
  <si>
    <t xml:space="preserve">GL00127</t>
  </si>
  <si>
    <t xml:space="preserve">GL00128</t>
  </si>
  <si>
    <t xml:space="preserve">GL00129</t>
  </si>
  <si>
    <t xml:space="preserve">GL00130</t>
  </si>
  <si>
    <t xml:space="preserve">GL00131</t>
  </si>
  <si>
    <t xml:space="preserve">GL00132</t>
  </si>
  <si>
    <t xml:space="preserve">GL00133</t>
  </si>
  <si>
    <t xml:space="preserve">GL00134</t>
  </si>
  <si>
    <t xml:space="preserve">GL00135</t>
  </si>
  <si>
    <t xml:space="preserve">GL00136</t>
  </si>
  <si>
    <t xml:space="preserve">GL00137</t>
  </si>
  <si>
    <t xml:space="preserve">GL00138</t>
  </si>
  <si>
    <t xml:space="preserve">GL00139</t>
  </si>
  <si>
    <t xml:space="preserve">GL00140</t>
  </si>
  <si>
    <t xml:space="preserve">GL00141</t>
  </si>
  <si>
    <t xml:space="preserve">GL00142</t>
  </si>
  <si>
    <t xml:space="preserve">GL00143</t>
  </si>
  <si>
    <t xml:space="preserve">GL00144</t>
  </si>
  <si>
    <t xml:space="preserve">GL00145</t>
  </si>
  <si>
    <t xml:space="preserve">GL00146</t>
  </si>
  <si>
    <t xml:space="preserve">GL00147</t>
  </si>
  <si>
    <t xml:space="preserve">GL00148</t>
  </si>
  <si>
    <t xml:space="preserve">GL00149</t>
  </si>
  <si>
    <t xml:space="preserve">GL00150</t>
  </si>
  <si>
    <t xml:space="preserve">GL00151</t>
  </si>
  <si>
    <t xml:space="preserve">GL00152</t>
  </si>
  <si>
    <t xml:space="preserve">GL00153</t>
  </si>
  <si>
    <t xml:space="preserve">GL00154</t>
  </si>
  <si>
    <t xml:space="preserve">GL00155</t>
  </si>
  <si>
    <t xml:space="preserve">GL00156</t>
  </si>
  <si>
    <t xml:space="preserve">GL00157</t>
  </si>
  <si>
    <t xml:space="preserve">GL00158</t>
  </si>
  <si>
    <t xml:space="preserve">GL00159</t>
  </si>
  <si>
    <t xml:space="preserve">GL00160</t>
  </si>
  <si>
    <t xml:space="preserve">GL00161</t>
  </si>
  <si>
    <t xml:space="preserve">GL00162</t>
  </si>
  <si>
    <t xml:space="preserve">GL00163</t>
  </si>
  <si>
    <t xml:space="preserve">GL00164</t>
  </si>
  <si>
    <t xml:space="preserve">GL00165</t>
  </si>
  <si>
    <t xml:space="preserve">GL00166</t>
  </si>
  <si>
    <t xml:space="preserve">GL00167</t>
  </si>
  <si>
    <t xml:space="preserve">GL00168</t>
  </si>
  <si>
    <t xml:space="preserve">GL00169</t>
  </si>
  <si>
    <t xml:space="preserve">GL00170</t>
  </si>
  <si>
    <t xml:space="preserve">GL00171</t>
  </si>
  <si>
    <t xml:space="preserve">GL00172</t>
  </si>
  <si>
    <t xml:space="preserve">GL00173</t>
  </si>
  <si>
    <t xml:space="preserve">GL00174</t>
  </si>
  <si>
    <t xml:space="preserve">GL00175</t>
  </si>
  <si>
    <t xml:space="preserve">GL00176</t>
  </si>
  <si>
    <t xml:space="preserve">GL00177</t>
  </si>
  <si>
    <t xml:space="preserve">GL00178</t>
  </si>
  <si>
    <t xml:space="preserve">GL00179</t>
  </si>
  <si>
    <t xml:space="preserve">GL00180</t>
  </si>
  <si>
    <t xml:space="preserve">GL00181</t>
  </si>
  <si>
    <t xml:space="preserve">GL00182</t>
  </si>
  <si>
    <t xml:space="preserve">GL00183</t>
  </si>
  <si>
    <t xml:space="preserve">GL00184</t>
  </si>
  <si>
    <t xml:space="preserve">GL00185</t>
  </si>
  <si>
    <t xml:space="preserve">GL00186</t>
  </si>
  <si>
    <t xml:space="preserve">GL00187</t>
  </si>
  <si>
    <t xml:space="preserve">GL00188</t>
  </si>
  <si>
    <t xml:space="preserve">GL00189</t>
  </si>
  <si>
    <t xml:space="preserve">GL00190</t>
  </si>
  <si>
    <t xml:space="preserve">GL00191</t>
  </si>
  <si>
    <t xml:space="preserve">GL00192</t>
  </si>
  <si>
    <t xml:space="preserve">GL00193</t>
  </si>
  <si>
    <t xml:space="preserve">GL00194</t>
  </si>
  <si>
    <t xml:space="preserve">GL00195</t>
  </si>
  <si>
    <t xml:space="preserve">GL00196</t>
  </si>
  <si>
    <t xml:space="preserve">GL00197</t>
  </si>
  <si>
    <t xml:space="preserve">GL00198</t>
  </si>
  <si>
    <t xml:space="preserve">GL00199</t>
  </si>
  <si>
    <t xml:space="preserve">GL00200</t>
  </si>
  <si>
    <t xml:space="preserve">GL00201</t>
  </si>
  <si>
    <t xml:space="preserve">GL00202</t>
  </si>
  <si>
    <t xml:space="preserve">GL00203</t>
  </si>
  <si>
    <t xml:space="preserve">GL00204</t>
  </si>
  <si>
    <t xml:space="preserve">GL00205</t>
  </si>
  <si>
    <t xml:space="preserve">GL00206</t>
  </si>
  <si>
    <t xml:space="preserve">GL00207</t>
  </si>
  <si>
    <t xml:space="preserve">GL00208</t>
  </si>
  <si>
    <t xml:space="preserve">GL00209</t>
  </si>
  <si>
    <t xml:space="preserve">GL00210</t>
  </si>
  <si>
    <t xml:space="preserve">GL00211</t>
  </si>
  <si>
    <t xml:space="preserve">GL00212</t>
  </si>
  <si>
    <t xml:space="preserve">GL00213</t>
  </si>
  <si>
    <t xml:space="preserve">GL00214</t>
  </si>
  <si>
    <t xml:space="preserve">GL00215</t>
  </si>
  <si>
    <t xml:space="preserve">GL00216</t>
  </si>
  <si>
    <t xml:space="preserve">GL00217</t>
  </si>
  <si>
    <t xml:space="preserve">GL00218</t>
  </si>
  <si>
    <t xml:space="preserve">GL00219</t>
  </si>
  <si>
    <t xml:space="preserve">GL00220</t>
  </si>
  <si>
    <t xml:space="preserve">GL00221</t>
  </si>
  <si>
    <t xml:space="preserve">GL00222</t>
  </si>
  <si>
    <t xml:space="preserve">GL00223</t>
  </si>
  <si>
    <t xml:space="preserve">GL00224</t>
  </si>
  <si>
    <t xml:space="preserve">GL00225</t>
  </si>
  <si>
    <t xml:space="preserve">GL00226</t>
  </si>
  <si>
    <t xml:space="preserve">GL00227</t>
  </si>
  <si>
    <t xml:space="preserve">GL00228</t>
  </si>
  <si>
    <t xml:space="preserve">GL00229</t>
  </si>
  <si>
    <t xml:space="preserve">GL00230</t>
  </si>
  <si>
    <t xml:space="preserve">GL00231</t>
  </si>
  <si>
    <t xml:space="preserve">GL00232</t>
  </si>
  <si>
    <t xml:space="preserve">GL00233</t>
  </si>
  <si>
    <t xml:space="preserve">GL00234</t>
  </si>
  <si>
    <t xml:space="preserve">GL00235</t>
  </si>
  <si>
    <t xml:space="preserve">GL00236</t>
  </si>
  <si>
    <t xml:space="preserve">GL00237</t>
  </si>
  <si>
    <t xml:space="preserve">GL00238</t>
  </si>
  <si>
    <t xml:space="preserve">GL00239</t>
  </si>
  <si>
    <t xml:space="preserve">GL00240</t>
  </si>
  <si>
    <t xml:space="preserve">GL00241</t>
  </si>
  <si>
    <t xml:space="preserve">GL00242</t>
  </si>
  <si>
    <t xml:space="preserve">GL00243</t>
  </si>
  <si>
    <t xml:space="preserve">GL00244</t>
  </si>
  <si>
    <t xml:space="preserve">GL00245</t>
  </si>
  <si>
    <t xml:space="preserve">GL00246</t>
  </si>
  <si>
    <t xml:space="preserve">GL00247</t>
  </si>
  <si>
    <t xml:space="preserve">GL00248</t>
  </si>
  <si>
    <t xml:space="preserve">GL00249</t>
  </si>
  <si>
    <t xml:space="preserve">GL00250</t>
  </si>
  <si>
    <t xml:space="preserve">GL00251</t>
  </si>
  <si>
    <t xml:space="preserve">GL00252</t>
  </si>
  <si>
    <t xml:space="preserve">GL00253</t>
  </si>
  <si>
    <t xml:space="preserve">GL00254</t>
  </si>
  <si>
    <t xml:space="preserve">GL00255</t>
  </si>
  <si>
    <t xml:space="preserve">GL00256</t>
  </si>
  <si>
    <t xml:space="preserve">GL00257</t>
  </si>
  <si>
    <t xml:space="preserve">GL00258</t>
  </si>
  <si>
    <t xml:space="preserve">GL00259</t>
  </si>
  <si>
    <t xml:space="preserve">GL00260</t>
  </si>
  <si>
    <t xml:space="preserve">GL00261</t>
  </si>
  <si>
    <t xml:space="preserve">GL00262</t>
  </si>
  <si>
    <t xml:space="preserve">GL00263</t>
  </si>
  <si>
    <t xml:space="preserve">GL00264</t>
  </si>
  <si>
    <t xml:space="preserve">GL00265</t>
  </si>
  <si>
    <t xml:space="preserve">GL00266</t>
  </si>
  <si>
    <t xml:space="preserve">GL00267</t>
  </si>
  <si>
    <t xml:space="preserve">GL00268</t>
  </si>
  <si>
    <t xml:space="preserve">GL00269</t>
  </si>
  <si>
    <t xml:space="preserve">GL00270</t>
  </si>
  <si>
    <t xml:space="preserve">GL00271</t>
  </si>
  <si>
    <t xml:space="preserve">GL00272</t>
  </si>
  <si>
    <t xml:space="preserve">GL00273</t>
  </si>
  <si>
    <t xml:space="preserve">GL00274</t>
  </si>
  <si>
    <t xml:space="preserve">GL00275</t>
  </si>
  <si>
    <t xml:space="preserve">GL00276</t>
  </si>
  <si>
    <t xml:space="preserve">GL00277</t>
  </si>
  <si>
    <t xml:space="preserve">GL00278</t>
  </si>
  <si>
    <t xml:space="preserve">GL00279</t>
  </si>
  <si>
    <t xml:space="preserve">GL00280</t>
  </si>
  <si>
    <t xml:space="preserve">GL00281</t>
  </si>
  <si>
    <t xml:space="preserve">GL00282</t>
  </si>
  <si>
    <t xml:space="preserve">GL00283</t>
  </si>
  <si>
    <t xml:space="preserve">GL00284</t>
  </si>
  <si>
    <t xml:space="preserve">GL00285</t>
  </si>
  <si>
    <t xml:space="preserve">GL00286</t>
  </si>
  <si>
    <t xml:space="preserve">GL00287</t>
  </si>
  <si>
    <t xml:space="preserve">GL00288</t>
  </si>
  <si>
    <t xml:space="preserve">GL00289</t>
  </si>
  <si>
    <t xml:space="preserve">GL00290</t>
  </si>
  <si>
    <t xml:space="preserve">GL00291</t>
  </si>
  <si>
    <t xml:space="preserve">GL00292</t>
  </si>
  <si>
    <t xml:space="preserve">GL00293</t>
  </si>
  <si>
    <t xml:space="preserve">GL00294</t>
  </si>
  <si>
    <t xml:space="preserve">GL00295</t>
  </si>
  <si>
    <t xml:space="preserve">GL00296</t>
  </si>
  <si>
    <t xml:space="preserve">GL00297</t>
  </si>
  <si>
    <t xml:space="preserve">GL00298</t>
  </si>
  <si>
    <t xml:space="preserve">GL00299</t>
  </si>
  <si>
    <t xml:space="preserve">GL00300</t>
  </si>
  <si>
    <t xml:space="preserve">GL00301</t>
  </si>
  <si>
    <t xml:space="preserve">GL00302</t>
  </si>
  <si>
    <t xml:space="preserve">GL00303</t>
  </si>
  <si>
    <t xml:space="preserve">GL00304</t>
  </si>
  <si>
    <t xml:space="preserve">GL00305</t>
  </si>
  <si>
    <t xml:space="preserve">GL00306</t>
  </si>
  <si>
    <t xml:space="preserve">GL00307</t>
  </si>
  <si>
    <t xml:space="preserve">GL00308</t>
  </si>
  <si>
    <t xml:space="preserve">GL00309</t>
  </si>
  <si>
    <t xml:space="preserve">GL00310</t>
  </si>
  <si>
    <t xml:space="preserve">GL00311</t>
  </si>
  <si>
    <t xml:space="preserve">GL00312</t>
  </si>
  <si>
    <t xml:space="preserve">GL00313</t>
  </si>
  <si>
    <t xml:space="preserve">GL00314</t>
  </si>
  <si>
    <t xml:space="preserve">GL00315</t>
  </si>
  <si>
    <t xml:space="preserve">GL00316</t>
  </si>
  <si>
    <t xml:space="preserve">GL00317</t>
  </si>
  <si>
    <t xml:space="preserve">GL00318</t>
  </si>
  <si>
    <t xml:space="preserve">GL00319</t>
  </si>
  <si>
    <t xml:space="preserve">GL00320</t>
  </si>
  <si>
    <t xml:space="preserve">GL00321</t>
  </si>
  <si>
    <t xml:space="preserve">GL00322</t>
  </si>
  <si>
    <t xml:space="preserve">GL00323</t>
  </si>
  <si>
    <t xml:space="preserve">GL00324</t>
  </si>
  <si>
    <t xml:space="preserve">GL00325</t>
  </si>
  <si>
    <t xml:space="preserve">GL00326</t>
  </si>
  <si>
    <t xml:space="preserve">GL00327</t>
  </si>
  <si>
    <t xml:space="preserve">GL00328</t>
  </si>
  <si>
    <t xml:space="preserve">GL00329</t>
  </si>
  <si>
    <t xml:space="preserve">GL00330</t>
  </si>
  <si>
    <t xml:space="preserve">GL00331</t>
  </si>
  <si>
    <t xml:space="preserve">GL00332</t>
  </si>
  <si>
    <t xml:space="preserve">GL00333</t>
  </si>
  <si>
    <t xml:space="preserve">GL00334</t>
  </si>
  <si>
    <t xml:space="preserve">GL00335</t>
  </si>
  <si>
    <t xml:space="preserve">GL00336</t>
  </si>
  <si>
    <t xml:space="preserve">GL00337</t>
  </si>
  <si>
    <t xml:space="preserve">GL00338</t>
  </si>
  <si>
    <t xml:space="preserve">GL00339</t>
  </si>
  <si>
    <t xml:space="preserve">GL00340</t>
  </si>
  <si>
    <t xml:space="preserve">GL00341</t>
  </si>
  <si>
    <t xml:space="preserve">GL00342</t>
  </si>
  <si>
    <t xml:space="preserve">GL00343</t>
  </si>
  <si>
    <t xml:space="preserve">GL00344</t>
  </si>
  <si>
    <t xml:space="preserve">GL00345</t>
  </si>
  <si>
    <t xml:space="preserve">GL00346</t>
  </si>
  <si>
    <t xml:space="preserve">GL00347</t>
  </si>
  <si>
    <t xml:space="preserve">GL00348</t>
  </si>
  <si>
    <t xml:space="preserve">GL00349</t>
  </si>
  <si>
    <t xml:space="preserve">GL00350</t>
  </si>
  <si>
    <t xml:space="preserve">GL00351</t>
  </si>
  <si>
    <t xml:space="preserve">GL00352</t>
  </si>
  <si>
    <t xml:space="preserve">GL00353</t>
  </si>
  <si>
    <t xml:space="preserve">GL00354</t>
  </si>
  <si>
    <t xml:space="preserve">GL00355</t>
  </si>
  <si>
    <t xml:space="preserve">GL00356</t>
  </si>
  <si>
    <t xml:space="preserve">GL00357</t>
  </si>
  <si>
    <t xml:space="preserve">GL00358</t>
  </si>
  <si>
    <t xml:space="preserve">GL00359</t>
  </si>
  <si>
    <t xml:space="preserve">GL00360</t>
  </si>
  <si>
    <t xml:space="preserve">GL00361</t>
  </si>
  <si>
    <t xml:space="preserve">GL00362</t>
  </si>
  <si>
    <t xml:space="preserve">GL00363</t>
  </si>
  <si>
    <t xml:space="preserve">GL00364</t>
  </si>
  <si>
    <t xml:space="preserve">GL00365</t>
  </si>
  <si>
    <t xml:space="preserve">GL00366</t>
  </si>
  <si>
    <t xml:space="preserve">GL00367</t>
  </si>
  <si>
    <t xml:space="preserve">GL00368</t>
  </si>
  <si>
    <t xml:space="preserve">GL00369</t>
  </si>
  <si>
    <t xml:space="preserve">GL00370</t>
  </si>
  <si>
    <t xml:space="preserve">GL00371</t>
  </si>
  <si>
    <t xml:space="preserve">GL00372</t>
  </si>
  <si>
    <t xml:space="preserve">GL00373</t>
  </si>
  <si>
    <t xml:space="preserve">GL00374</t>
  </si>
  <si>
    <t xml:space="preserve">GL00375</t>
  </si>
  <si>
    <t xml:space="preserve">GL00376</t>
  </si>
  <si>
    <t xml:space="preserve">GL00377</t>
  </si>
  <si>
    <t xml:space="preserve">GL00378</t>
  </si>
  <si>
    <t xml:space="preserve">GL00379</t>
  </si>
  <si>
    <t xml:space="preserve">GL00380</t>
  </si>
  <si>
    <t xml:space="preserve">GL00381</t>
  </si>
  <si>
    <t xml:space="preserve">GL00382</t>
  </si>
  <si>
    <t xml:space="preserve">GL00383</t>
  </si>
  <si>
    <t xml:space="preserve">GL00384</t>
  </si>
  <si>
    <t xml:space="preserve">GL00385</t>
  </si>
  <si>
    <t xml:space="preserve">GL00386</t>
  </si>
  <si>
    <t xml:space="preserve">GL00387</t>
  </si>
  <si>
    <t xml:space="preserve">GL00388</t>
  </si>
  <si>
    <t xml:space="preserve">GL00389</t>
  </si>
  <si>
    <t xml:space="preserve">GL00390</t>
  </si>
  <si>
    <t xml:space="preserve">GL00391</t>
  </si>
  <si>
    <t xml:space="preserve">GL00392</t>
  </si>
  <si>
    <t xml:space="preserve">GL00393</t>
  </si>
  <si>
    <t xml:space="preserve">GL00394</t>
  </si>
  <si>
    <t xml:space="preserve">GL00395</t>
  </si>
  <si>
    <t xml:space="preserve">GL00396</t>
  </si>
  <si>
    <t xml:space="preserve">GL00397</t>
  </si>
  <si>
    <t xml:space="preserve">GL00398</t>
  </si>
  <si>
    <t xml:space="preserve">GL00399</t>
  </si>
  <si>
    <t xml:space="preserve">GL00400</t>
  </si>
  <si>
    <t xml:space="preserve">GL00401</t>
  </si>
  <si>
    <t xml:space="preserve">GL00402</t>
  </si>
  <si>
    <t xml:space="preserve">GL00403</t>
  </si>
  <si>
    <t xml:space="preserve">GL00404</t>
  </si>
  <si>
    <t xml:space="preserve">GL00405</t>
  </si>
  <si>
    <t xml:space="preserve">GL00406</t>
  </si>
  <si>
    <t xml:space="preserve">GL00407</t>
  </si>
  <si>
    <t xml:space="preserve">GL00408</t>
  </si>
  <si>
    <t xml:space="preserve">GL00409</t>
  </si>
  <si>
    <t xml:space="preserve">GL00410</t>
  </si>
  <si>
    <t xml:space="preserve">GL00411</t>
  </si>
  <si>
    <t xml:space="preserve">GL00412</t>
  </si>
  <si>
    <t xml:space="preserve">GL00413</t>
  </si>
  <si>
    <t xml:space="preserve">GL00414</t>
  </si>
  <si>
    <t xml:space="preserve">GL00415</t>
  </si>
  <si>
    <t xml:space="preserve">GL00416</t>
  </si>
  <si>
    <t xml:space="preserve">GL00417</t>
  </si>
  <si>
    <t xml:space="preserve">GL00418</t>
  </si>
  <si>
    <t xml:space="preserve">GL00419</t>
  </si>
  <si>
    <t xml:space="preserve">GL00420</t>
  </si>
  <si>
    <t xml:space="preserve">GL00421</t>
  </si>
  <si>
    <t xml:space="preserve">GL00422</t>
  </si>
  <si>
    <t xml:space="preserve">GL00423</t>
  </si>
  <si>
    <t xml:space="preserve">GL00424</t>
  </si>
  <si>
    <t xml:space="preserve">GL00425</t>
  </si>
  <si>
    <t xml:space="preserve">GL00426</t>
  </si>
  <si>
    <t xml:space="preserve">GL00427</t>
  </si>
  <si>
    <t xml:space="preserve">GL00428</t>
  </si>
  <si>
    <t xml:space="preserve">GL00429</t>
  </si>
  <si>
    <t xml:space="preserve">GL00430</t>
  </si>
  <si>
    <t xml:space="preserve">GL00431</t>
  </si>
  <si>
    <t xml:space="preserve">GL00432</t>
  </si>
  <si>
    <t xml:space="preserve">GL00433</t>
  </si>
  <si>
    <t xml:space="preserve">GL00434</t>
  </si>
  <si>
    <t xml:space="preserve">GL00435</t>
  </si>
  <si>
    <t xml:space="preserve">GL00436</t>
  </si>
  <si>
    <t xml:space="preserve">GL00437</t>
  </si>
  <si>
    <t xml:space="preserve">GL00438</t>
  </si>
  <si>
    <t xml:space="preserve">GL00439</t>
  </si>
  <si>
    <t xml:space="preserve">GL00440</t>
  </si>
  <si>
    <t xml:space="preserve">GL00441</t>
  </si>
  <si>
    <t xml:space="preserve">GL00442</t>
  </si>
  <si>
    <t xml:space="preserve">GL00443</t>
  </si>
  <si>
    <t xml:space="preserve">GL00444</t>
  </si>
  <si>
    <t xml:space="preserve">GL00445</t>
  </si>
  <si>
    <t xml:space="preserve">GL00446</t>
  </si>
  <si>
    <t xml:space="preserve">GL00447</t>
  </si>
  <si>
    <t xml:space="preserve">GL00448</t>
  </si>
  <si>
    <t xml:space="preserve">GL00449</t>
  </si>
  <si>
    <t xml:space="preserve">GL00450</t>
  </si>
  <si>
    <t xml:space="preserve">GL00451</t>
  </si>
  <si>
    <t xml:space="preserve">GL00452</t>
  </si>
  <si>
    <t xml:space="preserve">GL00453</t>
  </si>
  <si>
    <t xml:space="preserve">GL00454</t>
  </si>
  <si>
    <t xml:space="preserve">GL00455</t>
  </si>
  <si>
    <t xml:space="preserve">GL00456</t>
  </si>
  <si>
    <t xml:space="preserve">GL00457</t>
  </si>
  <si>
    <t xml:space="preserve">GL00458</t>
  </si>
  <si>
    <t xml:space="preserve">GL00459</t>
  </si>
  <si>
    <t xml:space="preserve">GL00460</t>
  </si>
  <si>
    <t xml:space="preserve">GL00461</t>
  </si>
  <si>
    <t xml:space="preserve">GL00462</t>
  </si>
  <si>
    <t xml:space="preserve">GL00463</t>
  </si>
  <si>
    <t xml:space="preserve">GL00464</t>
  </si>
  <si>
    <t xml:space="preserve">GL00465</t>
  </si>
  <si>
    <t xml:space="preserve">GL00466</t>
  </si>
  <si>
    <t xml:space="preserve">GL00467</t>
  </si>
  <si>
    <t xml:space="preserve">GL00468</t>
  </si>
  <si>
    <t xml:space="preserve">GL00469</t>
  </si>
  <si>
    <t xml:space="preserve">GL00470</t>
  </si>
  <si>
    <t xml:space="preserve">GL00471</t>
  </si>
  <si>
    <t xml:space="preserve">GL00472</t>
  </si>
  <si>
    <t xml:space="preserve">GL00473</t>
  </si>
  <si>
    <t xml:space="preserve">GL00474</t>
  </si>
  <si>
    <t xml:space="preserve">GL00475</t>
  </si>
  <si>
    <t xml:space="preserve">GL00476</t>
  </si>
  <si>
    <t xml:space="preserve">GL00477</t>
  </si>
  <si>
    <t xml:space="preserve">GL00478</t>
  </si>
  <si>
    <t xml:space="preserve">GL00479</t>
  </si>
  <si>
    <t xml:space="preserve">GL00480</t>
  </si>
  <si>
    <t xml:space="preserve">GL00481</t>
  </si>
  <si>
    <t xml:space="preserve">GL00482</t>
  </si>
  <si>
    <t xml:space="preserve">GL00483</t>
  </si>
  <si>
    <t xml:space="preserve">GL00484</t>
  </si>
  <si>
    <t xml:space="preserve">GL00485</t>
  </si>
  <si>
    <t xml:space="preserve">GL00486</t>
  </si>
  <si>
    <t xml:space="preserve">GL00487</t>
  </si>
  <si>
    <t xml:space="preserve">GL00488</t>
  </si>
  <si>
    <t xml:space="preserve">GL00489</t>
  </si>
  <si>
    <t xml:space="preserve">GL00490</t>
  </si>
  <si>
    <t xml:space="preserve">GL00491</t>
  </si>
  <si>
    <t xml:space="preserve">GL00492</t>
  </si>
  <si>
    <t xml:space="preserve">GL00493</t>
  </si>
  <si>
    <t xml:space="preserve">GL00494</t>
  </si>
  <si>
    <t xml:space="preserve">GL00495</t>
  </si>
  <si>
    <t xml:space="preserve">GL00496</t>
  </si>
  <si>
    <t xml:space="preserve">GL00497</t>
  </si>
  <si>
    <t xml:space="preserve">GL00498</t>
  </si>
  <si>
    <t xml:space="preserve">GL00499</t>
  </si>
  <si>
    <t xml:space="preserve">GL00500</t>
  </si>
  <si>
    <t xml:space="preserve">GL00501</t>
  </si>
  <si>
    <t xml:space="preserve">GL00502</t>
  </si>
  <si>
    <t xml:space="preserve">GL00503</t>
  </si>
  <si>
    <t xml:space="preserve">GL00504</t>
  </si>
  <si>
    <t xml:space="preserve">GL00505</t>
  </si>
  <si>
    <t xml:space="preserve">GL00506</t>
  </si>
  <si>
    <t xml:space="preserve">GL00507</t>
  </si>
  <si>
    <t xml:space="preserve">GL00508</t>
  </si>
  <si>
    <t xml:space="preserve">GL00509</t>
  </si>
  <si>
    <t xml:space="preserve">GL00510</t>
  </si>
  <si>
    <t xml:space="preserve">GL00511</t>
  </si>
  <si>
    <t xml:space="preserve">GL00512</t>
  </si>
  <si>
    <t xml:space="preserve">GL00513</t>
  </si>
  <si>
    <t xml:space="preserve">GL00514</t>
  </si>
  <si>
    <t xml:space="preserve">GL00515</t>
  </si>
  <si>
    <t xml:space="preserve">GL00516</t>
  </si>
  <si>
    <t xml:space="preserve">GL00517</t>
  </si>
  <si>
    <t xml:space="preserve">GL00518</t>
  </si>
  <si>
    <t xml:space="preserve">GL00519</t>
  </si>
  <si>
    <t xml:space="preserve">GL00520</t>
  </si>
  <si>
    <t xml:space="preserve">GL00521</t>
  </si>
  <si>
    <t xml:space="preserve">GL00522</t>
  </si>
  <si>
    <t xml:space="preserve">GL00523</t>
  </si>
  <si>
    <t xml:space="preserve">GL00524</t>
  </si>
  <si>
    <t xml:space="preserve">GL00525</t>
  </si>
  <si>
    <t xml:space="preserve">GL00526</t>
  </si>
  <si>
    <t xml:space="preserve">GL00527</t>
  </si>
  <si>
    <t xml:space="preserve">GL00528</t>
  </si>
  <si>
    <t xml:space="preserve">GL00529</t>
  </si>
  <si>
    <t xml:space="preserve">GL00530</t>
  </si>
  <si>
    <t xml:space="preserve">GL00531</t>
  </si>
  <si>
    <t xml:space="preserve">GL00532</t>
  </si>
  <si>
    <t xml:space="preserve">GL00533</t>
  </si>
  <si>
    <t xml:space="preserve">GL00534</t>
  </si>
  <si>
    <t xml:space="preserve">GL00535</t>
  </si>
  <si>
    <t xml:space="preserve">GL00536</t>
  </si>
  <si>
    <t xml:space="preserve">GL00537</t>
  </si>
  <si>
    <t xml:space="preserve">GL00538</t>
  </si>
  <si>
    <t xml:space="preserve">GL00539</t>
  </si>
  <si>
    <t xml:space="preserve">GL00540</t>
  </si>
  <si>
    <t xml:space="preserve">GL00541</t>
  </si>
  <si>
    <t xml:space="preserve">GL00542</t>
  </si>
  <si>
    <t xml:space="preserve">GL00543</t>
  </si>
  <si>
    <t xml:space="preserve">GL00544</t>
  </si>
  <si>
    <t xml:space="preserve">GL00545</t>
  </si>
  <si>
    <t xml:space="preserve">GL00546</t>
  </si>
  <si>
    <t xml:space="preserve">GL00547</t>
  </si>
  <si>
    <t xml:space="preserve">GL00548</t>
  </si>
  <si>
    <t xml:space="preserve">GL00549</t>
  </si>
  <si>
    <t xml:space="preserve">GL00550</t>
  </si>
  <si>
    <t xml:space="preserve">GL00551</t>
  </si>
  <si>
    <t xml:space="preserve">GL00552</t>
  </si>
  <si>
    <t xml:space="preserve">GL00553</t>
  </si>
  <si>
    <t xml:space="preserve">GL00554</t>
  </si>
  <si>
    <t xml:space="preserve">GL00555</t>
  </si>
  <si>
    <t xml:space="preserve">GL00556</t>
  </si>
  <si>
    <t xml:space="preserve">GL00557</t>
  </si>
  <si>
    <t xml:space="preserve">GL00558</t>
  </si>
  <si>
    <t xml:space="preserve">GL00559</t>
  </si>
  <si>
    <t xml:space="preserve">GL00560</t>
  </si>
  <si>
    <t xml:space="preserve">GL00561</t>
  </si>
  <si>
    <t xml:space="preserve">GL00562</t>
  </si>
  <si>
    <t xml:space="preserve">GL00563</t>
  </si>
  <si>
    <t xml:space="preserve">GL00564</t>
  </si>
  <si>
    <t xml:space="preserve">GL00565</t>
  </si>
  <si>
    <t xml:space="preserve">GL00566</t>
  </si>
  <si>
    <t xml:space="preserve">GL00567</t>
  </si>
  <si>
    <t xml:space="preserve">GL00568</t>
  </si>
  <si>
    <t xml:space="preserve">GL00569</t>
  </si>
  <si>
    <t xml:space="preserve">GL00570</t>
  </si>
  <si>
    <t xml:space="preserve">GL00571</t>
  </si>
  <si>
    <t xml:space="preserve">GL00572</t>
  </si>
  <si>
    <t xml:space="preserve">GL00573</t>
  </si>
  <si>
    <t xml:space="preserve">GL00574</t>
  </si>
  <si>
    <t xml:space="preserve">GL00575</t>
  </si>
  <si>
    <t xml:space="preserve">GL00576</t>
  </si>
  <si>
    <t xml:space="preserve">GL00577</t>
  </si>
  <si>
    <t xml:space="preserve">GL00578</t>
  </si>
  <si>
    <t xml:space="preserve">GL00579</t>
  </si>
  <si>
    <t xml:space="preserve">GL00580</t>
  </si>
  <si>
    <t xml:space="preserve">GL00581</t>
  </si>
  <si>
    <t xml:space="preserve">GL00582</t>
  </si>
  <si>
    <t xml:space="preserve">GL00583</t>
  </si>
  <si>
    <t xml:space="preserve">GL00584</t>
  </si>
  <si>
    <t xml:space="preserve">GL00585</t>
  </si>
  <si>
    <t xml:space="preserve">GL00586</t>
  </si>
  <si>
    <t xml:space="preserve">GL00587</t>
  </si>
  <si>
    <t xml:space="preserve">GL00588</t>
  </si>
  <si>
    <t xml:space="preserve">GL00589</t>
  </si>
  <si>
    <t xml:space="preserve">GL00590</t>
  </si>
  <si>
    <t xml:space="preserve">GL00591</t>
  </si>
  <si>
    <t xml:space="preserve">GL00592</t>
  </si>
  <si>
    <t xml:space="preserve">GL00593</t>
  </si>
  <si>
    <t xml:space="preserve">GL00594</t>
  </si>
  <si>
    <t xml:space="preserve">GL00595</t>
  </si>
  <si>
    <t xml:space="preserve">GL00596</t>
  </si>
  <si>
    <t xml:space="preserve">GL00597</t>
  </si>
  <si>
    <t xml:space="preserve">GL00598</t>
  </si>
  <si>
    <t xml:space="preserve">GL00599</t>
  </si>
  <si>
    <t xml:space="preserve">GL00600</t>
  </si>
  <si>
    <t xml:space="preserve">GL00601</t>
  </si>
  <si>
    <t xml:space="preserve">GL00602</t>
  </si>
  <si>
    <t xml:space="preserve">GL00603</t>
  </si>
  <si>
    <t xml:space="preserve">GL00604</t>
  </si>
  <si>
    <t xml:space="preserve">GL00605</t>
  </si>
  <si>
    <t xml:space="preserve">GL00606</t>
  </si>
  <si>
    <t xml:space="preserve">GL00607</t>
  </si>
  <si>
    <t xml:space="preserve">GL00608</t>
  </si>
  <si>
    <t xml:space="preserve">GL00609</t>
  </si>
  <si>
    <t xml:space="preserve">GL00610</t>
  </si>
  <si>
    <t xml:space="preserve">GL00611</t>
  </si>
  <si>
    <t xml:space="preserve">GL00612</t>
  </si>
  <si>
    <t xml:space="preserve">GL00613</t>
  </si>
  <si>
    <t xml:space="preserve">GL00614</t>
  </si>
  <si>
    <t xml:space="preserve">GL00615</t>
  </si>
  <si>
    <t xml:space="preserve">GL00616</t>
  </si>
  <si>
    <t xml:space="preserve">GL00617</t>
  </si>
  <si>
    <t xml:space="preserve">GL00618</t>
  </si>
  <si>
    <t xml:space="preserve">GL00619</t>
  </si>
  <si>
    <t xml:space="preserve">GL00620</t>
  </si>
  <si>
    <t xml:space="preserve">GL00621</t>
  </si>
  <si>
    <t xml:space="preserve">GL00622</t>
  </si>
  <si>
    <t xml:space="preserve">GL00623</t>
  </si>
  <si>
    <t xml:space="preserve">GL00624</t>
  </si>
  <si>
    <t xml:space="preserve">GL00625</t>
  </si>
  <si>
    <t xml:space="preserve">GL00626</t>
  </si>
  <si>
    <t xml:space="preserve">GL00627</t>
  </si>
  <si>
    <t xml:space="preserve">GL00628</t>
  </si>
  <si>
    <t xml:space="preserve">GL00629</t>
  </si>
  <si>
    <t xml:space="preserve">GL00630</t>
  </si>
  <si>
    <t xml:space="preserve">GL00631</t>
  </si>
  <si>
    <t xml:space="preserve">GL00632</t>
  </si>
  <si>
    <t xml:space="preserve">GL00633</t>
  </si>
  <si>
    <t xml:space="preserve">GL00634</t>
  </si>
  <si>
    <t xml:space="preserve">GL00635</t>
  </si>
  <si>
    <t xml:space="preserve">GL00636</t>
  </si>
  <si>
    <t xml:space="preserve">GL00637</t>
  </si>
  <si>
    <t xml:space="preserve">GL00638</t>
  </si>
  <si>
    <t xml:space="preserve">GL00639</t>
  </si>
  <si>
    <t xml:space="preserve">GL00640</t>
  </si>
  <si>
    <t xml:space="preserve">GL00641</t>
  </si>
  <si>
    <t xml:space="preserve">GL00642</t>
  </si>
  <si>
    <t xml:space="preserve">GL00643</t>
  </si>
  <si>
    <t xml:space="preserve">GL00644</t>
  </si>
  <si>
    <t xml:space="preserve">GL00645</t>
  </si>
  <si>
    <t xml:space="preserve">GL00646</t>
  </si>
  <si>
    <t xml:space="preserve">GL00647</t>
  </si>
  <si>
    <t xml:space="preserve">GL00648</t>
  </si>
  <si>
    <t xml:space="preserve">GL00649</t>
  </si>
  <si>
    <t xml:space="preserve">GL00650</t>
  </si>
  <si>
    <t xml:space="preserve">GL00651</t>
  </si>
  <si>
    <t xml:space="preserve">GL00652</t>
  </si>
  <si>
    <t xml:space="preserve">GL00653</t>
  </si>
  <si>
    <t xml:space="preserve">GL00654</t>
  </si>
  <si>
    <t xml:space="preserve">GL00655</t>
  </si>
  <si>
    <t xml:space="preserve">GL00656</t>
  </si>
  <si>
    <t xml:space="preserve">GL00657</t>
  </si>
  <si>
    <t xml:space="preserve">GL00658</t>
  </si>
  <si>
    <t xml:space="preserve">GL00659</t>
  </si>
  <si>
    <t xml:space="preserve">GL00660</t>
  </si>
  <si>
    <t xml:space="preserve">GL00661</t>
  </si>
  <si>
    <t xml:space="preserve">GL00662</t>
  </si>
  <si>
    <t xml:space="preserve">GL00663</t>
  </si>
  <si>
    <t xml:space="preserve">GL00664</t>
  </si>
  <si>
    <t xml:space="preserve">GL00665</t>
  </si>
  <si>
    <t xml:space="preserve">GL00666</t>
  </si>
  <si>
    <t xml:space="preserve">GL00667</t>
  </si>
  <si>
    <t xml:space="preserve">GL00668</t>
  </si>
  <si>
    <t xml:space="preserve">GL00669</t>
  </si>
  <si>
    <t xml:space="preserve">GL00670</t>
  </si>
  <si>
    <t xml:space="preserve">GL00671</t>
  </si>
  <si>
    <t xml:space="preserve">GL00672</t>
  </si>
  <si>
    <t xml:space="preserve">GL00673</t>
  </si>
  <si>
    <t xml:space="preserve">GL00674</t>
  </si>
  <si>
    <t xml:space="preserve">GL00675</t>
  </si>
  <si>
    <t xml:space="preserve">GL00676</t>
  </si>
  <si>
    <t xml:space="preserve">GL00677</t>
  </si>
  <si>
    <t xml:space="preserve">GL00678</t>
  </si>
  <si>
    <t xml:space="preserve">GL00679</t>
  </si>
  <si>
    <t xml:space="preserve">GL00680</t>
  </si>
  <si>
    <t xml:space="preserve">GL00681</t>
  </si>
  <si>
    <t xml:space="preserve">GL00682</t>
  </si>
  <si>
    <t xml:space="preserve">GL00683</t>
  </si>
  <si>
    <t xml:space="preserve">GL00684</t>
  </si>
  <si>
    <t xml:space="preserve">GL00685</t>
  </si>
  <si>
    <t xml:space="preserve">GL00686</t>
  </si>
  <si>
    <t xml:space="preserve">GL00687</t>
  </si>
  <si>
    <t xml:space="preserve">GL00688</t>
  </si>
  <si>
    <t xml:space="preserve">GL00689</t>
  </si>
  <si>
    <t xml:space="preserve">GL00690</t>
  </si>
  <si>
    <t xml:space="preserve">GL00691</t>
  </si>
  <si>
    <t xml:space="preserve">GL00692</t>
  </si>
  <si>
    <t xml:space="preserve">GL00693</t>
  </si>
  <si>
    <t xml:space="preserve">GL00694</t>
  </si>
  <si>
    <t xml:space="preserve">GL00695</t>
  </si>
  <si>
    <t xml:space="preserve">GL00696</t>
  </si>
  <si>
    <t xml:space="preserve">GL00697</t>
  </si>
  <si>
    <t xml:space="preserve">GL00698</t>
  </si>
  <si>
    <t xml:space="preserve">GL00699</t>
  </si>
  <si>
    <t xml:space="preserve">GL00700</t>
  </si>
  <si>
    <t xml:space="preserve">GL00701</t>
  </si>
  <si>
    <t xml:space="preserve">GL00702</t>
  </si>
  <si>
    <t xml:space="preserve">GL00703</t>
  </si>
  <si>
    <t xml:space="preserve">GL00704</t>
  </si>
  <si>
    <t xml:space="preserve">GL00705</t>
  </si>
  <si>
    <t xml:space="preserve">GL00706</t>
  </si>
  <si>
    <t xml:space="preserve">GL00707</t>
  </si>
  <si>
    <t xml:space="preserve">GL00708</t>
  </si>
  <si>
    <t xml:space="preserve">GL00709</t>
  </si>
  <si>
    <t xml:space="preserve">GL00710</t>
  </si>
  <si>
    <t xml:space="preserve">GL00711</t>
  </si>
  <si>
    <t xml:space="preserve">GL00712</t>
  </si>
  <si>
    <t xml:space="preserve">GL00713</t>
  </si>
  <si>
    <t xml:space="preserve">GL00714</t>
  </si>
  <si>
    <t xml:space="preserve">GL00715</t>
  </si>
  <si>
    <t xml:space="preserve">GL00716</t>
  </si>
  <si>
    <t xml:space="preserve">GL00717</t>
  </si>
  <si>
    <t xml:space="preserve">GL00718</t>
  </si>
  <si>
    <t xml:space="preserve">GL00719</t>
  </si>
  <si>
    <t xml:space="preserve">GL00720</t>
  </si>
  <si>
    <t xml:space="preserve">GL00721</t>
  </si>
  <si>
    <t xml:space="preserve">GL00722</t>
  </si>
  <si>
    <t xml:space="preserve">GL00723</t>
  </si>
  <si>
    <t xml:space="preserve">GL00724</t>
  </si>
  <si>
    <t xml:space="preserve">GL00725</t>
  </si>
  <si>
    <t xml:space="preserve">GL00726</t>
  </si>
  <si>
    <t xml:space="preserve">GL00727</t>
  </si>
  <si>
    <t xml:space="preserve">GL00728</t>
  </si>
  <si>
    <t xml:space="preserve">GL00729</t>
  </si>
  <si>
    <t xml:space="preserve">GL00730</t>
  </si>
  <si>
    <t xml:space="preserve">GL00731</t>
  </si>
  <si>
    <t xml:space="preserve">GL00732</t>
  </si>
  <si>
    <t xml:space="preserve">GL00733</t>
  </si>
  <si>
    <t xml:space="preserve">GL00734</t>
  </si>
  <si>
    <t xml:space="preserve">GL00735</t>
  </si>
  <si>
    <t xml:space="preserve">GL00736</t>
  </si>
  <si>
    <t xml:space="preserve">GL00737</t>
  </si>
  <si>
    <t xml:space="preserve">GL00738</t>
  </si>
  <si>
    <t xml:space="preserve">GL00739</t>
  </si>
  <si>
    <t xml:space="preserve">GL00740</t>
  </si>
  <si>
    <t xml:space="preserve">GL00741</t>
  </si>
  <si>
    <t xml:space="preserve">GL00742</t>
  </si>
  <si>
    <t xml:space="preserve">GL00743</t>
  </si>
  <si>
    <t xml:space="preserve">GL00744</t>
  </si>
  <si>
    <t xml:space="preserve">GL00745</t>
  </si>
  <si>
    <t xml:space="preserve">GL00746</t>
  </si>
  <si>
    <t xml:space="preserve">GL00747</t>
  </si>
  <si>
    <t xml:space="preserve">GL00748</t>
  </si>
  <si>
    <t xml:space="preserve">GL00749</t>
  </si>
  <si>
    <t xml:space="preserve">GL00750</t>
  </si>
  <si>
    <t xml:space="preserve">GL00751</t>
  </si>
  <si>
    <t xml:space="preserve">GL00752</t>
  </si>
  <si>
    <t xml:space="preserve">GL00753</t>
  </si>
  <si>
    <t xml:space="preserve">GL00754</t>
  </si>
  <si>
    <t xml:space="preserve">GL00755</t>
  </si>
  <si>
    <t xml:space="preserve">GL00756</t>
  </si>
  <si>
    <t xml:space="preserve">GL00757</t>
  </si>
  <si>
    <t xml:space="preserve">GL00758</t>
  </si>
  <si>
    <t xml:space="preserve">GL00759</t>
  </si>
  <si>
    <t xml:space="preserve">GL00760</t>
  </si>
  <si>
    <t xml:space="preserve">GL00761</t>
  </si>
  <si>
    <t xml:space="preserve">GL00762</t>
  </si>
  <si>
    <t xml:space="preserve">GL00763</t>
  </si>
  <si>
    <t xml:space="preserve">GL00764</t>
  </si>
  <si>
    <t xml:space="preserve">GL00765</t>
  </si>
  <si>
    <t xml:space="preserve">GL00766</t>
  </si>
  <si>
    <t xml:space="preserve">GL00767</t>
  </si>
  <si>
    <t xml:space="preserve">GL00768</t>
  </si>
  <si>
    <t xml:space="preserve">GL00769</t>
  </si>
  <si>
    <t xml:space="preserve">GL00770</t>
  </si>
  <si>
    <t xml:space="preserve">GL00771</t>
  </si>
  <si>
    <t xml:space="preserve">GL00772</t>
  </si>
  <si>
    <t xml:space="preserve">GL00773</t>
  </si>
  <si>
    <t xml:space="preserve">GL00774</t>
  </si>
  <si>
    <t xml:space="preserve">GL00775</t>
  </si>
  <si>
    <t xml:space="preserve">GL00776</t>
  </si>
  <si>
    <t xml:space="preserve">GL00777</t>
  </si>
  <si>
    <t xml:space="preserve">GL00778</t>
  </si>
  <si>
    <t xml:space="preserve">GL00779</t>
  </si>
  <si>
    <t xml:space="preserve">GL00780</t>
  </si>
  <si>
    <t xml:space="preserve">GL00781</t>
  </si>
  <si>
    <t xml:space="preserve">GL00782</t>
  </si>
  <si>
    <t xml:space="preserve">GL00783</t>
  </si>
  <si>
    <t xml:space="preserve">GL00784</t>
  </si>
  <si>
    <t xml:space="preserve">GL00785</t>
  </si>
  <si>
    <t xml:space="preserve">GL00786</t>
  </si>
  <si>
    <t xml:space="preserve">GL00787</t>
  </si>
  <si>
    <t xml:space="preserve">GL00788</t>
  </si>
  <si>
    <t xml:space="preserve">GL00789</t>
  </si>
  <si>
    <t xml:space="preserve">GL00790</t>
  </si>
  <si>
    <t xml:space="preserve">GL00791</t>
  </si>
  <si>
    <t xml:space="preserve">GL00792</t>
  </si>
  <si>
    <t xml:space="preserve">GL00793</t>
  </si>
  <si>
    <t xml:space="preserve">GL00794</t>
  </si>
  <si>
    <t xml:space="preserve">GL00795</t>
  </si>
  <si>
    <t xml:space="preserve">GL00796</t>
  </si>
  <si>
    <t xml:space="preserve">GL00797</t>
  </si>
  <si>
    <t xml:space="preserve">GL00798</t>
  </si>
  <si>
    <t xml:space="preserve">GL00799</t>
  </si>
  <si>
    <t xml:space="preserve">GL00800</t>
  </si>
  <si>
    <t xml:space="preserve">GL00801</t>
  </si>
  <si>
    <t xml:space="preserve">GL00802</t>
  </si>
  <si>
    <t xml:space="preserve">GL00803</t>
  </si>
  <si>
    <t xml:space="preserve">GL00804</t>
  </si>
  <si>
    <t xml:space="preserve">GL00805</t>
  </si>
  <si>
    <t xml:space="preserve">GL00806</t>
  </si>
  <si>
    <t xml:space="preserve">GL00807</t>
  </si>
  <si>
    <t xml:space="preserve">GL00808</t>
  </si>
  <si>
    <t xml:space="preserve">GL00809</t>
  </si>
  <si>
    <t xml:space="preserve">GL00810</t>
  </si>
  <si>
    <t xml:space="preserve">GL00811</t>
  </si>
  <si>
    <t xml:space="preserve">GL00812</t>
  </si>
  <si>
    <t xml:space="preserve">GL00813</t>
  </si>
  <si>
    <t xml:space="preserve">GL00814</t>
  </si>
  <si>
    <t xml:space="preserve">GL00815</t>
  </si>
  <si>
    <t xml:space="preserve">GL00816</t>
  </si>
  <si>
    <t xml:space="preserve">GL00817</t>
  </si>
  <si>
    <t xml:space="preserve">GL00818</t>
  </si>
  <si>
    <t xml:space="preserve">GL00819</t>
  </si>
  <si>
    <t xml:space="preserve">GL00820</t>
  </si>
  <si>
    <t xml:space="preserve">GL00821</t>
  </si>
  <si>
    <t xml:space="preserve">GL00822</t>
  </si>
  <si>
    <t xml:space="preserve">GL00823</t>
  </si>
  <si>
    <t xml:space="preserve">GL00824</t>
  </si>
  <si>
    <t xml:space="preserve">GL00825</t>
  </si>
  <si>
    <t xml:space="preserve">GL00826</t>
  </si>
  <si>
    <t xml:space="preserve">GL00827</t>
  </si>
  <si>
    <t xml:space="preserve">GL00828</t>
  </si>
  <si>
    <t xml:space="preserve">GL00829</t>
  </si>
  <si>
    <t xml:space="preserve">GL00830</t>
  </si>
  <si>
    <t xml:space="preserve">GL00831</t>
  </si>
  <si>
    <t xml:space="preserve">GL00832</t>
  </si>
  <si>
    <t xml:space="preserve">GL00833</t>
  </si>
  <si>
    <t xml:space="preserve">GL00834</t>
  </si>
  <si>
    <t xml:space="preserve">GL00835</t>
  </si>
  <si>
    <t xml:space="preserve">GL00836</t>
  </si>
  <si>
    <t xml:space="preserve">GL00837</t>
  </si>
  <si>
    <t xml:space="preserve">GL00838</t>
  </si>
  <si>
    <t xml:space="preserve">GL00839</t>
  </si>
  <si>
    <t xml:space="preserve">GL00840</t>
  </si>
  <si>
    <t xml:space="preserve">GL00841</t>
  </si>
  <si>
    <t xml:space="preserve">GL00842</t>
  </si>
  <si>
    <t xml:space="preserve">GL00843</t>
  </si>
  <si>
    <t xml:space="preserve">GL00844</t>
  </si>
  <si>
    <t xml:space="preserve">GL00845</t>
  </si>
  <si>
    <t xml:space="preserve">GL00846</t>
  </si>
  <si>
    <t xml:space="preserve">GL00847</t>
  </si>
  <si>
    <t xml:space="preserve">GL00848</t>
  </si>
  <si>
    <t xml:space="preserve">GL00849</t>
  </si>
  <si>
    <t xml:space="preserve">GL00850</t>
  </si>
  <si>
    <t xml:space="preserve">GL00851</t>
  </si>
  <si>
    <t xml:space="preserve">GL00852</t>
  </si>
  <si>
    <t xml:space="preserve">GL00853</t>
  </si>
  <si>
    <t xml:space="preserve">GL00854</t>
  </si>
  <si>
    <t xml:space="preserve">GL00855</t>
  </si>
  <si>
    <t xml:space="preserve">GL00856</t>
  </si>
  <si>
    <t xml:space="preserve">GL00857</t>
  </si>
  <si>
    <t xml:space="preserve">GL00858</t>
  </si>
  <si>
    <t xml:space="preserve">GL00859</t>
  </si>
  <si>
    <t xml:space="preserve">GL00860</t>
  </si>
  <si>
    <t xml:space="preserve">GL00861</t>
  </si>
  <si>
    <t xml:space="preserve">GL00862</t>
  </si>
  <si>
    <t xml:space="preserve">GL00863</t>
  </si>
  <si>
    <t xml:space="preserve">GL00864</t>
  </si>
  <si>
    <t xml:space="preserve">GL00865</t>
  </si>
  <si>
    <t xml:space="preserve">GL00866</t>
  </si>
  <si>
    <t xml:space="preserve">GL00867</t>
  </si>
  <si>
    <t xml:space="preserve">GL00868</t>
  </si>
  <si>
    <t xml:space="preserve">GL00869</t>
  </si>
  <si>
    <t xml:space="preserve">GL00870</t>
  </si>
  <si>
    <t xml:space="preserve">GL00871</t>
  </si>
  <si>
    <t xml:space="preserve">GL00872</t>
  </si>
  <si>
    <t xml:space="preserve">GL00873</t>
  </si>
  <si>
    <t xml:space="preserve">GL00874</t>
  </si>
  <si>
    <t xml:space="preserve">GL00875</t>
  </si>
  <si>
    <t xml:space="preserve">GL00876</t>
  </si>
  <si>
    <t xml:space="preserve">GL00877</t>
  </si>
  <si>
    <t xml:space="preserve">GL00878</t>
  </si>
  <si>
    <t xml:space="preserve">GL00879</t>
  </si>
  <si>
    <t xml:space="preserve">GL00880</t>
  </si>
  <si>
    <t xml:space="preserve">GL00881</t>
  </si>
  <si>
    <t xml:space="preserve">GL00882</t>
  </si>
  <si>
    <t xml:space="preserve">GL00883</t>
  </si>
  <si>
    <t xml:space="preserve">GL00884</t>
  </si>
  <si>
    <t xml:space="preserve">GL00885</t>
  </si>
  <si>
    <t xml:space="preserve">GL00886</t>
  </si>
  <si>
    <t xml:space="preserve">GL00887</t>
  </si>
  <si>
    <t xml:space="preserve">GL00888</t>
  </si>
  <si>
    <t xml:space="preserve">GL00889</t>
  </si>
  <si>
    <t xml:space="preserve">GL00890</t>
  </si>
  <si>
    <t xml:space="preserve">GL00891</t>
  </si>
  <si>
    <t xml:space="preserve">GL00892</t>
  </si>
  <si>
    <t xml:space="preserve">GL00893</t>
  </si>
  <si>
    <t xml:space="preserve">GL00894</t>
  </si>
  <si>
    <t xml:space="preserve">GL00895</t>
  </si>
  <si>
    <t xml:space="preserve">GL00896</t>
  </si>
  <si>
    <t xml:space="preserve">GL00897</t>
  </si>
  <si>
    <t xml:space="preserve">GL00898</t>
  </si>
  <si>
    <t xml:space="preserve">GL00899</t>
  </si>
  <si>
    <t xml:space="preserve">GL00900</t>
  </si>
  <si>
    <t xml:space="preserve">GL00901</t>
  </si>
  <si>
    <t xml:space="preserve">GL00902</t>
  </si>
  <si>
    <t xml:space="preserve">GL00903</t>
  </si>
  <si>
    <t xml:space="preserve">GL00904</t>
  </si>
  <si>
    <t xml:space="preserve">GL00905</t>
  </si>
  <si>
    <t xml:space="preserve">GL00906</t>
  </si>
  <si>
    <t xml:space="preserve">GL00907</t>
  </si>
  <si>
    <t xml:space="preserve">GL00908</t>
  </si>
  <si>
    <t xml:space="preserve">GL00909</t>
  </si>
  <si>
    <t xml:space="preserve">GL00910</t>
  </si>
  <si>
    <t xml:space="preserve">GL00911</t>
  </si>
  <si>
    <t xml:space="preserve">GL00912</t>
  </si>
  <si>
    <t xml:space="preserve">GL00913</t>
  </si>
  <si>
    <t xml:space="preserve">GL00914</t>
  </si>
  <si>
    <t xml:space="preserve">GL00915</t>
  </si>
  <si>
    <t xml:space="preserve">GL00916</t>
  </si>
  <si>
    <t xml:space="preserve">GL00917</t>
  </si>
  <si>
    <t xml:space="preserve">GL00918</t>
  </si>
  <si>
    <t xml:space="preserve">GL00919</t>
  </si>
  <si>
    <t xml:space="preserve">GL00920</t>
  </si>
  <si>
    <t xml:space="preserve">GL00921</t>
  </si>
  <si>
    <t xml:space="preserve">GL00922</t>
  </si>
  <si>
    <t xml:space="preserve">GL00923</t>
  </si>
  <si>
    <t xml:space="preserve">GL00924</t>
  </si>
  <si>
    <t xml:space="preserve">GL00925</t>
  </si>
  <si>
    <t xml:space="preserve">GL00926</t>
  </si>
  <si>
    <t xml:space="preserve">GL00927</t>
  </si>
  <si>
    <t xml:space="preserve">GL00928</t>
  </si>
  <si>
    <t xml:space="preserve">GL00929</t>
  </si>
  <si>
    <t xml:space="preserve">GL00930</t>
  </si>
  <si>
    <t xml:space="preserve">GL00931</t>
  </si>
  <si>
    <t xml:space="preserve">GL00932</t>
  </si>
  <si>
    <t xml:space="preserve">GL00933</t>
  </si>
  <si>
    <t xml:space="preserve">GL00934</t>
  </si>
  <si>
    <t xml:space="preserve">GL00935</t>
  </si>
  <si>
    <t xml:space="preserve">GL00936</t>
  </si>
  <si>
    <t xml:space="preserve">GL00937</t>
  </si>
  <si>
    <t xml:space="preserve">GL00938</t>
  </si>
  <si>
    <t xml:space="preserve">GL00939</t>
  </si>
  <si>
    <t xml:space="preserve">GL00940</t>
  </si>
  <si>
    <t xml:space="preserve">GL00941</t>
  </si>
  <si>
    <t xml:space="preserve">GL00942</t>
  </si>
  <si>
    <t xml:space="preserve">GL00943</t>
  </si>
  <si>
    <t xml:space="preserve">GL00944</t>
  </si>
  <si>
    <t xml:space="preserve">GL00945</t>
  </si>
  <si>
    <t xml:space="preserve">GL00946</t>
  </si>
  <si>
    <t xml:space="preserve">GL00947</t>
  </si>
  <si>
    <t xml:space="preserve">GL00948</t>
  </si>
  <si>
    <t xml:space="preserve">GL00949</t>
  </si>
  <si>
    <t xml:space="preserve">GL00950</t>
  </si>
  <si>
    <t xml:space="preserve">GL00951</t>
  </si>
  <si>
    <t xml:space="preserve">GL00952</t>
  </si>
  <si>
    <t xml:space="preserve">GL00953</t>
  </si>
  <si>
    <t xml:space="preserve">GL00954</t>
  </si>
  <si>
    <t xml:space="preserve">GL00955</t>
  </si>
  <si>
    <t xml:space="preserve">GL00956</t>
  </si>
  <si>
    <t xml:space="preserve">GL00957</t>
  </si>
  <si>
    <t xml:space="preserve">GL00958</t>
  </si>
  <si>
    <t xml:space="preserve">GL00959</t>
  </si>
  <si>
    <t xml:space="preserve">GL00960</t>
  </si>
  <si>
    <t xml:space="preserve">GL00961</t>
  </si>
  <si>
    <t xml:space="preserve">GL00962</t>
  </si>
  <si>
    <t xml:space="preserve">GL00963</t>
  </si>
  <si>
    <t xml:space="preserve">GL00964</t>
  </si>
  <si>
    <t xml:space="preserve">GL00965</t>
  </si>
  <si>
    <t xml:space="preserve">GL00966</t>
  </si>
  <si>
    <t xml:space="preserve">GL00967</t>
  </si>
  <si>
    <t xml:space="preserve">GL00968</t>
  </si>
  <si>
    <t xml:space="preserve">GL00969</t>
  </si>
  <si>
    <t xml:space="preserve">GL00970</t>
  </si>
  <si>
    <t xml:space="preserve">GL00971</t>
  </si>
  <si>
    <t xml:space="preserve">GL00972</t>
  </si>
  <si>
    <t xml:space="preserve">GL00973</t>
  </si>
  <si>
    <t xml:space="preserve">GL00974</t>
  </si>
  <si>
    <t xml:space="preserve">GL00975</t>
  </si>
  <si>
    <t xml:space="preserve">GL00976</t>
  </si>
  <si>
    <t xml:space="preserve">GL00977</t>
  </si>
  <si>
    <t xml:space="preserve">GL00978</t>
  </si>
  <si>
    <t xml:space="preserve">GL00979</t>
  </si>
  <si>
    <t xml:space="preserve">GL00980</t>
  </si>
  <si>
    <t xml:space="preserve">GL00981</t>
  </si>
  <si>
    <t xml:space="preserve">GL00982</t>
  </si>
  <si>
    <t xml:space="preserve">GL00983</t>
  </si>
  <si>
    <t xml:space="preserve">GL00984</t>
  </si>
  <si>
    <t xml:space="preserve">GL00985</t>
  </si>
  <si>
    <t xml:space="preserve">GL00986</t>
  </si>
  <si>
    <t xml:space="preserve">GL00987</t>
  </si>
  <si>
    <t xml:space="preserve">GL00988</t>
  </si>
  <si>
    <t xml:space="preserve">GL00989</t>
  </si>
  <si>
    <t xml:space="preserve">GL00990</t>
  </si>
  <si>
    <t xml:space="preserve">GL00991</t>
  </si>
  <si>
    <t xml:space="preserve">GL00992</t>
  </si>
  <si>
    <t xml:space="preserve">GL00993</t>
  </si>
  <si>
    <t xml:space="preserve">GL00994</t>
  </si>
  <si>
    <t xml:space="preserve">GL00995</t>
  </si>
  <si>
    <t xml:space="preserve">GL00996</t>
  </si>
  <si>
    <t xml:space="preserve">GL00997</t>
  </si>
  <si>
    <t xml:space="preserve">GL00998</t>
  </si>
  <si>
    <t xml:space="preserve">GL00999</t>
  </si>
  <si>
    <t xml:space="preserve">GL01000</t>
  </si>
  <si>
    <t xml:space="preserve">GL01001</t>
  </si>
  <si>
    <t xml:space="preserve">GL01002</t>
  </si>
  <si>
    <t xml:space="preserve">GL01003</t>
  </si>
  <si>
    <t xml:space="preserve">GL01004</t>
  </si>
  <si>
    <t xml:space="preserve">GL01005</t>
  </si>
  <si>
    <t xml:space="preserve">GL01006</t>
  </si>
  <si>
    <t xml:space="preserve">GL01007</t>
  </si>
  <si>
    <t xml:space="preserve">GL01008</t>
  </si>
  <si>
    <t xml:space="preserve">GL01009</t>
  </si>
  <si>
    <t xml:space="preserve">GL01010</t>
  </si>
  <si>
    <t xml:space="preserve">GL01011</t>
  </si>
  <si>
    <t xml:space="preserve">GL01012</t>
  </si>
  <si>
    <t xml:space="preserve">GL01013</t>
  </si>
  <si>
    <t xml:space="preserve">GL01014</t>
  </si>
  <si>
    <t xml:space="preserve">GL01015</t>
  </si>
  <si>
    <t xml:space="preserve">GL01016</t>
  </si>
  <si>
    <t xml:space="preserve">GL01017</t>
  </si>
  <si>
    <t xml:space="preserve">GL01018</t>
  </si>
  <si>
    <t xml:space="preserve">GL01019</t>
  </si>
  <si>
    <t xml:space="preserve">GL01020</t>
  </si>
  <si>
    <t xml:space="preserve">GL01021</t>
  </si>
  <si>
    <t xml:space="preserve">GL01022</t>
  </si>
  <si>
    <t xml:space="preserve">GL01023</t>
  </si>
  <si>
    <t xml:space="preserve">GL01024</t>
  </si>
  <si>
    <t xml:space="preserve">GL01025</t>
  </si>
  <si>
    <t xml:space="preserve">GL01026</t>
  </si>
  <si>
    <t xml:space="preserve">GL01027</t>
  </si>
  <si>
    <t xml:space="preserve">GL01028</t>
  </si>
  <si>
    <t xml:space="preserve">GL01029</t>
  </si>
  <si>
    <t xml:space="preserve">GL01030</t>
  </si>
  <si>
    <t xml:space="preserve">GL01031</t>
  </si>
  <si>
    <t xml:space="preserve">GL01032</t>
  </si>
  <si>
    <t xml:space="preserve">GL01033</t>
  </si>
  <si>
    <t xml:space="preserve">GL01034</t>
  </si>
  <si>
    <t xml:space="preserve">GL01035</t>
  </si>
  <si>
    <t xml:space="preserve">GL01036</t>
  </si>
  <si>
    <t xml:space="preserve">GL01037</t>
  </si>
  <si>
    <t xml:space="preserve">GL01038</t>
  </si>
  <si>
    <t xml:space="preserve">GL01039</t>
  </si>
  <si>
    <t xml:space="preserve">GL01040</t>
  </si>
  <si>
    <t xml:space="preserve">GL01041</t>
  </si>
  <si>
    <t xml:space="preserve">GL01042</t>
  </si>
  <si>
    <t xml:space="preserve">GL01043</t>
  </si>
  <si>
    <t xml:space="preserve">GL01044</t>
  </si>
  <si>
    <t xml:space="preserve">GL01045</t>
  </si>
  <si>
    <t xml:space="preserve">GL01046</t>
  </si>
  <si>
    <t xml:space="preserve">GL01047</t>
  </si>
  <si>
    <t xml:space="preserve">GL01048</t>
  </si>
  <si>
    <t xml:space="preserve">GL01049</t>
  </si>
  <si>
    <t xml:space="preserve">GL01050</t>
  </si>
  <si>
    <t xml:space="preserve">GL01051</t>
  </si>
  <si>
    <t xml:space="preserve">GL01052</t>
  </si>
  <si>
    <t xml:space="preserve">GL01053</t>
  </si>
  <si>
    <t xml:space="preserve">GL01054</t>
  </si>
  <si>
    <t xml:space="preserve">GL01055</t>
  </si>
  <si>
    <t xml:space="preserve">GL01056</t>
  </si>
  <si>
    <t xml:space="preserve">GL01057</t>
  </si>
  <si>
    <t xml:space="preserve">GL01058</t>
  </si>
  <si>
    <t xml:space="preserve">GL01059</t>
  </si>
  <si>
    <t xml:space="preserve">GL01060</t>
  </si>
  <si>
    <t xml:space="preserve">GL01061</t>
  </si>
  <si>
    <t xml:space="preserve">GL01062</t>
  </si>
  <si>
    <t xml:space="preserve">GL01063</t>
  </si>
  <si>
    <t xml:space="preserve">GL01064</t>
  </si>
  <si>
    <t xml:space="preserve">GL01065</t>
  </si>
  <si>
    <t xml:space="preserve">GL01066</t>
  </si>
  <si>
    <t xml:space="preserve">GL01067</t>
  </si>
  <si>
    <t xml:space="preserve">GL01068</t>
  </si>
  <si>
    <t xml:space="preserve">GL01069</t>
  </si>
  <si>
    <t xml:space="preserve">GL01070</t>
  </si>
  <si>
    <t xml:space="preserve">GL01071</t>
  </si>
  <si>
    <t xml:space="preserve">GL01072</t>
  </si>
  <si>
    <t xml:space="preserve">GL01073</t>
  </si>
  <si>
    <t xml:space="preserve">GL01074</t>
  </si>
  <si>
    <t xml:space="preserve">GL01075</t>
  </si>
  <si>
    <t xml:space="preserve">GL01076</t>
  </si>
  <si>
    <t xml:space="preserve">GL01077</t>
  </si>
  <si>
    <t xml:space="preserve">GL01078</t>
  </si>
  <si>
    <t xml:space="preserve">GL01079</t>
  </si>
  <si>
    <t xml:space="preserve">GL01080</t>
  </si>
  <si>
    <t xml:space="preserve">GL01081</t>
  </si>
  <si>
    <t xml:space="preserve">GL01082</t>
  </si>
  <si>
    <t xml:space="preserve">GL01083</t>
  </si>
  <si>
    <t xml:space="preserve">GL01084</t>
  </si>
  <si>
    <t xml:space="preserve">GL01085</t>
  </si>
  <si>
    <t xml:space="preserve">GL01086</t>
  </si>
  <si>
    <t xml:space="preserve">GL01087</t>
  </si>
  <si>
    <t xml:space="preserve">KPI dictionary</t>
  </si>
  <si>
    <t xml:space="preserve">Definitions used in this corporate-tax pack</t>
  </si>
  <si>
    <t xml:space="preserve">KPI</t>
  </si>
  <si>
    <t xml:space="preserve">Definition</t>
  </si>
  <si>
    <t xml:space="preserve">Why it matters</t>
  </si>
  <si>
    <t xml:space="preserve">Total income − total expenses from the GL register.</t>
  </si>
  <si>
    <t xml:space="preserve">Starting point for the tax computation.</t>
  </si>
  <si>
    <t xml:space="preserve">Accounting profit ± adjustments − losses utilised.</t>
  </si>
  <si>
    <t xml:space="preserve">Base on which the 9% rate applies.</t>
  </si>
  <si>
    <t xml:space="preserve">Effective tax rate</t>
  </si>
  <si>
    <t xml:space="preserve">Net CT payable ÷ accounting profit.</t>
  </si>
  <si>
    <t xml:space="preserve">Shows how exempt income, losses and the 0% band reduce the headline 9%.</t>
  </si>
  <si>
    <t xml:space="preserve">Tax cost of non-deductibles</t>
  </si>
  <si>
    <t xml:space="preserve">Total add-backs × 9%.</t>
  </si>
  <si>
    <t xml:space="preserve">Quantifies the cash cost of policy leakage (fines, personal items, entertainment).</t>
  </si>
  <si>
    <t xml:space="preserve">Exempt income × 9%.</t>
  </si>
  <si>
    <t xml:space="preserve">Value of the participation exemption.</t>
  </si>
  <si>
    <t xml:space="preserve">Interest headroom</t>
  </si>
  <si>
    <t xml:space="preserve">Deductible-interest cap − net interest expense.</t>
  </si>
  <si>
    <t xml:space="preserve">Capacity before the interest limitation bites.</t>
  </si>
  <si>
    <t xml:space="preserve">B/F losses − losses utilised.</t>
  </si>
  <si>
    <t xml:space="preserve">Future tax shield.</t>
  </si>
  <si>
    <t xml:space="preserve">Integrity checks</t>
  </si>
  <si>
    <t xml:space="preserve">All checks must show PASS (tolerance AED 1)</t>
  </si>
  <si>
    <t xml:space="preserve">Overall status</t>
  </si>
  <si>
    <t xml:space="preserve">Check</t>
  </si>
  <si>
    <t xml:space="preserve">Value A</t>
  </si>
  <si>
    <t xml:space="preserve">Value B</t>
  </si>
  <si>
    <t xml:space="preserve">Difference</t>
  </si>
  <si>
    <t xml:space="preserve">GL lines loaded (1,087)</t>
  </si>
  <si>
    <t xml:space="preserve">Accounting profit = sum of P&amp;L effect column</t>
  </si>
  <si>
    <t xml:space="preserve">Total adjustments = register adjustments (excl. interest / donation cap)</t>
  </si>
  <si>
    <t xml:space="preserve">Rate reconciliation = computation</t>
  </si>
  <si>
    <t xml:space="preserve">Sensitivity base case = computation</t>
  </si>
  <si>
    <t xml:space="preserve">Every GL line has a valid treatment code</t>
  </si>
  <si>
    <t xml:space="preserve">Adjustment summary lines = register lines</t>
  </si>
  <si>
    <t xml:space="preserve">Taxable income is non-negative (1 = yes)</t>
  </si>
  <si>
    <t xml:space="preserve">Loss roll-forward: b/f − utilised = c/f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</si>
</sst>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[&gt;=1000000]&quot;AED &quot;#,##0.0,,\M;[&lt;=-1000000]&quot;-AED &quot;#,##0.0,,\M;&quot;AED &quot;#,##0,\K"/>
    <numFmt numFmtId="166" formatCode="0.00%"/>
    <numFmt numFmtId="167" formatCode="#,##0.0,,\M"/>
    <numFmt numFmtId="168" formatCode="#,##0;\-#,##0"/>
    <numFmt numFmtId="169" formatCode="0.00%;\-0.00%"/>
    <numFmt numFmtId="170" formatCode="#,##0,\K"/>
    <numFmt numFmtId="171" formatCode="#,##0"/>
    <numFmt numFmtId="172" formatCode="0"/>
    <numFmt numFmtId="173" formatCode="#,##0;\-#,##0;\–"/>
    <numFmt numFmtId="174" formatCode="0.0%;\-0.0%;0.0%"/>
    <numFmt numFmtId="175" formatCode="\+0%;\-0%;&quot;Base&quot;"/>
    <numFmt numFmtId="176" formatCode="[&gt;=1000000]#,##0.0,,\M;[&lt;=-1000000]\-#,##0.0,,\M;#,##0,\K"/>
    <numFmt numFmtId="177" formatCode="0.00"/>
    <numFmt numFmtId="178" formatCode="0.0%"/>
    <numFmt numFmtId="179" formatCode="0%"/>
    <numFmt numFmtId="180" formatCode="0.0;\-0.0;0"/>
    <numFmt numFmtId="181" formatCode="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008000"/>
      <name val="Calibri"/>
      <family val="0"/>
      <charset val="1"/>
    </font>
    <font>
      <b val="true"/>
      <sz val="11"/>
      <color rgb="FF1B2A41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8000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sz val="9"/>
      <color rgb="FF555555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2A41"/>
        <bgColor rgb="FF003366"/>
      </patternFill>
    </fill>
    <fill>
      <patternFill patternType="solid">
        <fgColor rgb="FFD8A94E"/>
        <bgColor rgb="FFE9A23B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thin">
        <color rgb="FFBFC6D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8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0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Calibri"/>
        <charset val="1"/>
        <family val="0"/>
        <color rgb="FFC0392B"/>
      </font>
    </dxf>
    <dxf>
      <font>
        <name val="Calibri"/>
        <charset val="1"/>
        <family val="0"/>
        <color rgb="FF2E8B57"/>
      </font>
    </dxf>
    <dxf>
      <font>
        <name val="Calibri"/>
        <charset val="1"/>
        <family val="0"/>
        <b val="1"/>
        <color rgb="FF2E8B57"/>
      </font>
    </dxf>
    <dxf>
      <font>
        <name val="Calibri"/>
        <charset val="1"/>
        <family val="0"/>
        <b val="1"/>
        <color rgb="FFC0392B"/>
      </font>
    </dxf>
    <dxf>
      <fill>
        <patternFill patternType="solid">
          <fgColor rgb="FF1B2A4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6D0"/>
      <rgbColor rgb="FF878787"/>
      <rgbColor rgb="FF7F8C8D"/>
      <rgbColor rgb="FF993366"/>
      <rgbColor rgb="FFFFFFCC"/>
      <rgbColor rgb="FFCCFFFF"/>
      <rgbColor rgb="FF660066"/>
      <rgbColor rgb="FFD8A94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FA9A0"/>
      <rgbColor rgb="FF99CC00"/>
      <rgbColor rgb="FFFFCC00"/>
      <rgbColor rgb="FFE9A23B"/>
      <rgbColor rgb="FFFF6600"/>
      <rgbColor rgb="FF666666"/>
      <rgbColor rgb="FF888888"/>
      <rgbColor rgb="FF003366"/>
      <rgbColor rgb="FF2E8B57"/>
      <rgbColor rgb="FF003300"/>
      <rgbColor rgb="FF333300"/>
      <rgbColor rgb="FFC0392B"/>
      <rgbColor rgb="FF993366"/>
      <rgbColor rgb="FF555555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Accounting profit to taxable income (AED)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Exec_Summary!E21</c:f>
              <c:strCache>
                <c:ptCount val="1"/>
                <c:pt idx="0">
                  <c:v>Base (hidden)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Exec_Summary!$B$22:$B$26</c:f>
              <c:strCache>
                <c:ptCount val="5"/>
                <c:pt idx="0">
                  <c:v>Accounting profit</c:v>
                </c:pt>
                <c:pt idx="1">
                  <c:v>Non-deductible add-backs</c:v>
                </c:pt>
                <c:pt idx="2">
                  <c:v>Exempt income</c:v>
                </c:pt>
                <c:pt idx="3">
                  <c:v>Losses utilised</c:v>
                </c:pt>
                <c:pt idx="4">
                  <c:v>Taxable income</c:v>
                </c:pt>
              </c:strCache>
            </c:strRef>
          </c:cat>
          <c:val>
            <c:numRef>
              <c:f>Exec_Summary!$E$22:$E$26</c:f>
              <c:numCache>
                <c:formatCode>[&gt;=1000000]"AED "#,##0.0,,\M;[&lt;=-1000000]"-AED "#,##0.0,,\M;"AED "#,##0,\K</c:formatCode>
                <c:ptCount val="5"/>
                <c:pt idx="0">
                  <c:v>0</c:v>
                </c:pt>
                <c:pt idx="1">
                  <c:v>24846238.66</c:v>
                </c:pt>
                <c:pt idx="2">
                  <c:v>21176504</c:v>
                </c:pt>
                <c:pt idx="3">
                  <c:v>17976504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Exec_Summary!F21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e9a23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Exec_Summary!$B$22:$B$26</c:f>
              <c:strCache>
                <c:ptCount val="5"/>
                <c:pt idx="0">
                  <c:v>Accounting profit</c:v>
                </c:pt>
                <c:pt idx="1">
                  <c:v>Non-deductible add-backs</c:v>
                </c:pt>
                <c:pt idx="2">
                  <c:v>Exempt income</c:v>
                </c:pt>
                <c:pt idx="3">
                  <c:v>Losses utilised</c:v>
                </c:pt>
                <c:pt idx="4">
                  <c:v>Taxable income</c:v>
                </c:pt>
              </c:strCache>
            </c:strRef>
          </c:cat>
          <c:val>
            <c:numRef>
              <c:f>Exec_Summary!$F$22:$F$26</c:f>
              <c:numCache>
                <c:formatCode>[&gt;=1000000]"AED "#,##0.0,,\M;[&lt;=-1000000]"-AED "#,##0.0,,\M;"AED "#,##0,\K</c:formatCode>
                <c:ptCount val="5"/>
                <c:pt idx="0">
                  <c:v>0</c:v>
                </c:pt>
                <c:pt idx="1">
                  <c:v>440265.34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Exec_Summary!G21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2e8b5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Exec_Summary!$B$22:$B$26</c:f>
              <c:strCache>
                <c:ptCount val="5"/>
                <c:pt idx="0">
                  <c:v>Accounting profit</c:v>
                </c:pt>
                <c:pt idx="1">
                  <c:v>Non-deductible add-backs</c:v>
                </c:pt>
                <c:pt idx="2">
                  <c:v>Exempt income</c:v>
                </c:pt>
                <c:pt idx="3">
                  <c:v>Losses utilised</c:v>
                </c:pt>
                <c:pt idx="4">
                  <c:v>Taxable income</c:v>
                </c:pt>
              </c:strCache>
            </c:strRef>
          </c:cat>
          <c:val>
            <c:numRef>
              <c:f>Exec_Summary!$G$22:$G$26</c:f>
              <c:numCache>
                <c:formatCode>[&gt;=1000000]"AED "#,##0.0,,\M;[&lt;=-1000000]"-AED "#,##0.0,,\M;"AED "#,##0,\K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4110000</c:v>
                </c:pt>
                <c:pt idx="3">
                  <c:v>3200000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Exec_Summary!H21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b2a4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Exec_Summary!$B$22:$B$26</c:f>
              <c:strCache>
                <c:ptCount val="5"/>
                <c:pt idx="0">
                  <c:v>Accounting profit</c:v>
                </c:pt>
                <c:pt idx="1">
                  <c:v>Non-deductible add-backs</c:v>
                </c:pt>
                <c:pt idx="2">
                  <c:v>Exempt income</c:v>
                </c:pt>
                <c:pt idx="3">
                  <c:v>Losses utilised</c:v>
                </c:pt>
                <c:pt idx="4">
                  <c:v>Taxable income</c:v>
                </c:pt>
              </c:strCache>
            </c:strRef>
          </c:cat>
          <c:val>
            <c:numRef>
              <c:f>Exec_Summary!$H$22:$H$26</c:f>
              <c:numCache>
                <c:formatCode>[&gt;=1000000]"AED "#,##0.0,,\M;[&lt;=-1000000]"-AED "#,##0.0,,\M;"AED "#,##0,\K</c:formatCode>
                <c:ptCount val="5"/>
                <c:pt idx="0">
                  <c:v>24846238.66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17976504</c:v>
                </c:pt>
              </c:numCache>
            </c:numRef>
          </c:val>
        </c:ser>
        <c:gapWidth val="150"/>
        <c:overlap val="100"/>
        <c:axId val="20141772"/>
        <c:axId val="15110218"/>
      </c:barChart>
      <c:catAx>
        <c:axId val="201417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10218"/>
        <c:crosses val="autoZero"/>
        <c:auto val="1"/>
        <c:lblAlgn val="ctr"/>
        <c:lblOffset val="100"/>
        <c:noMultiLvlLbl val="0"/>
      </c:catAx>
      <c:valAx>
        <c:axId val="151102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417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Tax effect of each driver (AED)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3fa9a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Rate_Reconciliation!$B$7:$B$11</c:f>
              <c:strCache>
                <c:ptCount val="5"/>
                <c:pt idx="0">
                  <c:v>Exempt dividends and gains</c:v>
                </c:pt>
                <c:pt idx="1">
                  <c:v>Non-deductible expenses and TP / donation / interest add-backs</c:v>
                </c:pt>
                <c:pt idx="2">
                  <c:v>Utilisation of brought-forward losses</c:v>
                </c:pt>
                <c:pt idx="3">
                  <c:v>0% band on first AED 375,000</c:v>
                </c:pt>
                <c:pt idx="4">
                  <c:v>Foreign tax credit</c:v>
                </c:pt>
              </c:strCache>
            </c:strRef>
          </c:cat>
          <c:val>
            <c:numRef>
              <c:f>Rate_Reconciliation!$C$7:$C$11</c:f>
              <c:numCache>
                <c:formatCode>#,##0;\-#,##0</c:formatCode>
                <c:ptCount val="5"/>
                <c:pt idx="0">
                  <c:v>-369900</c:v>
                </c:pt>
                <c:pt idx="1">
                  <c:v>39623.8806</c:v>
                </c:pt>
                <c:pt idx="2">
                  <c:v>-288000</c:v>
                </c:pt>
                <c:pt idx="3">
                  <c:v>-33750</c:v>
                </c:pt>
                <c:pt idx="4">
                  <c:v>-85000</c:v>
                </c:pt>
              </c:numCache>
            </c:numRef>
          </c:val>
        </c:ser>
        <c:gapWidth val="150"/>
        <c:overlap val="0"/>
        <c:axId val="40841799"/>
        <c:axId val="63889538"/>
      </c:barChart>
      <c:catAx>
        <c:axId val="40841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889538"/>
        <c:crosses val="autoZero"/>
        <c:auto val="1"/>
        <c:lblAlgn val="ctr"/>
        <c:lblOffset val="100"/>
        <c:noMultiLvlLbl val="0"/>
      </c:catAx>
      <c:valAx>
        <c:axId val="638895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417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34</xdr:row>
      <xdr:rowOff>0</xdr:rowOff>
    </xdr:from>
    <xdr:to>
      <xdr:col>4</xdr:col>
      <xdr:colOff>480960</xdr:colOff>
      <xdr:row>48</xdr:row>
      <xdr:rowOff>32400</xdr:rowOff>
    </xdr:to>
    <xdr:graphicFrame>
      <xdr:nvGraphicFramePr>
        <xdr:cNvPr id="0" name="Chart 1"/>
        <xdr:cNvGraphicFramePr/>
      </xdr:nvGraphicFramePr>
      <xdr:xfrm>
        <a:off x="141120" y="76960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3</xdr:col>
      <xdr:colOff>480960</xdr:colOff>
      <xdr:row>29</xdr:row>
      <xdr:rowOff>32760</xdr:rowOff>
    </xdr:to>
    <xdr:graphicFrame>
      <xdr:nvGraphicFramePr>
        <xdr:cNvPr id="1" name="Chart 1"/>
        <xdr:cNvGraphicFramePr/>
      </xdr:nvGraphicFramePr>
      <xdr:xfrm>
        <a:off x="141120" y="323856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1"/>
    <pageSetUpPr fitToPage="true"/>
  </sheetPr>
  <dimension ref="A1:J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8" min="5" style="0" width="14"/>
    <col collapsed="false" customWidth="true" hidden="false" outlineLevel="0" max="10" min="9" style="0" width="3"/>
  </cols>
  <sheetData>
    <row r="1" customFormat="false" ht="30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B2" s="3" t="s">
        <v>1</v>
      </c>
      <c r="C2" s="3"/>
      <c r="D2" s="3"/>
      <c r="E2" s="3"/>
      <c r="F2" s="3"/>
      <c r="G2" s="3"/>
      <c r="H2" s="3"/>
      <c r="I2" s="3"/>
      <c r="J2" s="3"/>
    </row>
    <row r="4" customFormat="false" ht="15" hidden="false" customHeight="false" outlineLevel="0" collapsed="false">
      <c r="B4" s="4" t="s">
        <v>2</v>
      </c>
      <c r="C4" s="5" t="str">
        <f aca="false">Checks!C4</f>
        <v>ALL CHECKS PASS</v>
      </c>
    </row>
    <row r="6" customFormat="false" ht="15" hidden="false" customHeight="false" outlineLevel="0" collapsed="false">
      <c r="B6" s="6" t="s">
        <v>3</v>
      </c>
      <c r="C6" s="7"/>
      <c r="D6" s="7"/>
      <c r="E6" s="7"/>
      <c r="F6" s="7"/>
      <c r="G6" s="7"/>
      <c r="H6" s="7"/>
      <c r="I6" s="7"/>
      <c r="J6" s="7"/>
    </row>
    <row r="7" customFormat="false" ht="15" hidden="false" customHeight="false" outlineLevel="0" collapsed="false">
      <c r="B7" s="8" t="s">
        <v>4</v>
      </c>
      <c r="C7" s="9" t="n">
        <f aca="false">CT_Computation!C7</f>
        <v>24846238.66</v>
      </c>
      <c r="D7" s="10"/>
    </row>
    <row r="8" customFormat="false" ht="15" hidden="false" customHeight="false" outlineLevel="0" collapsed="false">
      <c r="B8" s="8" t="s">
        <v>5</v>
      </c>
      <c r="C8" s="9" t="n">
        <f aca="false">CT_Computation!C17</f>
        <v>-3669734.66</v>
      </c>
      <c r="D8" s="10" t="s">
        <v>6</v>
      </c>
    </row>
    <row r="9" customFormat="false" ht="15" hidden="false" customHeight="false" outlineLevel="0" collapsed="false">
      <c r="B9" s="8" t="s">
        <v>7</v>
      </c>
      <c r="C9" s="9" t="n">
        <f aca="false">CT_Computation!C18</f>
        <v>21176504</v>
      </c>
      <c r="D9" s="10"/>
    </row>
    <row r="10" customFormat="false" ht="15" hidden="false" customHeight="false" outlineLevel="0" collapsed="false">
      <c r="B10" s="8" t="s">
        <v>8</v>
      </c>
      <c r="C10" s="9" t="n">
        <f aca="false">CT_Computation!C23</f>
        <v>3200000</v>
      </c>
      <c r="D10" s="10" t="s">
        <v>9</v>
      </c>
    </row>
    <row r="11" customFormat="false" ht="15" hidden="false" customHeight="false" outlineLevel="0" collapsed="false">
      <c r="B11" s="8" t="s">
        <v>10</v>
      </c>
      <c r="C11" s="9" t="n">
        <f aca="false">CT_Computation!C25</f>
        <v>17976504</v>
      </c>
      <c r="D11" s="10"/>
    </row>
    <row r="12" customFormat="false" ht="15" hidden="false" customHeight="false" outlineLevel="0" collapsed="false">
      <c r="B12" s="4" t="s">
        <v>11</v>
      </c>
      <c r="C12" s="11" t="n">
        <f aca="false">CT_Computation!C32</f>
        <v>1499135.36</v>
      </c>
      <c r="D12" s="10" t="s">
        <v>12</v>
      </c>
    </row>
    <row r="13" customFormat="false" ht="15" hidden="false" customHeight="false" outlineLevel="0" collapsed="false">
      <c r="B13" s="8" t="s">
        <v>13</v>
      </c>
      <c r="C13" s="12" t="n">
        <f aca="false">CT_Computation!C34</f>
        <v>0.0603365113132178</v>
      </c>
      <c r="D13" s="10" t="s">
        <v>14</v>
      </c>
    </row>
    <row r="14" customFormat="false" ht="15" hidden="false" customHeight="false" outlineLevel="0" collapsed="false">
      <c r="B14" s="8" t="s">
        <v>15</v>
      </c>
      <c r="C14" s="9" t="n">
        <f aca="false">-Rate_Reconciliation!C7</f>
        <v>369900</v>
      </c>
      <c r="D14" s="10" t="s">
        <v>16</v>
      </c>
    </row>
    <row r="15" customFormat="false" ht="15" hidden="false" customHeight="false" outlineLevel="0" collapsed="false">
      <c r="B15" s="8" t="s">
        <v>17</v>
      </c>
      <c r="C15" s="9" t="n">
        <f aca="false">Rate_Reconciliation!C8</f>
        <v>39623.8806</v>
      </c>
      <c r="D15" s="10" t="s">
        <v>18</v>
      </c>
    </row>
    <row r="16" customFormat="false" ht="15" hidden="false" customHeight="false" outlineLevel="0" collapsed="false">
      <c r="B16" s="8" t="s">
        <v>19</v>
      </c>
      <c r="C16" s="9" t="n">
        <f aca="false">Interest_Limitation!C19</f>
        <v>11025851.61</v>
      </c>
      <c r="D16" s="10" t="s">
        <v>20</v>
      </c>
    </row>
    <row r="17" customFormat="false" ht="15" hidden="false" customHeight="false" outlineLevel="0" collapsed="false">
      <c r="B17" s="8" t="s">
        <v>21</v>
      </c>
      <c r="C17" s="9" t="n">
        <f aca="false">CT_Computation!C24</f>
        <v>0</v>
      </c>
      <c r="D17" s="10" t="s">
        <v>22</v>
      </c>
    </row>
    <row r="18" customFormat="false" ht="15" hidden="false" customHeight="false" outlineLevel="0" collapsed="false">
      <c r="B18" s="8" t="s">
        <v>23</v>
      </c>
      <c r="C18" s="13" t="str">
        <f aca="false">IF(CT_Computation!C5&lt;=Parameters!$C$14,"Yes","No — revenue above AED 3M")</f>
        <v>No — revenue above AED 3M</v>
      </c>
      <c r="D18" s="10"/>
    </row>
    <row r="20" customFormat="false" ht="15" hidden="false" customHeight="false" outlineLevel="0" collapsed="false">
      <c r="B20" s="6" t="s">
        <v>24</v>
      </c>
      <c r="C20" s="7"/>
      <c r="D20" s="7"/>
      <c r="E20" s="7"/>
      <c r="F20" s="7"/>
      <c r="G20" s="7"/>
      <c r="H20" s="7"/>
      <c r="I20" s="7"/>
      <c r="J20" s="7"/>
    </row>
    <row r="21" customFormat="false" ht="30" hidden="false" customHeight="true" outlineLevel="0" collapsed="false">
      <c r="B21" s="14" t="s">
        <v>25</v>
      </c>
      <c r="C21" s="15" t="s">
        <v>26</v>
      </c>
      <c r="D21" s="15" t="s">
        <v>27</v>
      </c>
      <c r="E21" s="15" t="s">
        <v>28</v>
      </c>
      <c r="F21" s="15" t="s">
        <v>29</v>
      </c>
      <c r="G21" s="15" t="s">
        <v>30</v>
      </c>
      <c r="H21" s="15" t="s">
        <v>31</v>
      </c>
    </row>
    <row r="22" customFormat="false" ht="15" hidden="false" customHeight="false" outlineLevel="0" collapsed="false">
      <c r="B22" s="8" t="s">
        <v>32</v>
      </c>
      <c r="C22" s="16" t="n">
        <f aca="false">CT_Computation!C7</f>
        <v>24846238.66</v>
      </c>
      <c r="D22" s="17" t="n">
        <f aca="false">C22</f>
        <v>24846238.66</v>
      </c>
      <c r="E22" s="17" t="n">
        <f aca="false">0</f>
        <v>0</v>
      </c>
      <c r="F22" s="17" t="n">
        <f aca="false">0</f>
        <v>0</v>
      </c>
      <c r="G22" s="17" t="n">
        <f aca="false">0</f>
        <v>0</v>
      </c>
      <c r="H22" s="17" t="n">
        <f aca="false">C22</f>
        <v>24846238.66</v>
      </c>
    </row>
    <row r="23" customFormat="false" ht="15" hidden="false" customHeight="false" outlineLevel="0" collapsed="false">
      <c r="B23" s="8" t="s">
        <v>33</v>
      </c>
      <c r="C23" s="16" t="n">
        <f aca="false">CT_Computation!C10+CT_Computation!C11+CT_Computation!C12+CT_Computation!C15+CT_Computation!C16</f>
        <v>440265.34</v>
      </c>
      <c r="D23" s="17" t="n">
        <f aca="false">D22+C23</f>
        <v>25286504</v>
      </c>
      <c r="E23" s="17" t="n">
        <f aca="false">MIN(D22,D23)</f>
        <v>24846238.66</v>
      </c>
      <c r="F23" s="17" t="n">
        <f aca="false">MAX(C23,0)</f>
        <v>440265.34</v>
      </c>
      <c r="G23" s="17" t="n">
        <f aca="false">MAX(-C23,0)</f>
        <v>0</v>
      </c>
      <c r="H23" s="17" t="n">
        <f aca="false">0</f>
        <v>0</v>
      </c>
    </row>
    <row r="24" customFormat="false" ht="15" hidden="false" customHeight="false" outlineLevel="0" collapsed="false">
      <c r="B24" s="8" t="s">
        <v>34</v>
      </c>
      <c r="C24" s="16" t="n">
        <f aca="false">CT_Computation!C13+CT_Computation!C14</f>
        <v>-4110000</v>
      </c>
      <c r="D24" s="17" t="n">
        <f aca="false">D23+C24</f>
        <v>21176504</v>
      </c>
      <c r="E24" s="17" t="n">
        <f aca="false">MIN(D23,D24)</f>
        <v>21176504</v>
      </c>
      <c r="F24" s="17" t="n">
        <f aca="false">MAX(C24,0)</f>
        <v>0</v>
      </c>
      <c r="G24" s="17" t="n">
        <f aca="false">MAX(-C24,0)</f>
        <v>4110000</v>
      </c>
      <c r="H24" s="17" t="n">
        <f aca="false">0</f>
        <v>0</v>
      </c>
    </row>
    <row r="25" customFormat="false" ht="15" hidden="false" customHeight="false" outlineLevel="0" collapsed="false">
      <c r="B25" s="8" t="s">
        <v>8</v>
      </c>
      <c r="C25" s="16" t="n">
        <f aca="false">-CT_Computation!C23</f>
        <v>-3200000</v>
      </c>
      <c r="D25" s="17" t="n">
        <f aca="false">D24+C25</f>
        <v>17976504</v>
      </c>
      <c r="E25" s="17" t="n">
        <f aca="false">MIN(D24,D25)</f>
        <v>17976504</v>
      </c>
      <c r="F25" s="17" t="n">
        <f aca="false">MAX(C25,0)</f>
        <v>0</v>
      </c>
      <c r="G25" s="17" t="n">
        <f aca="false">MAX(-C25,0)</f>
        <v>3200000</v>
      </c>
      <c r="H25" s="17" t="n">
        <f aca="false">0</f>
        <v>0</v>
      </c>
    </row>
    <row r="26" customFormat="false" ht="15" hidden="false" customHeight="false" outlineLevel="0" collapsed="false">
      <c r="B26" s="8" t="s">
        <v>10</v>
      </c>
      <c r="C26" s="16" t="n">
        <f aca="false">CT_Computation!C25</f>
        <v>17976504</v>
      </c>
      <c r="D26" s="17" t="n">
        <f aca="false">C26</f>
        <v>17976504</v>
      </c>
      <c r="E26" s="17" t="n">
        <f aca="false">0</f>
        <v>0</v>
      </c>
      <c r="F26" s="17" t="n">
        <f aca="false">0</f>
        <v>0</v>
      </c>
      <c r="G26" s="17" t="n">
        <f aca="false">0</f>
        <v>0</v>
      </c>
      <c r="H26" s="17" t="n">
        <f aca="false">C26</f>
        <v>17976504</v>
      </c>
    </row>
    <row r="28" customFormat="false" ht="15" hidden="false" customHeight="false" outlineLevel="0" collapsed="false">
      <c r="B28" s="6" t="s">
        <v>35</v>
      </c>
      <c r="C28" s="7"/>
      <c r="D28" s="7"/>
      <c r="E28" s="7"/>
      <c r="F28" s="7"/>
      <c r="G28" s="7"/>
      <c r="H28" s="7"/>
      <c r="I28" s="7"/>
      <c r="J28" s="7"/>
    </row>
    <row r="29" customFormat="false" ht="31.5" hidden="false" customHeight="true" outlineLevel="0" collapsed="false">
      <c r="B29" s="18" t="str">
        <f aca="false">"Accounting profit of AED "&amp;TEXT((C7)/1000000,"0.00")&amp;"M"&amp;" converts to taxable income of AED "&amp;TEXT((C11)/1000000,"0.00")&amp;"M"&amp;" after add-backs of AED "&amp;TEXT((CT_Computation!C10+CT_Computation!C11+CT_Computation!C12+CT_Computation!C15+CT_Computation!C16)/1000000,"0.00")&amp;"M"&amp;", exempt income of AED "&amp;TEXT((-(CT_Computation!C13+CT_Computation!C14))/1000000,"0.00")&amp;"M"&amp;" and loss relief of AED "&amp;TEXT((C10)/1000000,"0.00")&amp;"M"&amp;"."</f>
        <v>Accounting profit of AED 24.85M converts to taxable income of AED 17.98M after add-backs of AED 0.44M, exempt income of AED 4.11M and loss relief of AED 3.20M.</v>
      </c>
      <c r="C29" s="18"/>
      <c r="D29" s="18"/>
      <c r="E29" s="18"/>
      <c r="F29" s="18"/>
      <c r="G29" s="18"/>
      <c r="H29" s="18"/>
      <c r="I29" s="18"/>
      <c r="J29" s="18"/>
    </row>
    <row r="30" customFormat="false" ht="31.5" hidden="false" customHeight="true" outlineLevel="0" collapsed="false">
      <c r="B30" s="18" t="str">
        <f aca="false">"Net corporate tax payable is AED "&amp;TEXT(C12,"#,##0")&amp;" — an effective rate of "&amp;TEXT(C13,"0.00%")&amp;" versus the 9% headline, driven mainly by the participation exemption (AED "&amp;TEXT(C14/1000,"#,##0")&amp;"K saved) and loss relief."</f>
        <v>Net corporate tax payable is AED 1,499,135 — an effective rate of 6.03% versus the 9% headline, driven mainly by the participation exemption (AED 370K saved) and loss relief.</v>
      </c>
      <c r="C30" s="18"/>
      <c r="D30" s="18"/>
      <c r="E30" s="18"/>
      <c r="F30" s="18"/>
      <c r="G30" s="18"/>
      <c r="H30" s="18"/>
      <c r="I30" s="18"/>
      <c r="J30" s="18"/>
    </row>
    <row r="31" customFormat="false" ht="31.5" hidden="false" customHeight="true" outlineLevel="0" collapsed="false">
      <c r="B31" s="18" t="str">
        <f aca="false">"Policy leakage: non-deductible items cost AED "&amp;TEXT(C15/1000,"#,##0")&amp;"K of tax; the largest drivers are in Adjustment_Summary (entertainment, general provisions, non-qualifying donations)."</f>
        <v>Policy leakage: non-deductible items cost AED 40K of tax; the largest drivers are in Adjustment_Summary (entertainment, general provisions, non-qualifying donations).</v>
      </c>
      <c r="C31" s="18"/>
      <c r="D31" s="18"/>
      <c r="E31" s="18"/>
      <c r="F31" s="18"/>
      <c r="G31" s="18"/>
      <c r="H31" s="18"/>
      <c r="I31" s="18"/>
      <c r="J31" s="18"/>
    </row>
    <row r="32" customFormat="false" ht="31.5" hidden="false" customHeight="true" outlineLevel="0" collapsed="false">
      <c r="B32" s="18" t="str">
        <f aca="false">"Interest: net interest expense is within the AED 12M de-minimis (headroom AED "&amp;TEXT((C16)/1000000,"0.00")&amp;"M"&amp;"), so no limitation applies. "&amp;IF(C17=0,"Brought-forward losses were fully utilised in the year.","Losses carried forward: AED "&amp;TEXT((C17)/1000000,"0.00")&amp;"M"&amp;".")</f>
        <v>Interest: net interest expense is within the AED 12M de-minimis (headroom AED 11.03M), so no limitation applies. Brought-forward losses were fully utilised in the year.</v>
      </c>
      <c r="C32" s="18"/>
      <c r="D32" s="18"/>
      <c r="E32" s="18"/>
      <c r="F32" s="18"/>
      <c r="G32" s="18"/>
      <c r="H32" s="18"/>
      <c r="I32" s="18"/>
      <c r="J32" s="18"/>
    </row>
  </sheetData>
  <mergeCells count="6">
    <mergeCell ref="B1:J1"/>
    <mergeCell ref="B2:J2"/>
    <mergeCell ref="B29:J29"/>
    <mergeCell ref="B30:J30"/>
    <mergeCell ref="B31:J31"/>
    <mergeCell ref="B32:J3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A94E"/>
    <pageSetUpPr fitToPage="tru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4"/>
    <col collapsed="false" customWidth="true" hidden="false" outlineLevel="0" max="3" min="3" style="0" width="20"/>
    <col collapsed="false" customWidth="true" hidden="false" outlineLevel="0" max="4" min="4" style="0" width="58"/>
  </cols>
  <sheetData>
    <row r="1" customFormat="false" ht="30" hidden="false" customHeight="true" outlineLevel="0" collapsed="false">
      <c r="A1" s="1"/>
      <c r="B1" s="2" t="s">
        <v>36</v>
      </c>
      <c r="C1" s="2"/>
      <c r="D1" s="2"/>
      <c r="E1" s="2"/>
    </row>
    <row r="2" customFormat="false" ht="15" hidden="false" customHeight="false" outlineLevel="0" collapsed="false">
      <c r="B2" s="3" t="s">
        <v>37</v>
      </c>
      <c r="C2" s="3"/>
      <c r="D2" s="3"/>
      <c r="E2" s="3"/>
    </row>
    <row r="4" customFormat="false" ht="30" hidden="false" customHeight="true" outlineLevel="0" collapsed="false">
      <c r="B4" s="14" t="s">
        <v>38</v>
      </c>
      <c r="C4" s="15" t="s">
        <v>39</v>
      </c>
      <c r="D4" s="15" t="s">
        <v>40</v>
      </c>
    </row>
    <row r="5" customFormat="false" ht="15" hidden="false" customHeight="false" outlineLevel="0" collapsed="false">
      <c r="B5" s="8" t="s">
        <v>41</v>
      </c>
      <c r="C5" s="19" t="n">
        <f aca="false">SUMIFS(GL_Register!$F$6:$F$1092,GL_Register!$D$6:$D$1092,"Income")</f>
        <v>69279628.17</v>
      </c>
      <c r="D5" s="10" t="s">
        <v>42</v>
      </c>
    </row>
    <row r="6" customFormat="false" ht="15" hidden="false" customHeight="false" outlineLevel="0" collapsed="false">
      <c r="B6" s="8" t="s">
        <v>43</v>
      </c>
      <c r="C6" s="19" t="n">
        <f aca="false">SUMIFS(GL_Register!$F$6:$F$1092,GL_Register!$D$6:$D$1092,"Expense")</f>
        <v>44433389.51</v>
      </c>
      <c r="D6" s="10" t="s">
        <v>44</v>
      </c>
    </row>
    <row r="7" customFormat="false" ht="15" hidden="false" customHeight="false" outlineLevel="0" collapsed="false">
      <c r="B7" s="4" t="s">
        <v>45</v>
      </c>
      <c r="C7" s="20" t="n">
        <f aca="false">C5-C6</f>
        <v>24846238.66</v>
      </c>
      <c r="D7" s="10"/>
    </row>
    <row r="9" customFormat="false" ht="15" hidden="false" customHeight="false" outlineLevel="0" collapsed="false">
      <c r="B9" s="6" t="s">
        <v>46</v>
      </c>
      <c r="C9" s="7"/>
      <c r="D9" s="7"/>
    </row>
    <row r="10" customFormat="false" ht="15" hidden="false" customHeight="false" outlineLevel="0" collapsed="false">
      <c r="B10" s="8" t="s">
        <v>47</v>
      </c>
      <c r="C10" s="19" t="n">
        <f aca="false">SUMIFS(GL_Register!$I$6:$I$1092,GL_Register!$E$6:$E$1092,"DIS100")</f>
        <v>260677.48</v>
      </c>
      <c r="D10" s="10" t="s">
        <v>48</v>
      </c>
    </row>
    <row r="11" customFormat="false" ht="15" hidden="false" customHeight="false" outlineLevel="0" collapsed="false">
      <c r="B11" s="8" t="s">
        <v>49</v>
      </c>
      <c r="C11" s="19" t="n">
        <f aca="false">SUMIFS(GL_Register!$I$6:$I$1092,GL_Register!$E$6:$E$1092,"DIS50")</f>
        <v>154015.63</v>
      </c>
      <c r="D11" s="10" t="s">
        <v>50</v>
      </c>
    </row>
    <row r="12" customFormat="false" ht="15" hidden="false" customHeight="false" outlineLevel="0" collapsed="false">
      <c r="B12" s="8" t="s">
        <v>51</v>
      </c>
      <c r="C12" s="19" t="n">
        <f aca="false">SUMIFS(GL_Register!$I$6:$I$1092,GL_Register!$E$6:$E$1092,"TP")</f>
        <v>25572.23</v>
      </c>
      <c r="D12" s="10" t="s">
        <v>52</v>
      </c>
    </row>
    <row r="13" customFormat="false" ht="15" hidden="false" customHeight="false" outlineLevel="0" collapsed="false">
      <c r="B13" s="8" t="s">
        <v>53</v>
      </c>
      <c r="C13" s="19" t="n">
        <f aca="false">SUMIFS(GL_Register!$I$6:$I$1092,GL_Register!$E$6:$E$1092,"EXEMPT",GL_Register!$C$6:$C$1092,"Dividend*")</f>
        <v>-2790000</v>
      </c>
      <c r="D13" s="10" t="s">
        <v>54</v>
      </c>
    </row>
    <row r="14" customFormat="false" ht="15" hidden="false" customHeight="false" outlineLevel="0" collapsed="false">
      <c r="B14" s="8" t="s">
        <v>55</v>
      </c>
      <c r="C14" s="19" t="n">
        <f aca="false">SUMIFS(GL_Register!$I$6:$I$1092,GL_Register!$E$6:$E$1092,"EXEMPT",GL_Register!$C$6:$C$1092,"Gain*")</f>
        <v>-1320000</v>
      </c>
      <c r="D14" s="10" t="s">
        <v>54</v>
      </c>
    </row>
    <row r="15" customFormat="false" ht="15" hidden="false" customHeight="false" outlineLevel="0" collapsed="false">
      <c r="B15" s="8" t="s">
        <v>56</v>
      </c>
      <c r="C15" s="19" t="n">
        <f aca="false">MAX(0,SUMIFS(GL_Register!$F$6:$F$1092,GL_Register!$C$6:$C$1092,"Donations - qualifying*")-Parameters!$C$12*(C7+SUM(C10:C14)+SUMIFS(GL_Register!$F$6:$F$1092,GL_Register!$C$6:$C$1092,"Donations - qualifying*")))</f>
        <v>0</v>
      </c>
      <c r="D15" s="10" t="s">
        <v>57</v>
      </c>
    </row>
    <row r="16" customFormat="false" ht="15" hidden="false" customHeight="false" outlineLevel="0" collapsed="false">
      <c r="B16" s="8" t="s">
        <v>58</v>
      </c>
      <c r="C16" s="19" t="n">
        <f aca="false">Interest_Limitation!C18</f>
        <v>0</v>
      </c>
      <c r="D16" s="10" t="s">
        <v>59</v>
      </c>
    </row>
    <row r="17" customFormat="false" ht="15" hidden="false" customHeight="false" outlineLevel="0" collapsed="false">
      <c r="B17" s="4" t="s">
        <v>60</v>
      </c>
      <c r="C17" s="21" t="n">
        <f aca="false">SUM(C10:C16)</f>
        <v>-3669734.66</v>
      </c>
      <c r="D17" s="10"/>
    </row>
    <row r="18" customFormat="false" ht="15" hidden="false" customHeight="false" outlineLevel="0" collapsed="false">
      <c r="B18" s="4" t="s">
        <v>61</v>
      </c>
      <c r="C18" s="21" t="n">
        <f aca="false">C7+C17</f>
        <v>21176504</v>
      </c>
      <c r="D18" s="10"/>
    </row>
    <row r="20" customFormat="false" ht="15" hidden="false" customHeight="false" outlineLevel="0" collapsed="false">
      <c r="B20" s="6" t="s">
        <v>62</v>
      </c>
      <c r="C20" s="7"/>
      <c r="D20" s="7"/>
    </row>
    <row r="21" customFormat="false" ht="15" hidden="false" customHeight="false" outlineLevel="0" collapsed="false">
      <c r="B21" s="8" t="s">
        <v>63</v>
      </c>
      <c r="C21" s="19" t="n">
        <f aca="false">Parameters!$C$9</f>
        <v>3200000</v>
      </c>
      <c r="D21" s="10"/>
    </row>
    <row r="22" customFormat="false" ht="15" hidden="false" customHeight="false" outlineLevel="0" collapsed="false">
      <c r="B22" s="8" t="s">
        <v>64</v>
      </c>
      <c r="C22" s="19" t="n">
        <f aca="false">MAX(0,C18)*Parameters!$C$8</f>
        <v>15882378</v>
      </c>
      <c r="D22" s="10"/>
    </row>
    <row r="23" customFormat="false" ht="15" hidden="false" customHeight="false" outlineLevel="0" collapsed="false">
      <c r="B23" s="8" t="s">
        <v>8</v>
      </c>
      <c r="C23" s="22" t="n">
        <f aca="false">MIN(C21,C22)</f>
        <v>3200000</v>
      </c>
      <c r="D23" s="10"/>
    </row>
    <row r="24" customFormat="false" ht="15" hidden="false" customHeight="false" outlineLevel="0" collapsed="false">
      <c r="B24" s="8" t="s">
        <v>65</v>
      </c>
      <c r="C24" s="22" t="n">
        <f aca="false">C21-C23</f>
        <v>0</v>
      </c>
      <c r="D24" s="10"/>
    </row>
    <row r="25" customFormat="false" ht="15" hidden="false" customHeight="false" outlineLevel="0" collapsed="false">
      <c r="B25" s="4" t="s">
        <v>66</v>
      </c>
      <c r="C25" s="20" t="n">
        <f aca="false">MAX(0,C18-C23)</f>
        <v>17976504</v>
      </c>
      <c r="D25" s="10"/>
    </row>
    <row r="27" customFormat="false" ht="15" hidden="false" customHeight="false" outlineLevel="0" collapsed="false">
      <c r="B27" s="6" t="s">
        <v>67</v>
      </c>
      <c r="C27" s="7"/>
      <c r="D27" s="7"/>
    </row>
    <row r="28" customFormat="false" ht="15" hidden="false" customHeight="false" outlineLevel="0" collapsed="false">
      <c r="B28" s="8" t="s">
        <v>68</v>
      </c>
      <c r="C28" s="19" t="n">
        <f aca="false">MIN(C25,Parameters!$C$6)</f>
        <v>375000</v>
      </c>
      <c r="D28" s="10"/>
    </row>
    <row r="29" customFormat="false" ht="15" hidden="false" customHeight="false" outlineLevel="0" collapsed="false">
      <c r="B29" s="8" t="s">
        <v>69</v>
      </c>
      <c r="C29" s="19" t="n">
        <f aca="false">MAX(0,C25-Parameters!$C$6)</f>
        <v>17601504</v>
      </c>
      <c r="D29" s="10"/>
    </row>
    <row r="30" customFormat="false" ht="15" hidden="false" customHeight="false" outlineLevel="0" collapsed="false">
      <c r="B30" s="8" t="s">
        <v>70</v>
      </c>
      <c r="C30" s="19" t="n">
        <f aca="false">C29*Parameters!$C$7</f>
        <v>1584135.36</v>
      </c>
      <c r="D30" s="10"/>
    </row>
    <row r="31" customFormat="false" ht="15" hidden="false" customHeight="false" outlineLevel="0" collapsed="false">
      <c r="B31" s="8" t="s">
        <v>71</v>
      </c>
      <c r="C31" s="19" t="n">
        <f aca="false">-MIN(C30,Parameters!$C$13)</f>
        <v>-85000</v>
      </c>
      <c r="D31" s="10"/>
    </row>
    <row r="32" customFormat="false" ht="15" hidden="false" customHeight="false" outlineLevel="0" collapsed="false">
      <c r="B32" s="4" t="s">
        <v>11</v>
      </c>
      <c r="C32" s="20" t="n">
        <f aca="false">C30+C31</f>
        <v>1499135.36</v>
      </c>
      <c r="D32" s="10"/>
    </row>
    <row r="34" customFormat="false" ht="15" hidden="false" customHeight="false" outlineLevel="0" collapsed="false">
      <c r="B34" s="8" t="s">
        <v>13</v>
      </c>
      <c r="C34" s="23" t="n">
        <f aca="false">C32/C7</f>
        <v>0.0603365113132178</v>
      </c>
      <c r="D34" s="10"/>
    </row>
    <row r="35" customFormat="false" ht="15" hidden="false" customHeight="false" outlineLevel="0" collapsed="false">
      <c r="B35" s="8" t="s">
        <v>72</v>
      </c>
      <c r="C35" s="23" t="n">
        <f aca="false">C25/C7</f>
        <v>0.72351007514632</v>
      </c>
      <c r="D35" s="10"/>
    </row>
  </sheetData>
  <mergeCells count="2">
    <mergeCell ref="B1:E1"/>
    <mergeCell ref="B2:E2"/>
  </mergeCells>
  <conditionalFormatting sqref="C13:C1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A94E"/>
    <pageSetUpPr fitToPage="tru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2"/>
    <col collapsed="false" customWidth="true" hidden="false" outlineLevel="0" max="3" min="3" style="0" width="18"/>
    <col collapsed="false" customWidth="true" hidden="false" outlineLevel="0" max="4" min="4" style="0" width="24"/>
  </cols>
  <sheetData>
    <row r="1" customFormat="false" ht="30" hidden="false" customHeight="true" outlineLevel="0" collapsed="false">
      <c r="A1" s="1"/>
      <c r="B1" s="2" t="s">
        <v>73</v>
      </c>
      <c r="C1" s="2"/>
      <c r="D1" s="2"/>
      <c r="E1" s="2"/>
    </row>
    <row r="2" customFormat="false" ht="15" hidden="false" customHeight="false" outlineLevel="0" collapsed="false">
      <c r="B2" s="3" t="s">
        <v>74</v>
      </c>
      <c r="C2" s="3"/>
      <c r="D2" s="3"/>
      <c r="E2" s="3"/>
    </row>
    <row r="4" customFormat="false" ht="30" hidden="false" customHeight="true" outlineLevel="0" collapsed="false">
      <c r="B4" s="14" t="s">
        <v>25</v>
      </c>
      <c r="C4" s="15" t="s">
        <v>39</v>
      </c>
      <c r="D4" s="15" t="s">
        <v>75</v>
      </c>
    </row>
    <row r="5" customFormat="false" ht="15" hidden="false" customHeight="false" outlineLevel="0" collapsed="false">
      <c r="B5" s="4" t="s">
        <v>4</v>
      </c>
      <c r="C5" s="19" t="n">
        <f aca="false">CT_Computation!C7</f>
        <v>24846238.66</v>
      </c>
    </row>
    <row r="6" customFormat="false" ht="15" hidden="false" customHeight="false" outlineLevel="0" collapsed="false">
      <c r="B6" s="4" t="s">
        <v>76</v>
      </c>
      <c r="C6" s="19" t="n">
        <f aca="false">C5*Parameters!$C$7</f>
        <v>2236161.4794</v>
      </c>
      <c r="D6" s="24" t="n">
        <f aca="false">C6/$C$5</f>
        <v>0.09</v>
      </c>
    </row>
    <row r="7" customFormat="false" ht="15" hidden="false" customHeight="false" outlineLevel="0" collapsed="false">
      <c r="B7" s="8" t="s">
        <v>77</v>
      </c>
      <c r="C7" s="19" t="n">
        <f aca="false">(CT_Computation!C13+CT_Computation!C14)*Parameters!$C$7</f>
        <v>-369900</v>
      </c>
      <c r="D7" s="24" t="n">
        <f aca="false">C7/$C$5</f>
        <v>-0.0148875652794683</v>
      </c>
    </row>
    <row r="8" customFormat="false" ht="15" hidden="false" customHeight="false" outlineLevel="0" collapsed="false">
      <c r="B8" s="8" t="s">
        <v>78</v>
      </c>
      <c r="C8" s="19" t="n">
        <f aca="false">(CT_Computation!C10+CT_Computation!C11+CT_Computation!C12+CT_Computation!C15+CT_Computation!C16)*Parameters!$C$7</f>
        <v>39623.8806</v>
      </c>
      <c r="D8" s="24" t="n">
        <f aca="false">C8/$C$5</f>
        <v>0.00159476374441297</v>
      </c>
    </row>
    <row r="9" customFormat="false" ht="15" hidden="false" customHeight="false" outlineLevel="0" collapsed="false">
      <c r="B9" s="8" t="s">
        <v>79</v>
      </c>
      <c r="C9" s="19" t="n">
        <f aca="false">-CT_Computation!C23*Parameters!$C$7</f>
        <v>-288000</v>
      </c>
      <c r="D9" s="24" t="n">
        <f aca="false">C9/$C$5</f>
        <v>-0.0115912917017758</v>
      </c>
    </row>
    <row r="10" customFormat="false" ht="15" hidden="false" customHeight="false" outlineLevel="0" collapsed="false">
      <c r="B10" s="8" t="s">
        <v>80</v>
      </c>
      <c r="C10" s="19" t="n">
        <f aca="false">-CT_Computation!C28*Parameters!$C$7</f>
        <v>-33750</v>
      </c>
      <c r="D10" s="24" t="n">
        <f aca="false">C10/$C$5</f>
        <v>-0.00135835449630186</v>
      </c>
    </row>
    <row r="11" customFormat="false" ht="15" hidden="false" customHeight="false" outlineLevel="0" collapsed="false">
      <c r="B11" s="8" t="s">
        <v>81</v>
      </c>
      <c r="C11" s="19" t="n">
        <f aca="false">CT_Computation!C31</f>
        <v>-85000</v>
      </c>
      <c r="D11" s="24" t="n">
        <f aca="false">C11/$C$5</f>
        <v>-0.00342104095364912</v>
      </c>
    </row>
    <row r="12" customFormat="false" ht="15" hidden="false" customHeight="false" outlineLevel="0" collapsed="false">
      <c r="B12" s="4" t="s">
        <v>82</v>
      </c>
      <c r="C12" s="20" t="n">
        <f aca="false">SUM(C6:C11)</f>
        <v>1499135.36</v>
      </c>
      <c r="D12" s="25" t="n">
        <f aca="false">C12/$C$5</f>
        <v>0.0603365113132178</v>
      </c>
    </row>
    <row r="13" customFormat="false" ht="15" hidden="false" customHeight="false" outlineLevel="0" collapsed="false">
      <c r="B13" s="8" t="s">
        <v>83</v>
      </c>
      <c r="C13" s="19" t="n">
        <f aca="false">ROUND(C12-CT_Computation!C32,2)</f>
        <v>0</v>
      </c>
    </row>
  </sheetData>
  <mergeCells count="2">
    <mergeCell ref="B1:E1"/>
    <mergeCell ref="B2:E2"/>
  </mergeCells>
  <conditionalFormatting sqref="C7:C11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A9A0"/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50"/>
  </cols>
  <sheetData>
    <row r="1" customFormat="false" ht="30" hidden="false" customHeight="true" outlineLevel="0" collapsed="false">
      <c r="A1" s="1"/>
      <c r="B1" s="2" t="s">
        <v>84</v>
      </c>
      <c r="C1" s="2"/>
      <c r="D1" s="2"/>
      <c r="E1" s="2"/>
    </row>
    <row r="2" customFormat="false" ht="15" hidden="false" customHeight="false" outlineLevel="0" collapsed="false">
      <c r="B2" s="3" t="s">
        <v>85</v>
      </c>
      <c r="C2" s="3"/>
      <c r="D2" s="3"/>
      <c r="E2" s="3"/>
    </row>
    <row r="4" customFormat="false" ht="30" hidden="false" customHeight="true" outlineLevel="0" collapsed="false">
      <c r="B4" s="14" t="s">
        <v>25</v>
      </c>
      <c r="C4" s="15" t="s">
        <v>39</v>
      </c>
      <c r="D4" s="15" t="s">
        <v>86</v>
      </c>
    </row>
    <row r="5" customFormat="false" ht="15" hidden="false" customHeight="false" outlineLevel="0" collapsed="false">
      <c r="B5" s="8" t="s">
        <v>87</v>
      </c>
      <c r="C5" s="26" t="n">
        <f aca="false">SUMIFS(GL_Register!$F$6:$F$1092,GL_Register!$E$6:$E$1092,"INTLIM")</f>
        <v>1384148.39</v>
      </c>
      <c r="D5" s="10" t="s">
        <v>88</v>
      </c>
    </row>
    <row r="6" customFormat="false" ht="15" hidden="false" customHeight="false" outlineLevel="0" collapsed="false">
      <c r="B6" s="8" t="s">
        <v>89</v>
      </c>
      <c r="C6" s="26" t="n">
        <f aca="false">SUMIFS(GL_Register!$F$6:$F$1092,GL_Register!$C$6:$C$1092,"Interest income*")</f>
        <v>410000</v>
      </c>
      <c r="D6" s="10" t="s">
        <v>90</v>
      </c>
    </row>
    <row r="7" customFormat="false" ht="15" hidden="false" customHeight="false" outlineLevel="0" collapsed="false">
      <c r="B7" s="4" t="s">
        <v>91</v>
      </c>
      <c r="C7" s="27" t="n">
        <f aca="false">MAX(0,C5-C6)</f>
        <v>974148.39</v>
      </c>
      <c r="D7" s="10"/>
    </row>
    <row r="9" customFormat="false" ht="15" hidden="false" customHeight="false" outlineLevel="0" collapsed="false">
      <c r="B9" s="8" t="s">
        <v>32</v>
      </c>
      <c r="C9" s="26" t="n">
        <f aca="false">CT_Computation!C7</f>
        <v>24846238.66</v>
      </c>
      <c r="D9" s="10"/>
    </row>
    <row r="10" customFormat="false" ht="15" hidden="false" customHeight="false" outlineLevel="0" collapsed="false">
      <c r="B10" s="8" t="s">
        <v>92</v>
      </c>
      <c r="C10" s="26" t="n">
        <f aca="false">CT_Computation!C10+CT_Computation!C11+CT_Computation!C12+CT_Computation!C13+CT_Computation!C14</f>
        <v>-3669734.66</v>
      </c>
      <c r="D10" s="10" t="s">
        <v>93</v>
      </c>
    </row>
    <row r="11" customFormat="false" ht="15" hidden="false" customHeight="false" outlineLevel="0" collapsed="false">
      <c r="B11" s="8" t="s">
        <v>94</v>
      </c>
      <c r="C11" s="27" t="n">
        <f aca="false">C7</f>
        <v>974148.39</v>
      </c>
      <c r="D11" s="10"/>
    </row>
    <row r="12" customFormat="false" ht="15" hidden="false" customHeight="false" outlineLevel="0" collapsed="false">
      <c r="B12" s="8" t="s">
        <v>95</v>
      </c>
      <c r="C12" s="26" t="n">
        <f aca="false">SUMIFS(GL_Register!$F$6:$F$1092,GL_Register!$C$6:$C$1092,"Depreciation")</f>
        <v>1568782.75</v>
      </c>
      <c r="D12" s="10"/>
    </row>
    <row r="13" customFormat="false" ht="15" hidden="false" customHeight="false" outlineLevel="0" collapsed="false">
      <c r="B13" s="4" t="s">
        <v>96</v>
      </c>
      <c r="C13" s="28" t="n">
        <f aca="false">SUM(C9:C12)</f>
        <v>23719435.14</v>
      </c>
      <c r="D13" s="10"/>
    </row>
    <row r="15" customFormat="false" ht="15" hidden="false" customHeight="false" outlineLevel="0" collapsed="false">
      <c r="B15" s="8" t="s">
        <v>97</v>
      </c>
      <c r="C15" s="26" t="n">
        <f aca="false">C13*Parameters!$C$10</f>
        <v>7115830.542</v>
      </c>
      <c r="D15" s="10"/>
    </row>
    <row r="16" customFormat="false" ht="15" hidden="false" customHeight="false" outlineLevel="0" collapsed="false">
      <c r="B16" s="8" t="s">
        <v>98</v>
      </c>
      <c r="C16" s="26" t="n">
        <f aca="false">Parameters!$C$11</f>
        <v>12000000</v>
      </c>
      <c r="D16" s="10"/>
    </row>
    <row r="17" customFormat="false" ht="15" hidden="false" customHeight="false" outlineLevel="0" collapsed="false">
      <c r="B17" s="4" t="s">
        <v>99</v>
      </c>
      <c r="C17" s="27" t="n">
        <f aca="false">MAX(C15,C16)</f>
        <v>12000000</v>
      </c>
      <c r="D17" s="10"/>
    </row>
    <row r="18" customFormat="false" ht="15" hidden="false" customHeight="false" outlineLevel="0" collapsed="false">
      <c r="B18" s="4" t="s">
        <v>100</v>
      </c>
      <c r="C18" s="29" t="n">
        <f aca="false">MAX(0,C7-C17)</f>
        <v>0</v>
      </c>
      <c r="D18" s="10" t="s">
        <v>101</v>
      </c>
    </row>
    <row r="19" customFormat="false" ht="15" hidden="false" customHeight="false" outlineLevel="0" collapsed="false">
      <c r="B19" s="8" t="s">
        <v>102</v>
      </c>
      <c r="C19" s="27" t="n">
        <f aca="false">C17-C7</f>
        <v>11025851.61</v>
      </c>
      <c r="D19" s="10"/>
    </row>
    <row r="20" customFormat="false" ht="15" hidden="false" customHeight="false" outlineLevel="0" collapsed="false">
      <c r="B20" s="8" t="s">
        <v>103</v>
      </c>
      <c r="C20" s="30" t="str">
        <f aca="false">IF(C18=0,"● Within de-minimis / cap","● Interest restricted")</f>
        <v>● Within de-minimis / cap</v>
      </c>
      <c r="D20" s="10"/>
    </row>
  </sheetData>
  <mergeCells count="2">
    <mergeCell ref="B1:E1"/>
    <mergeCell ref="B2:E2"/>
  </mergeCells>
  <conditionalFormatting sqref="C20">
    <cfRule type="expression" priority="2" aboveAverage="0" equalAverage="0" bottom="0" percent="0" rank="0" text="" dxfId="2">
      <formula>ISNUMBER(SEARCH("Within",C20))</formula>
    </cfRule>
    <cfRule type="expression" priority="3" aboveAverage="0" equalAverage="0" bottom="0" percent="0" rank="0" text="" dxfId="3">
      <formula>ISNUMBER(SEARCH("restricted",C20))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A9A0"/>
    <pageSetUpPr fitToPage="tru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2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6" min="5" style="0" width="18"/>
    <col collapsed="false" customWidth="true" hidden="false" outlineLevel="0" max="7" min="7" style="0" width="22"/>
  </cols>
  <sheetData>
    <row r="1" customFormat="false" ht="30" hidden="false" customHeight="true" outlineLevel="0" collapsed="false">
      <c r="A1" s="1"/>
      <c r="B1" s="2" t="s">
        <v>104</v>
      </c>
      <c r="C1" s="2"/>
      <c r="D1" s="2"/>
      <c r="E1" s="2"/>
      <c r="F1" s="2"/>
      <c r="G1" s="2"/>
    </row>
    <row r="2" customFormat="false" ht="15" hidden="false" customHeight="false" outlineLevel="0" collapsed="false">
      <c r="B2" s="3" t="s">
        <v>105</v>
      </c>
      <c r="C2" s="3"/>
      <c r="D2" s="3"/>
      <c r="E2" s="3"/>
      <c r="F2" s="3"/>
      <c r="G2" s="3"/>
    </row>
    <row r="5" customFormat="false" ht="30" hidden="false" customHeight="true" outlineLevel="0" collapsed="false">
      <c r="B5" s="14" t="s">
        <v>106</v>
      </c>
      <c r="C5" s="15" t="s">
        <v>107</v>
      </c>
      <c r="D5" s="15" t="s">
        <v>108</v>
      </c>
      <c r="E5" s="15" t="s">
        <v>109</v>
      </c>
      <c r="F5" s="15" t="s">
        <v>110</v>
      </c>
      <c r="G5" s="15" t="s">
        <v>111</v>
      </c>
    </row>
    <row r="6" customFormat="false" ht="15" hidden="false" customHeight="false" outlineLevel="0" collapsed="false">
      <c r="B6" s="31" t="s">
        <v>112</v>
      </c>
      <c r="C6" s="32" t="s">
        <v>113</v>
      </c>
      <c r="D6" s="33" t="n">
        <f aca="false">COUNTIFS(GL_Register!$C$6:$C$1092,$B6,GL_Register!$E$6:$E$1092,$C6)</f>
        <v>2</v>
      </c>
      <c r="E6" s="34" t="n">
        <f aca="false">SUMIFS(GL_Register!$F$6:$F$1092,GL_Register!$C$6:$C$1092,$B6,GL_Register!$E$6:$E$1092,$C6)</f>
        <v>2790000</v>
      </c>
      <c r="F6" s="35" t="n">
        <f aca="false">SUMIFS(GL_Register!$I$6:$I$1092,GL_Register!$C$6:$C$1092,$B6,GL_Register!$E$6:$E$1092,$C6)</f>
        <v>-2790000</v>
      </c>
      <c r="G6" s="36" t="n">
        <f aca="false">IF(F6&gt;0,F6/SUMIF($F$6:$F$31,"&gt;0"),0)</f>
        <v>0</v>
      </c>
    </row>
    <row r="7" customFormat="false" ht="15" hidden="false" customHeight="false" outlineLevel="0" collapsed="false">
      <c r="B7" s="31" t="s">
        <v>114</v>
      </c>
      <c r="C7" s="32" t="s">
        <v>113</v>
      </c>
      <c r="D7" s="33" t="n">
        <f aca="false">COUNTIFS(GL_Register!$C$6:$C$1092,$B7,GL_Register!$E$6:$E$1092,$C7)</f>
        <v>1</v>
      </c>
      <c r="E7" s="34" t="n">
        <f aca="false">SUMIFS(GL_Register!$F$6:$F$1092,GL_Register!$C$6:$C$1092,$B7,GL_Register!$E$6:$E$1092,$C7)</f>
        <v>1320000</v>
      </c>
      <c r="F7" s="35" t="n">
        <f aca="false">SUMIFS(GL_Register!$I$6:$I$1092,GL_Register!$C$6:$C$1092,$B7,GL_Register!$E$6:$E$1092,$C7)</f>
        <v>-1320000</v>
      </c>
      <c r="G7" s="36" t="n">
        <f aca="false">IF(F7&gt;0,F7/SUMIF($F$6:$F$31,"&gt;0"),0)</f>
        <v>0</v>
      </c>
    </row>
    <row r="8" customFormat="false" ht="15" hidden="false" customHeight="false" outlineLevel="0" collapsed="false">
      <c r="B8" s="31" t="s">
        <v>115</v>
      </c>
      <c r="C8" s="32" t="s">
        <v>116</v>
      </c>
      <c r="D8" s="33" t="n">
        <f aca="false">COUNTIFS(GL_Register!$C$6:$C$1092,$B8,GL_Register!$E$6:$E$1092,$C8)</f>
        <v>1</v>
      </c>
      <c r="E8" s="34" t="n">
        <f aca="false">SUMIFS(GL_Register!$F$6:$F$1092,GL_Register!$C$6:$C$1092,$B8,GL_Register!$E$6:$E$1092,$C8)</f>
        <v>185000</v>
      </c>
      <c r="F8" s="35" t="n">
        <f aca="false">SUMIFS(GL_Register!$I$6:$I$1092,GL_Register!$C$6:$C$1092,$B8,GL_Register!$E$6:$E$1092,$C8)</f>
        <v>0</v>
      </c>
      <c r="G8" s="36" t="n">
        <f aca="false">IF(F8&gt;0,F8/SUMIF($F$6:$F$31,"&gt;0"),0)</f>
        <v>0</v>
      </c>
    </row>
    <row r="9" customFormat="false" ht="15" hidden="false" customHeight="false" outlineLevel="0" collapsed="false">
      <c r="B9" s="31" t="s">
        <v>117</v>
      </c>
      <c r="C9" s="32" t="s">
        <v>116</v>
      </c>
      <c r="D9" s="33" t="n">
        <f aca="false">COUNTIFS(GL_Register!$C$6:$C$1092,$B9,GL_Register!$E$6:$E$1092,$C9)</f>
        <v>1</v>
      </c>
      <c r="E9" s="34" t="n">
        <f aca="false">SUMIFS(GL_Register!$F$6:$F$1092,GL_Register!$C$6:$C$1092,$B9,GL_Register!$E$6:$E$1092,$C9)</f>
        <v>410000</v>
      </c>
      <c r="F9" s="35" t="n">
        <f aca="false">SUMIFS(GL_Register!$I$6:$I$1092,GL_Register!$C$6:$C$1092,$B9,GL_Register!$E$6:$E$1092,$C9)</f>
        <v>0</v>
      </c>
      <c r="G9" s="36" t="n">
        <f aca="false">IF(F9&gt;0,F9/SUMIF($F$6:$F$31,"&gt;0"),0)</f>
        <v>0</v>
      </c>
    </row>
    <row r="10" customFormat="false" ht="15" hidden="false" customHeight="false" outlineLevel="0" collapsed="false">
      <c r="B10" s="31" t="s">
        <v>118</v>
      </c>
      <c r="C10" s="32" t="s">
        <v>116</v>
      </c>
      <c r="D10" s="33" t="n">
        <f aca="false">COUNTIFS(GL_Register!$C$6:$C$1092,$B10,GL_Register!$E$6:$E$1092,$C10)</f>
        <v>107</v>
      </c>
      <c r="E10" s="34" t="n">
        <f aca="false">SUMIFS(GL_Register!$F$6:$F$1092,GL_Register!$C$6:$C$1092,$B10,GL_Register!$E$6:$E$1092,$C10)</f>
        <v>22937100.11</v>
      </c>
      <c r="F10" s="35" t="n">
        <f aca="false">SUMIFS(GL_Register!$I$6:$I$1092,GL_Register!$C$6:$C$1092,$B10,GL_Register!$E$6:$E$1092,$C10)</f>
        <v>0</v>
      </c>
      <c r="G10" s="36" t="n">
        <f aca="false">IF(F10&gt;0,F10/SUMIF($F$6:$F$31,"&gt;0"),0)</f>
        <v>0</v>
      </c>
    </row>
    <row r="11" customFormat="false" ht="15" hidden="false" customHeight="false" outlineLevel="0" collapsed="false">
      <c r="B11" s="31" t="s">
        <v>119</v>
      </c>
      <c r="C11" s="32" t="s">
        <v>116</v>
      </c>
      <c r="D11" s="33" t="n">
        <f aca="false">COUNTIFS(GL_Register!$C$6:$C$1092,$B11,GL_Register!$E$6:$E$1092,$C11)</f>
        <v>223</v>
      </c>
      <c r="E11" s="34" t="n">
        <f aca="false">SUMIFS(GL_Register!$F$6:$F$1092,GL_Register!$C$6:$C$1092,$B11,GL_Register!$E$6:$E$1092,$C11)</f>
        <v>41637528.06</v>
      </c>
      <c r="F11" s="35" t="n">
        <f aca="false">SUMIFS(GL_Register!$I$6:$I$1092,GL_Register!$C$6:$C$1092,$B11,GL_Register!$E$6:$E$1092,$C11)</f>
        <v>0</v>
      </c>
      <c r="G11" s="36" t="n">
        <f aca="false">IF(F11&gt;0,F11/SUMIF($F$6:$F$31,"&gt;0"),0)</f>
        <v>0</v>
      </c>
    </row>
    <row r="12" customFormat="false" ht="15" hidden="false" customHeight="false" outlineLevel="0" collapsed="false">
      <c r="B12" s="31" t="s">
        <v>120</v>
      </c>
      <c r="C12" s="32" t="s">
        <v>121</v>
      </c>
      <c r="D12" s="33" t="n">
        <f aca="false">COUNTIFS(GL_Register!$C$6:$C$1092,$B12,GL_Register!$E$6:$E$1092,$C12)</f>
        <v>5</v>
      </c>
      <c r="E12" s="34" t="n">
        <f aca="false">SUMIFS(GL_Register!$F$6:$F$1092,GL_Register!$C$6:$C$1092,$B12,GL_Register!$E$6:$E$1092,$C12)</f>
        <v>60270.87</v>
      </c>
      <c r="F12" s="35" t="n">
        <f aca="false">SUMIFS(GL_Register!$I$6:$I$1092,GL_Register!$C$6:$C$1092,$B12,GL_Register!$E$6:$E$1092,$C12)</f>
        <v>0</v>
      </c>
      <c r="G12" s="36" t="n">
        <f aca="false">IF(F12&gt;0,F12/SUMIF($F$6:$F$31,"&gt;0"),0)</f>
        <v>0</v>
      </c>
    </row>
    <row r="13" customFormat="false" ht="15" hidden="false" customHeight="false" outlineLevel="0" collapsed="false">
      <c r="B13" s="31" t="s">
        <v>122</v>
      </c>
      <c r="C13" s="32" t="s">
        <v>121</v>
      </c>
      <c r="D13" s="33" t="n">
        <f aca="false">COUNTIFS(GL_Register!$C$6:$C$1092,$B13,GL_Register!$E$6:$E$1092,$C13)</f>
        <v>10</v>
      </c>
      <c r="E13" s="34" t="n">
        <f aca="false">SUMIFS(GL_Register!$F$6:$F$1092,GL_Register!$C$6:$C$1092,$B13,GL_Register!$E$6:$E$1092,$C13)</f>
        <v>20441.19</v>
      </c>
      <c r="F13" s="35" t="n">
        <f aca="false">SUMIFS(GL_Register!$I$6:$I$1092,GL_Register!$C$6:$C$1092,$B13,GL_Register!$E$6:$E$1092,$C13)</f>
        <v>0</v>
      </c>
      <c r="G13" s="36" t="n">
        <f aca="false">IF(F13&gt;0,F13/SUMIF($F$6:$F$31,"&gt;0"),0)</f>
        <v>0</v>
      </c>
    </row>
    <row r="14" customFormat="false" ht="15" hidden="false" customHeight="false" outlineLevel="0" collapsed="false">
      <c r="B14" s="31" t="s">
        <v>123</v>
      </c>
      <c r="C14" s="32" t="s">
        <v>121</v>
      </c>
      <c r="D14" s="33" t="n">
        <f aca="false">COUNTIFS(GL_Register!$C$6:$C$1092,$B14,GL_Register!$E$6:$E$1092,$C14)</f>
        <v>137</v>
      </c>
      <c r="E14" s="34" t="n">
        <f aca="false">SUMIFS(GL_Register!$F$6:$F$1092,GL_Register!$C$6:$C$1092,$B14,GL_Register!$E$6:$E$1092,$C14)</f>
        <v>15810150.45</v>
      </c>
      <c r="F14" s="35" t="n">
        <f aca="false">SUMIFS(GL_Register!$I$6:$I$1092,GL_Register!$C$6:$C$1092,$B14,GL_Register!$E$6:$E$1092,$C14)</f>
        <v>0</v>
      </c>
      <c r="G14" s="36" t="n">
        <f aca="false">IF(F14&gt;0,F14/SUMIF($F$6:$F$31,"&gt;0"),0)</f>
        <v>0</v>
      </c>
    </row>
    <row r="15" customFormat="false" ht="15" hidden="false" customHeight="false" outlineLevel="0" collapsed="false">
      <c r="B15" s="31" t="s">
        <v>124</v>
      </c>
      <c r="C15" s="32" t="s">
        <v>121</v>
      </c>
      <c r="D15" s="33" t="n">
        <f aca="false">COUNTIFS(GL_Register!$C$6:$C$1092,$B15,GL_Register!$E$6:$E$1092,$C15)</f>
        <v>35</v>
      </c>
      <c r="E15" s="34" t="n">
        <f aca="false">SUMIFS(GL_Register!$F$6:$F$1092,GL_Register!$C$6:$C$1092,$B15,GL_Register!$E$6:$E$1092,$C15)</f>
        <v>1568782.75</v>
      </c>
      <c r="F15" s="35" t="n">
        <f aca="false">SUMIFS(GL_Register!$I$6:$I$1092,GL_Register!$C$6:$C$1092,$B15,GL_Register!$E$6:$E$1092,$C15)</f>
        <v>0</v>
      </c>
      <c r="G15" s="36" t="n">
        <f aca="false">IF(F15&gt;0,F15/SUMIF($F$6:$F$31,"&gt;0"),0)</f>
        <v>0</v>
      </c>
    </row>
    <row r="16" customFormat="false" ht="15" hidden="false" customHeight="false" outlineLevel="0" collapsed="false">
      <c r="B16" s="31" t="s">
        <v>125</v>
      </c>
      <c r="C16" s="32" t="s">
        <v>121</v>
      </c>
      <c r="D16" s="33" t="n">
        <f aca="false">COUNTIFS(GL_Register!$C$6:$C$1092,$B16,GL_Register!$E$6:$E$1092,$C16)</f>
        <v>4</v>
      </c>
      <c r="E16" s="34" t="n">
        <f aca="false">SUMIFS(GL_Register!$F$6:$F$1092,GL_Register!$C$6:$C$1092,$B16,GL_Register!$E$6:$E$1092,$C16)</f>
        <v>27443.67</v>
      </c>
      <c r="F16" s="35" t="n">
        <f aca="false">SUMIFS(GL_Register!$I$6:$I$1092,GL_Register!$C$6:$C$1092,$B16,GL_Register!$E$6:$E$1092,$C16)</f>
        <v>0</v>
      </c>
      <c r="G16" s="36" t="n">
        <f aca="false">IF(F16&gt;0,F16/SUMIF($F$6:$F$31,"&gt;0"),0)</f>
        <v>0</v>
      </c>
    </row>
    <row r="17" customFormat="false" ht="15" hidden="false" customHeight="false" outlineLevel="0" collapsed="false">
      <c r="B17" s="31" t="s">
        <v>126</v>
      </c>
      <c r="C17" s="32" t="s">
        <v>121</v>
      </c>
      <c r="D17" s="33" t="n">
        <f aca="false">COUNTIFS(GL_Register!$C$6:$C$1092,$B17,GL_Register!$E$6:$E$1092,$C17)</f>
        <v>65</v>
      </c>
      <c r="E17" s="34" t="n">
        <f aca="false">SUMIFS(GL_Register!$F$6:$F$1092,GL_Register!$C$6:$C$1092,$B17,GL_Register!$E$6:$E$1092,$C17)</f>
        <v>1935197.7</v>
      </c>
      <c r="F17" s="35" t="n">
        <f aca="false">SUMIFS(GL_Register!$I$6:$I$1092,GL_Register!$C$6:$C$1092,$B17,GL_Register!$E$6:$E$1092,$C17)</f>
        <v>0</v>
      </c>
      <c r="G17" s="36" t="n">
        <f aca="false">IF(F17&gt;0,F17/SUMIF($F$6:$F$31,"&gt;0"),0)</f>
        <v>0</v>
      </c>
    </row>
    <row r="18" customFormat="false" ht="15" hidden="false" customHeight="false" outlineLevel="0" collapsed="false">
      <c r="B18" s="31" t="s">
        <v>127</v>
      </c>
      <c r="C18" s="32" t="s">
        <v>121</v>
      </c>
      <c r="D18" s="33" t="n">
        <f aca="false">COUNTIFS(GL_Register!$C$6:$C$1092,$B18,GL_Register!$E$6:$E$1092,$C18)</f>
        <v>6</v>
      </c>
      <c r="E18" s="34" t="n">
        <f aca="false">SUMIFS(GL_Register!$F$6:$F$1092,GL_Register!$C$6:$C$1092,$B18,GL_Register!$E$6:$E$1092,$C18)</f>
        <v>52436.96</v>
      </c>
      <c r="F18" s="35" t="n">
        <f aca="false">SUMIFS(GL_Register!$I$6:$I$1092,GL_Register!$C$6:$C$1092,$B18,GL_Register!$E$6:$E$1092,$C18)</f>
        <v>0</v>
      </c>
      <c r="G18" s="36" t="n">
        <f aca="false">IF(F18&gt;0,F18/SUMIF($F$6:$F$31,"&gt;0"),0)</f>
        <v>0</v>
      </c>
    </row>
    <row r="19" customFormat="false" ht="15" hidden="false" customHeight="false" outlineLevel="0" collapsed="false">
      <c r="B19" s="31" t="s">
        <v>128</v>
      </c>
      <c r="C19" s="32" t="s">
        <v>121</v>
      </c>
      <c r="D19" s="33" t="n">
        <f aca="false">COUNTIFS(GL_Register!$C$6:$C$1092,$B19,GL_Register!$E$6:$E$1092,$C19)</f>
        <v>35</v>
      </c>
      <c r="E19" s="34" t="n">
        <f aca="false">SUMIFS(GL_Register!$F$6:$F$1092,GL_Register!$C$6:$C$1092,$B19,GL_Register!$E$6:$E$1092,$C19)</f>
        <v>1007190.3</v>
      </c>
      <c r="F19" s="35" t="n">
        <f aca="false">SUMIFS(GL_Register!$I$6:$I$1092,GL_Register!$C$6:$C$1092,$B19,GL_Register!$E$6:$E$1092,$C19)</f>
        <v>0</v>
      </c>
      <c r="G19" s="36" t="n">
        <f aca="false">IF(F19&gt;0,F19/SUMIF($F$6:$F$31,"&gt;0"),0)</f>
        <v>0</v>
      </c>
    </row>
    <row r="20" customFormat="false" ht="15" hidden="false" customHeight="false" outlineLevel="0" collapsed="false">
      <c r="B20" s="31" t="s">
        <v>129</v>
      </c>
      <c r="C20" s="32" t="s">
        <v>121</v>
      </c>
      <c r="D20" s="33" t="n">
        <f aca="false">COUNTIFS(GL_Register!$C$6:$C$1092,$B20,GL_Register!$E$6:$E$1092,$C20)</f>
        <v>55</v>
      </c>
      <c r="E20" s="34" t="n">
        <f aca="false">SUMIFS(GL_Register!$F$6:$F$1092,GL_Register!$C$6:$C$1092,$B20,GL_Register!$E$6:$E$1092,$C20)</f>
        <v>1645941.95</v>
      </c>
      <c r="F20" s="35" t="n">
        <f aca="false">SUMIFS(GL_Register!$I$6:$I$1092,GL_Register!$C$6:$C$1092,$B20,GL_Register!$E$6:$E$1092,$C20)</f>
        <v>0</v>
      </c>
      <c r="G20" s="36" t="n">
        <f aca="false">IF(F20&gt;0,F20/SUMIF($F$6:$F$31,"&gt;0"),0)</f>
        <v>0</v>
      </c>
    </row>
    <row r="21" customFormat="false" ht="15" hidden="false" customHeight="false" outlineLevel="0" collapsed="false">
      <c r="B21" s="31" t="s">
        <v>130</v>
      </c>
      <c r="C21" s="32" t="s">
        <v>121</v>
      </c>
      <c r="D21" s="33" t="n">
        <f aca="false">COUNTIFS(GL_Register!$C$6:$C$1092,$B21,GL_Register!$E$6:$E$1092,$C21)</f>
        <v>56</v>
      </c>
      <c r="E21" s="34" t="n">
        <f aca="false">SUMIFS(GL_Register!$F$6:$F$1092,GL_Register!$C$6:$C$1092,$B21,GL_Register!$E$6:$E$1092,$C21)</f>
        <v>2682184.58</v>
      </c>
      <c r="F21" s="35" t="n">
        <f aca="false">SUMIFS(GL_Register!$I$6:$I$1092,GL_Register!$C$6:$C$1092,$B21,GL_Register!$E$6:$E$1092,$C21)</f>
        <v>0</v>
      </c>
      <c r="G21" s="36" t="n">
        <f aca="false">IF(F21&gt;0,F21/SUMIF($F$6:$F$31,"&gt;0"),0)</f>
        <v>0</v>
      </c>
    </row>
    <row r="22" customFormat="false" ht="15" hidden="false" customHeight="false" outlineLevel="0" collapsed="false">
      <c r="B22" s="31" t="s">
        <v>131</v>
      </c>
      <c r="C22" s="32" t="s">
        <v>121</v>
      </c>
      <c r="D22" s="33" t="n">
        <f aca="false">COUNTIFS(GL_Register!$C$6:$C$1092,$B22,GL_Register!$E$6:$E$1092,$C22)</f>
        <v>205</v>
      </c>
      <c r="E22" s="34" t="n">
        <f aca="false">SUMIFS(GL_Register!$F$6:$F$1092,GL_Register!$C$6:$C$1092,$B22,GL_Register!$E$6:$E$1092,$C22)</f>
        <v>17280052.62</v>
      </c>
      <c r="F22" s="35" t="n">
        <f aca="false">SUMIFS(GL_Register!$I$6:$I$1092,GL_Register!$C$6:$C$1092,$B22,GL_Register!$E$6:$E$1092,$C22)</f>
        <v>0</v>
      </c>
      <c r="G22" s="36" t="n">
        <f aca="false">IF(F22&gt;0,F22/SUMIF($F$6:$F$31,"&gt;0"),0)</f>
        <v>0</v>
      </c>
    </row>
    <row r="23" customFormat="false" ht="15" hidden="false" customHeight="false" outlineLevel="0" collapsed="false">
      <c r="B23" s="31" t="s">
        <v>132</v>
      </c>
      <c r="C23" s="32" t="s">
        <v>121</v>
      </c>
      <c r="D23" s="33" t="n">
        <f aca="false">COUNTIFS(GL_Register!$C$6:$C$1092,$B23,GL_Register!$E$6:$E$1092,$C23)</f>
        <v>35</v>
      </c>
      <c r="E23" s="34" t="n">
        <f aca="false">SUMIFS(GL_Register!$F$6:$F$1092,GL_Register!$C$6:$C$1092,$B23,GL_Register!$E$6:$E$1092,$C23)</f>
        <v>364867.11</v>
      </c>
      <c r="F23" s="35" t="n">
        <f aca="false">SUMIFS(GL_Register!$I$6:$I$1092,GL_Register!$C$6:$C$1092,$B23,GL_Register!$E$6:$E$1092,$C23)</f>
        <v>0</v>
      </c>
      <c r="G23" s="36" t="n">
        <f aca="false">IF(F23&gt;0,F23/SUMIF($F$6:$F$31,"&gt;0"),0)</f>
        <v>0</v>
      </c>
    </row>
    <row r="24" customFormat="false" ht="15" hidden="false" customHeight="false" outlineLevel="0" collapsed="false">
      <c r="B24" s="31" t="s">
        <v>133</v>
      </c>
      <c r="C24" s="32" t="s">
        <v>134</v>
      </c>
      <c r="D24" s="33" t="n">
        <f aca="false">COUNTIFS(GL_Register!$C$6:$C$1092,$B24,GL_Register!$E$6:$E$1092,$C24)</f>
        <v>13</v>
      </c>
      <c r="E24" s="34" t="n">
        <f aca="false">SUMIFS(GL_Register!$F$6:$F$1092,GL_Register!$C$6:$C$1092,$B24,GL_Register!$E$6:$E$1092,$C24)</f>
        <v>67567.9</v>
      </c>
      <c r="F24" s="35" t="n">
        <f aca="false">SUMIFS(GL_Register!$I$6:$I$1092,GL_Register!$C$6:$C$1092,$B24,GL_Register!$E$6:$E$1092,$C24)</f>
        <v>67567.9</v>
      </c>
      <c r="G24" s="36" t="n">
        <f aca="false">IF(F24&gt;0,F24/SUMIF($F$6:$F$31,"&gt;0"),0)</f>
        <v>0.153470859186871</v>
      </c>
    </row>
    <row r="25" customFormat="false" ht="15" hidden="false" customHeight="false" outlineLevel="0" collapsed="false">
      <c r="B25" s="31" t="s">
        <v>135</v>
      </c>
      <c r="C25" s="32" t="s">
        <v>134</v>
      </c>
      <c r="D25" s="33" t="n">
        <f aca="false">COUNTIFS(GL_Register!$C$6:$C$1092,$B25,GL_Register!$E$6:$E$1092,$C25)</f>
        <v>11</v>
      </c>
      <c r="E25" s="34" t="n">
        <f aca="false">SUMIFS(GL_Register!$F$6:$F$1092,GL_Register!$C$6:$C$1092,$B25,GL_Register!$E$6:$E$1092,$C25)</f>
        <v>25428.47</v>
      </c>
      <c r="F25" s="35" t="n">
        <f aca="false">SUMIFS(GL_Register!$I$6:$I$1092,GL_Register!$C$6:$C$1092,$B25,GL_Register!$E$6:$E$1092,$C25)</f>
        <v>25428.47</v>
      </c>
      <c r="G25" s="36" t="n">
        <f aca="false">IF(F25&gt;0,F25/SUMIF($F$6:$F$31,"&gt;0"),0)</f>
        <v>0.0577571470877085</v>
      </c>
    </row>
    <row r="26" customFormat="false" ht="15" hidden="false" customHeight="false" outlineLevel="0" collapsed="false">
      <c r="B26" s="31" t="s">
        <v>136</v>
      </c>
      <c r="C26" s="32" t="s">
        <v>134</v>
      </c>
      <c r="D26" s="33" t="n">
        <f aca="false">COUNTIFS(GL_Register!$C$6:$C$1092,$B26,GL_Register!$E$6:$E$1092,$C26)</f>
        <v>2</v>
      </c>
      <c r="E26" s="34" t="n">
        <f aca="false">SUMIFS(GL_Register!$F$6:$F$1092,GL_Register!$C$6:$C$1092,$B26,GL_Register!$E$6:$E$1092,$C26)</f>
        <v>17584.7</v>
      </c>
      <c r="F26" s="35" t="n">
        <f aca="false">SUMIFS(GL_Register!$I$6:$I$1092,GL_Register!$C$6:$C$1092,$B26,GL_Register!$E$6:$E$1092,$C26)</f>
        <v>17584.7</v>
      </c>
      <c r="G26" s="36" t="n">
        <f aca="false">IF(F26&gt;0,F26/SUMIF($F$6:$F$31,"&gt;0"),0)</f>
        <v>0.0399411409492285</v>
      </c>
    </row>
    <row r="27" customFormat="false" ht="15" hidden="false" customHeight="false" outlineLevel="0" collapsed="false">
      <c r="B27" s="31" t="s">
        <v>137</v>
      </c>
      <c r="C27" s="32" t="s">
        <v>134</v>
      </c>
      <c r="D27" s="33" t="n">
        <f aca="false">COUNTIFS(GL_Register!$C$6:$C$1092,$B27,GL_Register!$E$6:$E$1092,$C27)</f>
        <v>8</v>
      </c>
      <c r="E27" s="34" t="n">
        <f aca="false">SUMIFS(GL_Register!$F$6:$F$1092,GL_Register!$C$6:$C$1092,$B27,GL_Register!$E$6:$E$1092,$C27)</f>
        <v>150096.41</v>
      </c>
      <c r="F27" s="35" t="n">
        <f aca="false">SUMIFS(GL_Register!$I$6:$I$1092,GL_Register!$C$6:$C$1092,$B27,GL_Register!$E$6:$E$1092,$C27)</f>
        <v>150096.41</v>
      </c>
      <c r="G27" s="36" t="n">
        <f aca="false">IF(F27&gt;0,F27/SUMIF($F$6:$F$31,"&gt;0"),0)</f>
        <v>0.340922612713506</v>
      </c>
    </row>
    <row r="28" customFormat="false" ht="15" hidden="false" customHeight="false" outlineLevel="0" collapsed="false">
      <c r="B28" s="31" t="s">
        <v>138</v>
      </c>
      <c r="C28" s="32" t="s">
        <v>139</v>
      </c>
      <c r="D28" s="33" t="n">
        <f aca="false">COUNTIFS(GL_Register!$C$6:$C$1092,$B28,GL_Register!$E$6:$E$1092,$C28)</f>
        <v>47</v>
      </c>
      <c r="E28" s="34" t="n">
        <f aca="false">SUMIFS(GL_Register!$F$6:$F$1092,GL_Register!$C$6:$C$1092,$B28,GL_Register!$E$6:$E$1092,$C28)</f>
        <v>308031.26</v>
      </c>
      <c r="F28" s="35" t="n">
        <f aca="false">SUMIFS(GL_Register!$I$6:$I$1092,GL_Register!$C$6:$C$1092,$B28,GL_Register!$E$6:$E$1092,$C28)</f>
        <v>154015.63</v>
      </c>
      <c r="G28" s="36" t="n">
        <f aca="false">IF(F28&gt;0,F28/SUMIF($F$6:$F$31,"&gt;0"),0)</f>
        <v>0.349824562614899</v>
      </c>
    </row>
    <row r="29" customFormat="false" ht="15" hidden="false" customHeight="false" outlineLevel="0" collapsed="false">
      <c r="B29" s="31" t="s">
        <v>140</v>
      </c>
      <c r="C29" s="32" t="s">
        <v>141</v>
      </c>
      <c r="D29" s="33" t="n">
        <f aca="false">COUNTIFS(GL_Register!$C$6:$C$1092,$B29,GL_Register!$E$6:$E$1092,$C29)</f>
        <v>4</v>
      </c>
      <c r="E29" s="34" t="n">
        <f aca="false">SUMIFS(GL_Register!$F$6:$F$1092,GL_Register!$C$6:$C$1092,$B29,GL_Register!$E$6:$E$1092,$C29)</f>
        <v>239472.45</v>
      </c>
      <c r="F29" s="35" t="n">
        <f aca="false">SUMIFS(GL_Register!$I$6:$I$1092,GL_Register!$C$6:$C$1092,$B29,GL_Register!$E$6:$E$1092,$C29)</f>
        <v>0</v>
      </c>
      <c r="G29" s="36" t="n">
        <f aca="false">IF(F29&gt;0,F29/SUMIF($F$6:$F$31,"&gt;0"),0)</f>
        <v>0</v>
      </c>
    </row>
    <row r="30" customFormat="false" ht="15" hidden="false" customHeight="false" outlineLevel="0" collapsed="false">
      <c r="B30" s="31" t="s">
        <v>142</v>
      </c>
      <c r="C30" s="32" t="s">
        <v>141</v>
      </c>
      <c r="D30" s="33" t="n">
        <f aca="false">COUNTIFS(GL_Register!$C$6:$C$1092,$B30,GL_Register!$E$6:$E$1092,$C30)</f>
        <v>18</v>
      </c>
      <c r="E30" s="34" t="n">
        <f aca="false">SUMIFS(GL_Register!$F$6:$F$1092,GL_Register!$C$6:$C$1092,$B30,GL_Register!$E$6:$E$1092,$C30)</f>
        <v>1144675.94</v>
      </c>
      <c r="F30" s="35" t="n">
        <f aca="false">SUMIFS(GL_Register!$I$6:$I$1092,GL_Register!$C$6:$C$1092,$B30,GL_Register!$E$6:$E$1092,$C30)</f>
        <v>0</v>
      </c>
      <c r="G30" s="36" t="n">
        <f aca="false">IF(F30&gt;0,F30/SUMIF($F$6:$F$31,"&gt;0"),0)</f>
        <v>0</v>
      </c>
    </row>
    <row r="31" customFormat="false" ht="15" hidden="false" customHeight="false" outlineLevel="0" collapsed="false">
      <c r="B31" s="31" t="s">
        <v>143</v>
      </c>
      <c r="C31" s="32" t="s">
        <v>144</v>
      </c>
      <c r="D31" s="33" t="n">
        <f aca="false">COUNTIFS(GL_Register!$C$6:$C$1092,$B31,GL_Register!$E$6:$E$1092,$C31)</f>
        <v>1</v>
      </c>
      <c r="E31" s="34" t="n">
        <f aca="false">SUMIFS(GL_Register!$F$6:$F$1092,GL_Register!$C$6:$C$1092,$B31,GL_Register!$E$6:$E$1092,$C31)</f>
        <v>25572.23</v>
      </c>
      <c r="F31" s="35" t="n">
        <f aca="false">SUMIFS(GL_Register!$I$6:$I$1092,GL_Register!$C$6:$C$1092,$B31,GL_Register!$E$6:$E$1092,$C31)</f>
        <v>25572.23</v>
      </c>
      <c r="G31" s="36" t="n">
        <f aca="false">IF(F31&gt;0,F31/SUMIF($F$6:$F$31,"&gt;0"),0)</f>
        <v>0.0580836774477864</v>
      </c>
    </row>
    <row r="32" customFormat="false" ht="15" hidden="false" customHeight="false" outlineLevel="0" collapsed="false">
      <c r="B32" s="37" t="s">
        <v>31</v>
      </c>
      <c r="D32" s="38" t="n">
        <f aca="false">SUM(D6:D31)</f>
        <v>1087</v>
      </c>
      <c r="E32" s="39" t="n">
        <f aca="false">SUMIF(C6:C31,"&lt;&gt;",E6:E31)</f>
        <v>113713017.68</v>
      </c>
      <c r="F32" s="40" t="n">
        <f aca="false">SUM(F6:F31)</f>
        <v>-3669734.66</v>
      </c>
    </row>
  </sheetData>
  <mergeCells count="2">
    <mergeCell ref="B1:G1"/>
    <mergeCell ref="B2:G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A9A0"/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7" min="3" style="0" width="14"/>
  </cols>
  <sheetData>
    <row r="1" customFormat="false" ht="30" hidden="false" customHeight="true" outlineLevel="0" collapsed="false">
      <c r="A1" s="1"/>
      <c r="B1" s="2" t="s">
        <v>145</v>
      </c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B2" s="3" t="s">
        <v>146</v>
      </c>
      <c r="C2" s="3"/>
      <c r="D2" s="3"/>
      <c r="E2" s="3"/>
      <c r="F2" s="3"/>
      <c r="G2" s="3"/>
      <c r="H2" s="3"/>
    </row>
    <row r="5" customFormat="false" ht="30" hidden="false" customHeight="true" outlineLevel="0" collapsed="false">
      <c r="B5" s="41" t="s">
        <v>147</v>
      </c>
      <c r="C5" s="42" t="n">
        <v>-0.2</v>
      </c>
      <c r="D5" s="42" t="n">
        <v>-0.1</v>
      </c>
      <c r="E5" s="42" t="n">
        <v>0</v>
      </c>
      <c r="F5" s="42" t="n">
        <v>0.1</v>
      </c>
      <c r="G5" s="42" t="n">
        <v>0.2</v>
      </c>
    </row>
    <row r="6" customFormat="false" ht="15" hidden="false" customHeight="false" outlineLevel="0" collapsed="false">
      <c r="B6" s="8" t="s">
        <v>32</v>
      </c>
      <c r="C6" s="43" t="n">
        <f aca="false">CT_Computation!$C$7*(1+C$5)</f>
        <v>19876990.928</v>
      </c>
      <c r="D6" s="43" t="n">
        <f aca="false">CT_Computation!$C$7*(1+D$5)</f>
        <v>22361614.794</v>
      </c>
      <c r="E6" s="43" t="n">
        <f aca="false">CT_Computation!$C$7*(1+E$5)</f>
        <v>24846238.66</v>
      </c>
      <c r="F6" s="43" t="n">
        <f aca="false">CT_Computation!$C$7*(1+F$5)</f>
        <v>27330862.526</v>
      </c>
      <c r="G6" s="43" t="n">
        <f aca="false">CT_Computation!$C$7*(1+G$5)</f>
        <v>29815486.392</v>
      </c>
    </row>
    <row r="7" customFormat="false" ht="15" hidden="false" customHeight="false" outlineLevel="0" collapsed="false">
      <c r="B7" s="8" t="s">
        <v>148</v>
      </c>
      <c r="C7" s="43" t="n">
        <f aca="false">CT_Computation!$C$17</f>
        <v>-3669734.66</v>
      </c>
      <c r="D7" s="43" t="n">
        <f aca="false">CT_Computation!$C$17</f>
        <v>-3669734.66</v>
      </c>
      <c r="E7" s="43" t="n">
        <f aca="false">CT_Computation!$C$17</f>
        <v>-3669734.66</v>
      </c>
      <c r="F7" s="43" t="n">
        <f aca="false">CT_Computation!$C$17</f>
        <v>-3669734.66</v>
      </c>
      <c r="G7" s="43" t="n">
        <f aca="false">CT_Computation!$C$17</f>
        <v>-3669734.66</v>
      </c>
    </row>
    <row r="8" customFormat="false" ht="15" hidden="false" customHeight="false" outlineLevel="0" collapsed="false">
      <c r="B8" s="8" t="s">
        <v>7</v>
      </c>
      <c r="C8" s="44" t="n">
        <f aca="false">C6+C7</f>
        <v>16207256.268</v>
      </c>
      <c r="D8" s="44" t="n">
        <f aca="false">D6+D7</f>
        <v>18691880.134</v>
      </c>
      <c r="E8" s="44" t="n">
        <f aca="false">E6+E7</f>
        <v>21176504</v>
      </c>
      <c r="F8" s="44" t="n">
        <f aca="false">F6+F7</f>
        <v>23661127.866</v>
      </c>
      <c r="G8" s="44" t="n">
        <f aca="false">G6+G7</f>
        <v>26145751.732</v>
      </c>
    </row>
    <row r="9" customFormat="false" ht="15" hidden="false" customHeight="false" outlineLevel="0" collapsed="false">
      <c r="B9" s="8" t="s">
        <v>8</v>
      </c>
      <c r="C9" s="43" t="n">
        <f aca="false">MIN(Parameters!$C$9,MAX(0,C8)*Parameters!$C$8)</f>
        <v>3200000</v>
      </c>
      <c r="D9" s="43" t="n">
        <f aca="false">MIN(Parameters!$C$9,MAX(0,D8)*Parameters!$C$8)</f>
        <v>3200000</v>
      </c>
      <c r="E9" s="43" t="n">
        <f aca="false">MIN(Parameters!$C$9,MAX(0,E8)*Parameters!$C$8)</f>
        <v>3200000</v>
      </c>
      <c r="F9" s="43" t="n">
        <f aca="false">MIN(Parameters!$C$9,MAX(0,F8)*Parameters!$C$8)</f>
        <v>3200000</v>
      </c>
      <c r="G9" s="43" t="n">
        <f aca="false">MIN(Parameters!$C$9,MAX(0,G8)*Parameters!$C$8)</f>
        <v>3200000</v>
      </c>
    </row>
    <row r="10" customFormat="false" ht="15" hidden="false" customHeight="false" outlineLevel="0" collapsed="false">
      <c r="B10" s="8" t="s">
        <v>10</v>
      </c>
      <c r="C10" s="44" t="n">
        <f aca="false">MAX(0,C8-C9)</f>
        <v>13007256.268</v>
      </c>
      <c r="D10" s="44" t="n">
        <f aca="false">MAX(0,D8-D9)</f>
        <v>15491880.134</v>
      </c>
      <c r="E10" s="44" t="n">
        <f aca="false">MAX(0,E8-E9)</f>
        <v>17976504</v>
      </c>
      <c r="F10" s="44" t="n">
        <f aca="false">MAX(0,F8-F9)</f>
        <v>20461127.866</v>
      </c>
      <c r="G10" s="44" t="n">
        <f aca="false">MAX(0,G8-G9)</f>
        <v>22945751.732</v>
      </c>
    </row>
    <row r="11" customFormat="false" ht="15" hidden="false" customHeight="false" outlineLevel="0" collapsed="false">
      <c r="B11" s="8" t="s">
        <v>70</v>
      </c>
      <c r="C11" s="43" t="n">
        <f aca="false">MAX(0,C10-Parameters!$C$6)*Parameters!$C$7</f>
        <v>1136903.06412</v>
      </c>
      <c r="D11" s="43" t="n">
        <f aca="false">MAX(0,D10-Parameters!$C$6)*Parameters!$C$7</f>
        <v>1360519.21206</v>
      </c>
      <c r="E11" s="43" t="n">
        <f aca="false">MAX(0,E10-Parameters!$C$6)*Parameters!$C$7</f>
        <v>1584135.36</v>
      </c>
      <c r="F11" s="43" t="n">
        <f aca="false">MAX(0,F10-Parameters!$C$6)*Parameters!$C$7</f>
        <v>1807751.50794</v>
      </c>
      <c r="G11" s="43" t="n">
        <f aca="false">MAX(0,G10-Parameters!$C$6)*Parameters!$C$7</f>
        <v>2031367.65588</v>
      </c>
    </row>
    <row r="12" customFormat="false" ht="15" hidden="false" customHeight="false" outlineLevel="0" collapsed="false">
      <c r="B12" s="8" t="s">
        <v>81</v>
      </c>
      <c r="C12" s="43" t="n">
        <f aca="false">-MIN(C11,Parameters!$C$13)</f>
        <v>-85000</v>
      </c>
      <c r="D12" s="43" t="n">
        <f aca="false">-MIN(D11,Parameters!$C$13)</f>
        <v>-85000</v>
      </c>
      <c r="E12" s="43" t="n">
        <f aca="false">-MIN(E11,Parameters!$C$13)</f>
        <v>-85000</v>
      </c>
      <c r="F12" s="43" t="n">
        <f aca="false">-MIN(F11,Parameters!$C$13)</f>
        <v>-85000</v>
      </c>
      <c r="G12" s="43" t="n">
        <f aca="false">-MIN(G11,Parameters!$C$13)</f>
        <v>-85000</v>
      </c>
    </row>
    <row r="13" customFormat="false" ht="15" hidden="false" customHeight="false" outlineLevel="0" collapsed="false">
      <c r="B13" s="4" t="s">
        <v>82</v>
      </c>
      <c r="C13" s="45" t="n">
        <f aca="false">C11+C12</f>
        <v>1051903.06412</v>
      </c>
      <c r="D13" s="45" t="n">
        <f aca="false">D11+D12</f>
        <v>1275519.21206</v>
      </c>
      <c r="E13" s="45" t="n">
        <f aca="false">E11+E12</f>
        <v>1499135.36</v>
      </c>
      <c r="F13" s="45" t="n">
        <f aca="false">F11+F12</f>
        <v>1722751.50794</v>
      </c>
      <c r="G13" s="45" t="n">
        <f aca="false">G11+G12</f>
        <v>1946367.65588</v>
      </c>
    </row>
    <row r="14" customFormat="false" ht="15" hidden="false" customHeight="false" outlineLevel="0" collapsed="false">
      <c r="B14" s="8" t="s">
        <v>149</v>
      </c>
      <c r="C14" s="23" t="n">
        <f aca="false">C13/C6</f>
        <v>0.0529206391415223</v>
      </c>
      <c r="D14" s="23" t="n">
        <f aca="false">D13/D6</f>
        <v>0.0570405681257976</v>
      </c>
      <c r="E14" s="23" t="n">
        <f aca="false">E13/E6</f>
        <v>0.0603365113132178</v>
      </c>
      <c r="F14" s="23" t="n">
        <f aca="false">F13/F6</f>
        <v>0.0630331921029253</v>
      </c>
      <c r="G14" s="23" t="n">
        <f aca="false">G13/G6</f>
        <v>0.0652804260943482</v>
      </c>
    </row>
    <row r="16" customFormat="false" ht="15" hidden="false" customHeight="false" outlineLevel="0" collapsed="false">
      <c r="B16" s="8" t="s">
        <v>150</v>
      </c>
      <c r="C16" s="46" t="n">
        <f aca="false">ROUND(E13-CT_Computation!C32,2)</f>
        <v>0</v>
      </c>
    </row>
  </sheetData>
  <mergeCells count="2">
    <mergeCell ref="B1:H1"/>
    <mergeCell ref="B2:H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30"/>
    <col collapsed="false" customWidth="true" hidden="false" outlineLevel="0" max="4" min="4" style="0" width="70"/>
  </cols>
  <sheetData>
    <row r="1" customFormat="false" ht="30" hidden="false" customHeight="true" outlineLevel="0" collapsed="false">
      <c r="A1" s="1"/>
      <c r="B1" s="2" t="s">
        <v>151</v>
      </c>
      <c r="C1" s="2"/>
      <c r="D1" s="2"/>
      <c r="E1" s="2"/>
    </row>
    <row r="2" customFormat="false" ht="15" hidden="false" customHeight="false" outlineLevel="0" collapsed="false">
      <c r="B2" s="3" t="s">
        <v>152</v>
      </c>
      <c r="C2" s="3"/>
      <c r="D2" s="3"/>
      <c r="E2" s="3"/>
    </row>
    <row r="4" customFormat="false" ht="30" hidden="false" customHeight="true" outlineLevel="0" collapsed="false">
      <c r="B4" s="14" t="s">
        <v>153</v>
      </c>
      <c r="C4" s="15" t="s">
        <v>154</v>
      </c>
      <c r="D4" s="15" t="s">
        <v>86</v>
      </c>
    </row>
    <row r="5" customFormat="false" ht="15" hidden="false" customHeight="false" outlineLevel="0" collapsed="false">
      <c r="B5" s="8" t="s">
        <v>155</v>
      </c>
      <c r="C5" s="47" t="s">
        <v>156</v>
      </c>
      <c r="D5" s="10" t="s">
        <v>157</v>
      </c>
    </row>
    <row r="6" customFormat="false" ht="15" hidden="false" customHeight="false" outlineLevel="0" collapsed="false">
      <c r="B6" s="8" t="s">
        <v>158</v>
      </c>
      <c r="C6" s="48" t="n">
        <v>375000</v>
      </c>
      <c r="D6" s="10" t="s">
        <v>159</v>
      </c>
    </row>
    <row r="7" customFormat="false" ht="15" hidden="false" customHeight="false" outlineLevel="0" collapsed="false">
      <c r="B7" s="8" t="s">
        <v>160</v>
      </c>
      <c r="C7" s="49" t="n">
        <v>0.09</v>
      </c>
      <c r="D7" s="10" t="s">
        <v>161</v>
      </c>
    </row>
    <row r="8" customFormat="false" ht="15" hidden="false" customHeight="false" outlineLevel="0" collapsed="false">
      <c r="B8" s="8" t="s">
        <v>162</v>
      </c>
      <c r="C8" s="50" t="n">
        <v>0.75</v>
      </c>
      <c r="D8" s="10" t="s">
        <v>163</v>
      </c>
    </row>
    <row r="9" customFormat="false" ht="15" hidden="false" customHeight="false" outlineLevel="0" collapsed="false">
      <c r="B9" s="8" t="s">
        <v>164</v>
      </c>
      <c r="C9" s="48" t="n">
        <v>3200000</v>
      </c>
      <c r="D9" s="10" t="s">
        <v>165</v>
      </c>
    </row>
    <row r="10" customFormat="false" ht="15" hidden="false" customHeight="false" outlineLevel="0" collapsed="false">
      <c r="B10" s="8" t="s">
        <v>166</v>
      </c>
      <c r="C10" s="50" t="n">
        <v>0.3</v>
      </c>
      <c r="D10" s="10" t="s">
        <v>167</v>
      </c>
    </row>
    <row r="11" customFormat="false" ht="15" hidden="false" customHeight="false" outlineLevel="0" collapsed="false">
      <c r="B11" s="8" t="s">
        <v>168</v>
      </c>
      <c r="C11" s="48" t="n">
        <v>12000000</v>
      </c>
      <c r="D11" s="10" t="s">
        <v>169</v>
      </c>
    </row>
    <row r="12" customFormat="false" ht="15" hidden="false" customHeight="false" outlineLevel="0" collapsed="false">
      <c r="B12" s="8" t="s">
        <v>170</v>
      </c>
      <c r="C12" s="50" t="n">
        <v>0.05</v>
      </c>
      <c r="D12" s="10" t="s">
        <v>171</v>
      </c>
    </row>
    <row r="13" customFormat="false" ht="15" hidden="false" customHeight="false" outlineLevel="0" collapsed="false">
      <c r="B13" s="8" t="s">
        <v>172</v>
      </c>
      <c r="C13" s="48" t="n">
        <v>85000</v>
      </c>
      <c r="D13" s="10" t="s">
        <v>173</v>
      </c>
    </row>
    <row r="14" customFormat="false" ht="15" hidden="false" customHeight="false" outlineLevel="0" collapsed="false">
      <c r="B14" s="8" t="s">
        <v>174</v>
      </c>
      <c r="C14" s="48" t="n">
        <v>3000000</v>
      </c>
      <c r="D14" s="10" t="s">
        <v>175</v>
      </c>
    </row>
  </sheetData>
  <mergeCells count="2">
    <mergeCell ref="B1:E1"/>
    <mergeCell ref="B2:E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tru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5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30" hidden="false" customHeight="true" outlineLevel="0" collapsed="false">
      <c r="A1" s="1"/>
      <c r="B1" s="2" t="s">
        <v>176</v>
      </c>
      <c r="C1" s="2"/>
      <c r="D1" s="2"/>
      <c r="E1" s="2"/>
      <c r="F1" s="2"/>
    </row>
    <row r="2" customFormat="false" ht="15" hidden="false" customHeight="false" outlineLevel="0" collapsed="false">
      <c r="B2" s="3" t="s">
        <v>177</v>
      </c>
      <c r="C2" s="3"/>
      <c r="D2" s="3"/>
      <c r="E2" s="3"/>
      <c r="F2" s="3"/>
    </row>
    <row r="4" customFormat="false" ht="30" hidden="false" customHeight="true" outlineLevel="0" collapsed="false">
      <c r="B4" s="14" t="s">
        <v>178</v>
      </c>
      <c r="C4" s="15" t="s">
        <v>179</v>
      </c>
      <c r="D4" s="15" t="s">
        <v>180</v>
      </c>
      <c r="E4" s="15" t="s">
        <v>181</v>
      </c>
      <c r="F4" s="15" t="s">
        <v>182</v>
      </c>
    </row>
    <row r="5" customFormat="false" ht="15" hidden="false" customHeight="false" outlineLevel="0" collapsed="false">
      <c r="B5" s="51" t="s">
        <v>116</v>
      </c>
      <c r="C5" s="8" t="s">
        <v>10</v>
      </c>
      <c r="D5" s="8" t="s">
        <v>183</v>
      </c>
      <c r="E5" s="52" t="n">
        <v>0</v>
      </c>
      <c r="F5" s="53" t="s">
        <v>184</v>
      </c>
    </row>
    <row r="6" customFormat="false" ht="15" hidden="false" customHeight="false" outlineLevel="0" collapsed="false">
      <c r="B6" s="51" t="s">
        <v>113</v>
      </c>
      <c r="C6" s="8" t="s">
        <v>185</v>
      </c>
      <c r="D6" s="8" t="s">
        <v>183</v>
      </c>
      <c r="E6" s="52" t="n">
        <v>-1</v>
      </c>
      <c r="F6" s="53" t="s">
        <v>186</v>
      </c>
    </row>
    <row r="7" customFormat="false" ht="15" hidden="false" customHeight="false" outlineLevel="0" collapsed="false">
      <c r="B7" s="51" t="s">
        <v>121</v>
      </c>
      <c r="C7" s="8" t="s">
        <v>187</v>
      </c>
      <c r="D7" s="8" t="s">
        <v>188</v>
      </c>
      <c r="E7" s="52" t="n">
        <v>0</v>
      </c>
      <c r="F7" s="53" t="s">
        <v>189</v>
      </c>
    </row>
    <row r="8" customFormat="false" ht="15" hidden="false" customHeight="false" outlineLevel="0" collapsed="false">
      <c r="B8" s="51" t="s">
        <v>134</v>
      </c>
      <c r="C8" s="8" t="s">
        <v>190</v>
      </c>
      <c r="D8" s="8" t="s">
        <v>188</v>
      </c>
      <c r="E8" s="52" t="n">
        <v>1</v>
      </c>
      <c r="F8" s="53" t="s">
        <v>191</v>
      </c>
    </row>
    <row r="9" customFormat="false" ht="15" hidden="false" customHeight="false" outlineLevel="0" collapsed="false">
      <c r="B9" s="51" t="s">
        <v>139</v>
      </c>
      <c r="C9" s="8" t="s">
        <v>192</v>
      </c>
      <c r="D9" s="8" t="s">
        <v>188</v>
      </c>
      <c r="E9" s="52" t="n">
        <v>0.5</v>
      </c>
      <c r="F9" s="53" t="s">
        <v>193</v>
      </c>
    </row>
    <row r="10" customFormat="false" ht="15" hidden="false" customHeight="false" outlineLevel="0" collapsed="false">
      <c r="B10" s="51" t="s">
        <v>141</v>
      </c>
      <c r="C10" s="8" t="s">
        <v>194</v>
      </c>
      <c r="D10" s="8" t="s">
        <v>188</v>
      </c>
      <c r="E10" s="52" t="n">
        <v>0</v>
      </c>
      <c r="F10" s="53" t="s">
        <v>195</v>
      </c>
    </row>
    <row r="11" customFormat="false" ht="15" hidden="false" customHeight="false" outlineLevel="0" collapsed="false">
      <c r="B11" s="51" t="s">
        <v>144</v>
      </c>
      <c r="C11" s="8" t="s">
        <v>196</v>
      </c>
      <c r="D11" s="8" t="s">
        <v>188</v>
      </c>
      <c r="E11" s="52" t="n">
        <v>1</v>
      </c>
      <c r="F11" s="53" t="s">
        <v>197</v>
      </c>
    </row>
  </sheetData>
  <mergeCells count="2">
    <mergeCell ref="B1:F1"/>
    <mergeCell ref="B2:F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true"/>
  </sheetPr>
  <dimension ref="A1:J10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56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40"/>
    <col collapsed="false" customWidth="true" hidden="false" outlineLevel="0" max="8" min="8" style="0" width="10"/>
    <col collapsed="false" customWidth="true" hidden="false" outlineLevel="0" max="10" min="9" style="0" width="16"/>
  </cols>
  <sheetData>
    <row r="1" customFormat="false" ht="30" hidden="false" customHeight="true" outlineLevel="0" collapsed="false">
      <c r="A1" s="1"/>
      <c r="B1" s="2" t="s">
        <v>198</v>
      </c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B2" s="3" t="s">
        <v>199</v>
      </c>
      <c r="C2" s="3"/>
      <c r="D2" s="3"/>
      <c r="E2" s="3"/>
      <c r="F2" s="3"/>
      <c r="G2" s="3"/>
      <c r="H2" s="3"/>
      <c r="I2" s="3"/>
      <c r="J2" s="3"/>
    </row>
    <row r="5" customFormat="false" ht="30" hidden="false" customHeight="true" outlineLevel="0" collapsed="false">
      <c r="A5" s="14" t="s">
        <v>200</v>
      </c>
      <c r="B5" s="15" t="s">
        <v>201</v>
      </c>
      <c r="C5" s="15" t="s">
        <v>106</v>
      </c>
      <c r="D5" s="15" t="s">
        <v>180</v>
      </c>
      <c r="E5" s="15" t="s">
        <v>107</v>
      </c>
      <c r="F5" s="15" t="s">
        <v>109</v>
      </c>
      <c r="G5" s="15" t="s">
        <v>179</v>
      </c>
      <c r="H5" s="15" t="s">
        <v>202</v>
      </c>
      <c r="I5" s="15" t="s">
        <v>110</v>
      </c>
      <c r="J5" s="15" t="s">
        <v>203</v>
      </c>
    </row>
    <row r="6" customFormat="false" ht="15" hidden="false" customHeight="false" outlineLevel="0" collapsed="false">
      <c r="A6" s="54" t="s">
        <v>204</v>
      </c>
      <c r="B6" s="54" t="s">
        <v>205</v>
      </c>
      <c r="C6" s="54" t="s">
        <v>119</v>
      </c>
      <c r="D6" s="54" t="s">
        <v>183</v>
      </c>
      <c r="E6" s="54" t="s">
        <v>116</v>
      </c>
      <c r="F6" s="55" t="n">
        <v>38802.06</v>
      </c>
      <c r="G6" s="54" t="s">
        <v>206</v>
      </c>
      <c r="H6" s="56" t="n">
        <f aca="false">VLOOKUP(E6,Treatment_Table!$B$5:$E$11,4,FALSE())</f>
        <v>0</v>
      </c>
      <c r="I6" s="57" t="n">
        <f aca="false">F6*H6</f>
        <v>0</v>
      </c>
      <c r="J6" s="57" t="n">
        <f aca="false">IF(D6="Income",F6,-F6)</f>
        <v>38802.06</v>
      </c>
    </row>
    <row r="7" customFormat="false" ht="15" hidden="false" customHeight="false" outlineLevel="0" collapsed="false">
      <c r="A7" s="54" t="s">
        <v>207</v>
      </c>
      <c r="B7" s="54" t="s">
        <v>208</v>
      </c>
      <c r="C7" s="54" t="s">
        <v>119</v>
      </c>
      <c r="D7" s="54" t="s">
        <v>183</v>
      </c>
      <c r="E7" s="54" t="s">
        <v>116</v>
      </c>
      <c r="F7" s="55" t="n">
        <v>46355.09</v>
      </c>
      <c r="G7" s="54" t="s">
        <v>206</v>
      </c>
      <c r="H7" s="56" t="n">
        <f aca="false">VLOOKUP(E7,Treatment_Table!$B$5:$E$11,4,FALSE())</f>
        <v>0</v>
      </c>
      <c r="I7" s="57" t="n">
        <f aca="false">F7*H7</f>
        <v>0</v>
      </c>
      <c r="J7" s="57" t="n">
        <f aca="false">IF(D7="Income",F7,-F7)</f>
        <v>46355.09</v>
      </c>
    </row>
    <row r="8" customFormat="false" ht="15" hidden="false" customHeight="false" outlineLevel="0" collapsed="false">
      <c r="A8" s="54" t="s">
        <v>209</v>
      </c>
      <c r="B8" s="54" t="s">
        <v>210</v>
      </c>
      <c r="C8" s="54" t="s">
        <v>118</v>
      </c>
      <c r="D8" s="54" t="s">
        <v>183</v>
      </c>
      <c r="E8" s="54" t="s">
        <v>116</v>
      </c>
      <c r="F8" s="55" t="n">
        <v>102998.01</v>
      </c>
      <c r="G8" s="54" t="s">
        <v>211</v>
      </c>
      <c r="H8" s="56" t="n">
        <f aca="false">VLOOKUP(E8,Treatment_Table!$B$5:$E$11,4,FALSE())</f>
        <v>0</v>
      </c>
      <c r="I8" s="57" t="n">
        <f aca="false">F8*H8</f>
        <v>0</v>
      </c>
      <c r="J8" s="57" t="n">
        <f aca="false">IF(D8="Income",F8,-F8)</f>
        <v>102998.01</v>
      </c>
    </row>
    <row r="9" customFormat="false" ht="15" hidden="false" customHeight="false" outlineLevel="0" collapsed="false">
      <c r="A9" s="54" t="s">
        <v>212</v>
      </c>
      <c r="B9" s="54" t="s">
        <v>210</v>
      </c>
      <c r="C9" s="54" t="s">
        <v>119</v>
      </c>
      <c r="D9" s="54" t="s">
        <v>183</v>
      </c>
      <c r="E9" s="54" t="s">
        <v>116</v>
      </c>
      <c r="F9" s="55" t="n">
        <v>183473.81</v>
      </c>
      <c r="G9" s="54" t="s">
        <v>206</v>
      </c>
      <c r="H9" s="56" t="n">
        <f aca="false">VLOOKUP(E9,Treatment_Table!$B$5:$E$11,4,FALSE())</f>
        <v>0</v>
      </c>
      <c r="I9" s="57" t="n">
        <f aca="false">F9*H9</f>
        <v>0</v>
      </c>
      <c r="J9" s="57" t="n">
        <f aca="false">IF(D9="Income",F9,-F9)</f>
        <v>183473.81</v>
      </c>
    </row>
    <row r="10" customFormat="false" ht="15" hidden="false" customHeight="false" outlineLevel="0" collapsed="false">
      <c r="A10" s="54" t="s">
        <v>213</v>
      </c>
      <c r="B10" s="54" t="s">
        <v>214</v>
      </c>
      <c r="C10" s="54" t="s">
        <v>118</v>
      </c>
      <c r="D10" s="54" t="s">
        <v>183</v>
      </c>
      <c r="E10" s="54" t="s">
        <v>116</v>
      </c>
      <c r="F10" s="55" t="n">
        <v>115032.33</v>
      </c>
      <c r="G10" s="54" t="s">
        <v>211</v>
      </c>
      <c r="H10" s="56" t="n">
        <f aca="false">VLOOKUP(E10,Treatment_Table!$B$5:$E$11,4,FALSE())</f>
        <v>0</v>
      </c>
      <c r="I10" s="57" t="n">
        <f aca="false">F10*H10</f>
        <v>0</v>
      </c>
      <c r="J10" s="57" t="n">
        <f aca="false">IF(D10="Income",F10,-F10)</f>
        <v>115032.33</v>
      </c>
    </row>
    <row r="11" customFormat="false" ht="15" hidden="false" customHeight="false" outlineLevel="0" collapsed="false">
      <c r="A11" s="54" t="s">
        <v>215</v>
      </c>
      <c r="B11" s="54" t="s">
        <v>216</v>
      </c>
      <c r="C11" s="54" t="s">
        <v>118</v>
      </c>
      <c r="D11" s="54" t="s">
        <v>183</v>
      </c>
      <c r="E11" s="54" t="s">
        <v>116</v>
      </c>
      <c r="F11" s="55" t="n">
        <v>167041.47</v>
      </c>
      <c r="G11" s="54" t="s">
        <v>211</v>
      </c>
      <c r="H11" s="56" t="n">
        <f aca="false">VLOOKUP(E11,Treatment_Table!$B$5:$E$11,4,FALSE())</f>
        <v>0</v>
      </c>
      <c r="I11" s="57" t="n">
        <f aca="false">F11*H11</f>
        <v>0</v>
      </c>
      <c r="J11" s="57" t="n">
        <f aca="false">IF(D11="Income",F11,-F11)</f>
        <v>167041.47</v>
      </c>
    </row>
    <row r="12" customFormat="false" ht="15" hidden="false" customHeight="false" outlineLevel="0" collapsed="false">
      <c r="A12" s="54" t="s">
        <v>217</v>
      </c>
      <c r="B12" s="54" t="s">
        <v>218</v>
      </c>
      <c r="C12" s="54" t="s">
        <v>118</v>
      </c>
      <c r="D12" s="54" t="s">
        <v>183</v>
      </c>
      <c r="E12" s="54" t="s">
        <v>116</v>
      </c>
      <c r="F12" s="55" t="n">
        <v>499797.61</v>
      </c>
      <c r="G12" s="54" t="s">
        <v>211</v>
      </c>
      <c r="H12" s="56" t="n">
        <f aca="false">VLOOKUP(E12,Treatment_Table!$B$5:$E$11,4,FALSE())</f>
        <v>0</v>
      </c>
      <c r="I12" s="57" t="n">
        <f aca="false">F12*H12</f>
        <v>0</v>
      </c>
      <c r="J12" s="57" t="n">
        <f aca="false">IF(D12="Income",F12,-F12)</f>
        <v>499797.61</v>
      </c>
    </row>
    <row r="13" customFormat="false" ht="15" hidden="false" customHeight="false" outlineLevel="0" collapsed="false">
      <c r="A13" s="54" t="s">
        <v>219</v>
      </c>
      <c r="B13" s="54" t="s">
        <v>216</v>
      </c>
      <c r="C13" s="54" t="s">
        <v>119</v>
      </c>
      <c r="D13" s="54" t="s">
        <v>183</v>
      </c>
      <c r="E13" s="54" t="s">
        <v>116</v>
      </c>
      <c r="F13" s="55" t="n">
        <v>151282.94</v>
      </c>
      <c r="G13" s="54" t="s">
        <v>206</v>
      </c>
      <c r="H13" s="56" t="n">
        <f aca="false">VLOOKUP(E13,Treatment_Table!$B$5:$E$11,4,FALSE())</f>
        <v>0</v>
      </c>
      <c r="I13" s="57" t="n">
        <f aca="false">F13*H13</f>
        <v>0</v>
      </c>
      <c r="J13" s="57" t="n">
        <f aca="false">IF(D13="Income",F13,-F13)</f>
        <v>151282.94</v>
      </c>
    </row>
    <row r="14" customFormat="false" ht="15" hidden="false" customHeight="false" outlineLevel="0" collapsed="false">
      <c r="A14" s="54" t="s">
        <v>220</v>
      </c>
      <c r="B14" s="54" t="s">
        <v>216</v>
      </c>
      <c r="C14" s="54" t="s">
        <v>118</v>
      </c>
      <c r="D14" s="54" t="s">
        <v>183</v>
      </c>
      <c r="E14" s="54" t="s">
        <v>116</v>
      </c>
      <c r="F14" s="55" t="n">
        <v>98012.15</v>
      </c>
      <c r="G14" s="54" t="s">
        <v>211</v>
      </c>
      <c r="H14" s="56" t="n">
        <f aca="false">VLOOKUP(E14,Treatment_Table!$B$5:$E$11,4,FALSE())</f>
        <v>0</v>
      </c>
      <c r="I14" s="57" t="n">
        <f aca="false">F14*H14</f>
        <v>0</v>
      </c>
      <c r="J14" s="57" t="n">
        <f aca="false">IF(D14="Income",F14,-F14)</f>
        <v>98012.15</v>
      </c>
    </row>
    <row r="15" customFormat="false" ht="15" hidden="false" customHeight="false" outlineLevel="0" collapsed="false">
      <c r="A15" s="54" t="s">
        <v>221</v>
      </c>
      <c r="B15" s="54" t="s">
        <v>214</v>
      </c>
      <c r="C15" s="54" t="s">
        <v>119</v>
      </c>
      <c r="D15" s="54" t="s">
        <v>183</v>
      </c>
      <c r="E15" s="54" t="s">
        <v>116</v>
      </c>
      <c r="F15" s="55" t="n">
        <v>111581.78</v>
      </c>
      <c r="G15" s="54" t="s">
        <v>206</v>
      </c>
      <c r="H15" s="56" t="n">
        <f aca="false">VLOOKUP(E15,Treatment_Table!$B$5:$E$11,4,FALSE())</f>
        <v>0</v>
      </c>
      <c r="I15" s="57" t="n">
        <f aca="false">F15*H15</f>
        <v>0</v>
      </c>
      <c r="J15" s="57" t="n">
        <f aca="false">IF(D15="Income",F15,-F15)</f>
        <v>111581.78</v>
      </c>
    </row>
    <row r="16" customFormat="false" ht="15" hidden="false" customHeight="false" outlineLevel="0" collapsed="false">
      <c r="A16" s="54" t="s">
        <v>222</v>
      </c>
      <c r="B16" s="54" t="s">
        <v>223</v>
      </c>
      <c r="C16" s="54" t="s">
        <v>119</v>
      </c>
      <c r="D16" s="54" t="s">
        <v>183</v>
      </c>
      <c r="E16" s="54" t="s">
        <v>116</v>
      </c>
      <c r="F16" s="55" t="n">
        <v>535621.02</v>
      </c>
      <c r="G16" s="54" t="s">
        <v>206</v>
      </c>
      <c r="H16" s="56" t="n">
        <f aca="false">VLOOKUP(E16,Treatment_Table!$B$5:$E$11,4,FALSE())</f>
        <v>0</v>
      </c>
      <c r="I16" s="57" t="n">
        <f aca="false">F16*H16</f>
        <v>0</v>
      </c>
      <c r="J16" s="57" t="n">
        <f aca="false">IF(D16="Income",F16,-F16)</f>
        <v>535621.02</v>
      </c>
    </row>
    <row r="17" customFormat="false" ht="15" hidden="false" customHeight="false" outlineLevel="0" collapsed="false">
      <c r="A17" s="54" t="s">
        <v>224</v>
      </c>
      <c r="B17" s="54" t="s">
        <v>205</v>
      </c>
      <c r="C17" s="54" t="s">
        <v>118</v>
      </c>
      <c r="D17" s="54" t="s">
        <v>183</v>
      </c>
      <c r="E17" s="54" t="s">
        <v>116</v>
      </c>
      <c r="F17" s="55" t="n">
        <v>42156.19</v>
      </c>
      <c r="G17" s="54" t="s">
        <v>211</v>
      </c>
      <c r="H17" s="56" t="n">
        <f aca="false">VLOOKUP(E17,Treatment_Table!$B$5:$E$11,4,FALSE())</f>
        <v>0</v>
      </c>
      <c r="I17" s="57" t="n">
        <f aca="false">F17*H17</f>
        <v>0</v>
      </c>
      <c r="J17" s="57" t="n">
        <f aca="false">IF(D17="Income",F17,-F17)</f>
        <v>42156.19</v>
      </c>
    </row>
    <row r="18" customFormat="false" ht="15" hidden="false" customHeight="false" outlineLevel="0" collapsed="false">
      <c r="A18" s="54" t="s">
        <v>225</v>
      </c>
      <c r="B18" s="54" t="s">
        <v>223</v>
      </c>
      <c r="C18" s="54" t="s">
        <v>119</v>
      </c>
      <c r="D18" s="54" t="s">
        <v>183</v>
      </c>
      <c r="E18" s="54" t="s">
        <v>116</v>
      </c>
      <c r="F18" s="55" t="n">
        <v>130572.51</v>
      </c>
      <c r="G18" s="54" t="s">
        <v>206</v>
      </c>
      <c r="H18" s="56" t="n">
        <f aca="false">VLOOKUP(E18,Treatment_Table!$B$5:$E$11,4,FALSE())</f>
        <v>0</v>
      </c>
      <c r="I18" s="57" t="n">
        <f aca="false">F18*H18</f>
        <v>0</v>
      </c>
      <c r="J18" s="57" t="n">
        <f aca="false">IF(D18="Income",F18,-F18)</f>
        <v>130572.51</v>
      </c>
    </row>
    <row r="19" customFormat="false" ht="15" hidden="false" customHeight="false" outlineLevel="0" collapsed="false">
      <c r="A19" s="54" t="s">
        <v>226</v>
      </c>
      <c r="B19" s="54" t="s">
        <v>223</v>
      </c>
      <c r="C19" s="54" t="s">
        <v>118</v>
      </c>
      <c r="D19" s="54" t="s">
        <v>183</v>
      </c>
      <c r="E19" s="54" t="s">
        <v>116</v>
      </c>
      <c r="F19" s="55" t="n">
        <v>237575.32</v>
      </c>
      <c r="G19" s="54" t="s">
        <v>211</v>
      </c>
      <c r="H19" s="56" t="n">
        <f aca="false">VLOOKUP(E19,Treatment_Table!$B$5:$E$11,4,FALSE())</f>
        <v>0</v>
      </c>
      <c r="I19" s="57" t="n">
        <f aca="false">F19*H19</f>
        <v>0</v>
      </c>
      <c r="J19" s="57" t="n">
        <f aca="false">IF(D19="Income",F19,-F19)</f>
        <v>237575.32</v>
      </c>
    </row>
    <row r="20" customFormat="false" ht="15" hidden="false" customHeight="false" outlineLevel="0" collapsed="false">
      <c r="A20" s="54" t="s">
        <v>227</v>
      </c>
      <c r="B20" s="54" t="s">
        <v>228</v>
      </c>
      <c r="C20" s="54" t="s">
        <v>118</v>
      </c>
      <c r="D20" s="54" t="s">
        <v>183</v>
      </c>
      <c r="E20" s="54" t="s">
        <v>116</v>
      </c>
      <c r="F20" s="55" t="n">
        <v>77839.09</v>
      </c>
      <c r="G20" s="54" t="s">
        <v>211</v>
      </c>
      <c r="H20" s="56" t="n">
        <f aca="false">VLOOKUP(E20,Treatment_Table!$B$5:$E$11,4,FALSE())</f>
        <v>0</v>
      </c>
      <c r="I20" s="57" t="n">
        <f aca="false">F20*H20</f>
        <v>0</v>
      </c>
      <c r="J20" s="57" t="n">
        <f aca="false">IF(D20="Income",F20,-F20)</f>
        <v>77839.09</v>
      </c>
    </row>
    <row r="21" customFormat="false" ht="15" hidden="false" customHeight="false" outlineLevel="0" collapsed="false">
      <c r="A21" s="54" t="s">
        <v>229</v>
      </c>
      <c r="B21" s="54" t="s">
        <v>230</v>
      </c>
      <c r="C21" s="54" t="s">
        <v>118</v>
      </c>
      <c r="D21" s="54" t="s">
        <v>183</v>
      </c>
      <c r="E21" s="54" t="s">
        <v>116</v>
      </c>
      <c r="F21" s="55" t="n">
        <v>97058.98</v>
      </c>
      <c r="G21" s="54" t="s">
        <v>211</v>
      </c>
      <c r="H21" s="56" t="n">
        <f aca="false">VLOOKUP(E21,Treatment_Table!$B$5:$E$11,4,FALSE())</f>
        <v>0</v>
      </c>
      <c r="I21" s="57" t="n">
        <f aca="false">F21*H21</f>
        <v>0</v>
      </c>
      <c r="J21" s="57" t="n">
        <f aca="false">IF(D21="Income",F21,-F21)</f>
        <v>97058.98</v>
      </c>
    </row>
    <row r="22" customFormat="false" ht="15" hidden="false" customHeight="false" outlineLevel="0" collapsed="false">
      <c r="A22" s="54" t="s">
        <v>231</v>
      </c>
      <c r="B22" s="54" t="s">
        <v>223</v>
      </c>
      <c r="C22" s="54" t="s">
        <v>119</v>
      </c>
      <c r="D22" s="54" t="s">
        <v>183</v>
      </c>
      <c r="E22" s="54" t="s">
        <v>116</v>
      </c>
      <c r="F22" s="55" t="n">
        <v>103838.01</v>
      </c>
      <c r="G22" s="54" t="s">
        <v>206</v>
      </c>
      <c r="H22" s="56" t="n">
        <f aca="false">VLOOKUP(E22,Treatment_Table!$B$5:$E$11,4,FALSE())</f>
        <v>0</v>
      </c>
      <c r="I22" s="57" t="n">
        <f aca="false">F22*H22</f>
        <v>0</v>
      </c>
      <c r="J22" s="57" t="n">
        <f aca="false">IF(D22="Income",F22,-F22)</f>
        <v>103838.01</v>
      </c>
    </row>
    <row r="23" customFormat="false" ht="15" hidden="false" customHeight="false" outlineLevel="0" collapsed="false">
      <c r="A23" s="54" t="s">
        <v>232</v>
      </c>
      <c r="B23" s="54" t="s">
        <v>218</v>
      </c>
      <c r="C23" s="54" t="s">
        <v>118</v>
      </c>
      <c r="D23" s="54" t="s">
        <v>183</v>
      </c>
      <c r="E23" s="54" t="s">
        <v>116</v>
      </c>
      <c r="F23" s="55" t="n">
        <v>88505.29</v>
      </c>
      <c r="G23" s="54" t="s">
        <v>211</v>
      </c>
      <c r="H23" s="56" t="n">
        <f aca="false">VLOOKUP(E23,Treatment_Table!$B$5:$E$11,4,FALSE())</f>
        <v>0</v>
      </c>
      <c r="I23" s="57" t="n">
        <f aca="false">F23*H23</f>
        <v>0</v>
      </c>
      <c r="J23" s="57" t="n">
        <f aca="false">IF(D23="Income",F23,-F23)</f>
        <v>88505.29</v>
      </c>
    </row>
    <row r="24" customFormat="false" ht="15" hidden="false" customHeight="false" outlineLevel="0" collapsed="false">
      <c r="A24" s="54" t="s">
        <v>233</v>
      </c>
      <c r="B24" s="54" t="s">
        <v>223</v>
      </c>
      <c r="C24" s="54" t="s">
        <v>119</v>
      </c>
      <c r="D24" s="54" t="s">
        <v>183</v>
      </c>
      <c r="E24" s="54" t="s">
        <v>116</v>
      </c>
      <c r="F24" s="55" t="n">
        <v>129163.44</v>
      </c>
      <c r="G24" s="54" t="s">
        <v>206</v>
      </c>
      <c r="H24" s="56" t="n">
        <f aca="false">VLOOKUP(E24,Treatment_Table!$B$5:$E$11,4,FALSE())</f>
        <v>0</v>
      </c>
      <c r="I24" s="57" t="n">
        <f aca="false">F24*H24</f>
        <v>0</v>
      </c>
      <c r="J24" s="57" t="n">
        <f aca="false">IF(D24="Income",F24,-F24)</f>
        <v>129163.44</v>
      </c>
    </row>
    <row r="25" customFormat="false" ht="15" hidden="false" customHeight="false" outlineLevel="0" collapsed="false">
      <c r="A25" s="54" t="s">
        <v>234</v>
      </c>
      <c r="B25" s="54" t="s">
        <v>235</v>
      </c>
      <c r="C25" s="54" t="s">
        <v>118</v>
      </c>
      <c r="D25" s="54" t="s">
        <v>183</v>
      </c>
      <c r="E25" s="54" t="s">
        <v>116</v>
      </c>
      <c r="F25" s="55" t="n">
        <v>252005.49</v>
      </c>
      <c r="G25" s="54" t="s">
        <v>211</v>
      </c>
      <c r="H25" s="56" t="n">
        <f aca="false">VLOOKUP(E25,Treatment_Table!$B$5:$E$11,4,FALSE())</f>
        <v>0</v>
      </c>
      <c r="I25" s="57" t="n">
        <f aca="false">F25*H25</f>
        <v>0</v>
      </c>
      <c r="J25" s="57" t="n">
        <f aca="false">IF(D25="Income",F25,-F25)</f>
        <v>252005.49</v>
      </c>
    </row>
    <row r="26" customFormat="false" ht="15" hidden="false" customHeight="false" outlineLevel="0" collapsed="false">
      <c r="A26" s="54" t="s">
        <v>236</v>
      </c>
      <c r="B26" s="54" t="s">
        <v>228</v>
      </c>
      <c r="C26" s="54" t="s">
        <v>119</v>
      </c>
      <c r="D26" s="54" t="s">
        <v>183</v>
      </c>
      <c r="E26" s="54" t="s">
        <v>116</v>
      </c>
      <c r="F26" s="55" t="n">
        <v>24859.5</v>
      </c>
      <c r="G26" s="54" t="s">
        <v>206</v>
      </c>
      <c r="H26" s="56" t="n">
        <f aca="false">VLOOKUP(E26,Treatment_Table!$B$5:$E$11,4,FALSE())</f>
        <v>0</v>
      </c>
      <c r="I26" s="57" t="n">
        <f aca="false">F26*H26</f>
        <v>0</v>
      </c>
      <c r="J26" s="57" t="n">
        <f aca="false">IF(D26="Income",F26,-F26)</f>
        <v>24859.5</v>
      </c>
    </row>
    <row r="27" customFormat="false" ht="15" hidden="false" customHeight="false" outlineLevel="0" collapsed="false">
      <c r="A27" s="54" t="s">
        <v>237</v>
      </c>
      <c r="B27" s="54" t="s">
        <v>235</v>
      </c>
      <c r="C27" s="54" t="s">
        <v>118</v>
      </c>
      <c r="D27" s="54" t="s">
        <v>183</v>
      </c>
      <c r="E27" s="54" t="s">
        <v>116</v>
      </c>
      <c r="F27" s="55" t="n">
        <v>66529.13</v>
      </c>
      <c r="G27" s="54" t="s">
        <v>211</v>
      </c>
      <c r="H27" s="56" t="n">
        <f aca="false">VLOOKUP(E27,Treatment_Table!$B$5:$E$11,4,FALSE())</f>
        <v>0</v>
      </c>
      <c r="I27" s="57" t="n">
        <f aca="false">F27*H27</f>
        <v>0</v>
      </c>
      <c r="J27" s="57" t="n">
        <f aca="false">IF(D27="Income",F27,-F27)</f>
        <v>66529.13</v>
      </c>
    </row>
    <row r="28" customFormat="false" ht="15" hidden="false" customHeight="false" outlineLevel="0" collapsed="false">
      <c r="A28" s="54" t="s">
        <v>238</v>
      </c>
      <c r="B28" s="54" t="s">
        <v>216</v>
      </c>
      <c r="C28" s="54" t="s">
        <v>119</v>
      </c>
      <c r="D28" s="54" t="s">
        <v>183</v>
      </c>
      <c r="E28" s="54" t="s">
        <v>116</v>
      </c>
      <c r="F28" s="55" t="n">
        <v>272881.96</v>
      </c>
      <c r="G28" s="54" t="s">
        <v>206</v>
      </c>
      <c r="H28" s="56" t="n">
        <f aca="false">VLOOKUP(E28,Treatment_Table!$B$5:$E$11,4,FALSE())</f>
        <v>0</v>
      </c>
      <c r="I28" s="57" t="n">
        <f aca="false">F28*H28</f>
        <v>0</v>
      </c>
      <c r="J28" s="57" t="n">
        <f aca="false">IF(D28="Income",F28,-F28)</f>
        <v>272881.96</v>
      </c>
    </row>
    <row r="29" customFormat="false" ht="15" hidden="false" customHeight="false" outlineLevel="0" collapsed="false">
      <c r="A29" s="54" t="s">
        <v>239</v>
      </c>
      <c r="B29" s="54" t="s">
        <v>210</v>
      </c>
      <c r="C29" s="54" t="s">
        <v>119</v>
      </c>
      <c r="D29" s="54" t="s">
        <v>183</v>
      </c>
      <c r="E29" s="54" t="s">
        <v>116</v>
      </c>
      <c r="F29" s="55" t="n">
        <v>470255.88</v>
      </c>
      <c r="G29" s="54" t="s">
        <v>206</v>
      </c>
      <c r="H29" s="56" t="n">
        <f aca="false">VLOOKUP(E29,Treatment_Table!$B$5:$E$11,4,FALSE())</f>
        <v>0</v>
      </c>
      <c r="I29" s="57" t="n">
        <f aca="false">F29*H29</f>
        <v>0</v>
      </c>
      <c r="J29" s="57" t="n">
        <f aca="false">IF(D29="Income",F29,-F29)</f>
        <v>470255.88</v>
      </c>
    </row>
    <row r="30" customFormat="false" ht="15" hidden="false" customHeight="false" outlineLevel="0" collapsed="false">
      <c r="A30" s="54" t="s">
        <v>240</v>
      </c>
      <c r="B30" s="54" t="s">
        <v>214</v>
      </c>
      <c r="C30" s="54" t="s">
        <v>119</v>
      </c>
      <c r="D30" s="54" t="s">
        <v>183</v>
      </c>
      <c r="E30" s="54" t="s">
        <v>116</v>
      </c>
      <c r="F30" s="55" t="n">
        <v>258491.48</v>
      </c>
      <c r="G30" s="54" t="s">
        <v>206</v>
      </c>
      <c r="H30" s="56" t="n">
        <f aca="false">VLOOKUP(E30,Treatment_Table!$B$5:$E$11,4,FALSE())</f>
        <v>0</v>
      </c>
      <c r="I30" s="57" t="n">
        <f aca="false">F30*H30</f>
        <v>0</v>
      </c>
      <c r="J30" s="57" t="n">
        <f aca="false">IF(D30="Income",F30,-F30)</f>
        <v>258491.48</v>
      </c>
    </row>
    <row r="31" customFormat="false" ht="15" hidden="false" customHeight="false" outlineLevel="0" collapsed="false">
      <c r="A31" s="54" t="s">
        <v>241</v>
      </c>
      <c r="B31" s="54" t="s">
        <v>235</v>
      </c>
      <c r="C31" s="54" t="s">
        <v>119</v>
      </c>
      <c r="D31" s="54" t="s">
        <v>183</v>
      </c>
      <c r="E31" s="54" t="s">
        <v>116</v>
      </c>
      <c r="F31" s="55" t="n">
        <v>186136.52</v>
      </c>
      <c r="G31" s="54" t="s">
        <v>206</v>
      </c>
      <c r="H31" s="56" t="n">
        <f aca="false">VLOOKUP(E31,Treatment_Table!$B$5:$E$11,4,FALSE())</f>
        <v>0</v>
      </c>
      <c r="I31" s="57" t="n">
        <f aca="false">F31*H31</f>
        <v>0</v>
      </c>
      <c r="J31" s="57" t="n">
        <f aca="false">IF(D31="Income",F31,-F31)</f>
        <v>186136.52</v>
      </c>
    </row>
    <row r="32" customFormat="false" ht="15" hidden="false" customHeight="false" outlineLevel="0" collapsed="false">
      <c r="A32" s="54" t="s">
        <v>242</v>
      </c>
      <c r="B32" s="54" t="s">
        <v>243</v>
      </c>
      <c r="C32" s="54" t="s">
        <v>119</v>
      </c>
      <c r="D32" s="54" t="s">
        <v>183</v>
      </c>
      <c r="E32" s="54" t="s">
        <v>116</v>
      </c>
      <c r="F32" s="55" t="n">
        <v>79670.16</v>
      </c>
      <c r="G32" s="54" t="s">
        <v>206</v>
      </c>
      <c r="H32" s="56" t="n">
        <f aca="false">VLOOKUP(E32,Treatment_Table!$B$5:$E$11,4,FALSE())</f>
        <v>0</v>
      </c>
      <c r="I32" s="57" t="n">
        <f aca="false">F32*H32</f>
        <v>0</v>
      </c>
      <c r="J32" s="57" t="n">
        <f aca="false">IF(D32="Income",F32,-F32)</f>
        <v>79670.16</v>
      </c>
    </row>
    <row r="33" customFormat="false" ht="15" hidden="false" customHeight="false" outlineLevel="0" collapsed="false">
      <c r="A33" s="54" t="s">
        <v>244</v>
      </c>
      <c r="B33" s="54" t="s">
        <v>218</v>
      </c>
      <c r="C33" s="54" t="s">
        <v>119</v>
      </c>
      <c r="D33" s="54" t="s">
        <v>183</v>
      </c>
      <c r="E33" s="54" t="s">
        <v>116</v>
      </c>
      <c r="F33" s="55" t="n">
        <v>161397.15</v>
      </c>
      <c r="G33" s="54" t="s">
        <v>206</v>
      </c>
      <c r="H33" s="56" t="n">
        <f aca="false">VLOOKUP(E33,Treatment_Table!$B$5:$E$11,4,FALSE())</f>
        <v>0</v>
      </c>
      <c r="I33" s="57" t="n">
        <f aca="false">F33*H33</f>
        <v>0</v>
      </c>
      <c r="J33" s="57" t="n">
        <f aca="false">IF(D33="Income",F33,-F33)</f>
        <v>161397.15</v>
      </c>
    </row>
    <row r="34" customFormat="false" ht="15" hidden="false" customHeight="false" outlineLevel="0" collapsed="false">
      <c r="A34" s="54" t="s">
        <v>245</v>
      </c>
      <c r="B34" s="54" t="s">
        <v>208</v>
      </c>
      <c r="C34" s="54" t="s">
        <v>118</v>
      </c>
      <c r="D34" s="54" t="s">
        <v>183</v>
      </c>
      <c r="E34" s="54" t="s">
        <v>116</v>
      </c>
      <c r="F34" s="55" t="n">
        <v>56184.47</v>
      </c>
      <c r="G34" s="54" t="s">
        <v>211</v>
      </c>
      <c r="H34" s="56" t="n">
        <f aca="false">VLOOKUP(E34,Treatment_Table!$B$5:$E$11,4,FALSE())</f>
        <v>0</v>
      </c>
      <c r="I34" s="57" t="n">
        <f aca="false">F34*H34</f>
        <v>0</v>
      </c>
      <c r="J34" s="57" t="n">
        <f aca="false">IF(D34="Income",F34,-F34)</f>
        <v>56184.47</v>
      </c>
    </row>
    <row r="35" customFormat="false" ht="15" hidden="false" customHeight="false" outlineLevel="0" collapsed="false">
      <c r="A35" s="54" t="s">
        <v>246</v>
      </c>
      <c r="B35" s="54" t="s">
        <v>247</v>
      </c>
      <c r="C35" s="54" t="s">
        <v>118</v>
      </c>
      <c r="D35" s="54" t="s">
        <v>183</v>
      </c>
      <c r="E35" s="54" t="s">
        <v>116</v>
      </c>
      <c r="F35" s="55" t="n">
        <v>139165.01</v>
      </c>
      <c r="G35" s="54" t="s">
        <v>211</v>
      </c>
      <c r="H35" s="56" t="n">
        <f aca="false">VLOOKUP(E35,Treatment_Table!$B$5:$E$11,4,FALSE())</f>
        <v>0</v>
      </c>
      <c r="I35" s="57" t="n">
        <f aca="false">F35*H35</f>
        <v>0</v>
      </c>
      <c r="J35" s="57" t="n">
        <f aca="false">IF(D35="Income",F35,-F35)</f>
        <v>139165.01</v>
      </c>
    </row>
    <row r="36" customFormat="false" ht="15" hidden="false" customHeight="false" outlineLevel="0" collapsed="false">
      <c r="A36" s="54" t="s">
        <v>248</v>
      </c>
      <c r="B36" s="54" t="s">
        <v>223</v>
      </c>
      <c r="C36" s="54" t="s">
        <v>118</v>
      </c>
      <c r="D36" s="54" t="s">
        <v>183</v>
      </c>
      <c r="E36" s="54" t="s">
        <v>116</v>
      </c>
      <c r="F36" s="55" t="n">
        <v>60980.07</v>
      </c>
      <c r="G36" s="54" t="s">
        <v>211</v>
      </c>
      <c r="H36" s="56" t="n">
        <f aca="false">VLOOKUP(E36,Treatment_Table!$B$5:$E$11,4,FALSE())</f>
        <v>0</v>
      </c>
      <c r="I36" s="57" t="n">
        <f aca="false">F36*H36</f>
        <v>0</v>
      </c>
      <c r="J36" s="57" t="n">
        <f aca="false">IF(D36="Income",F36,-F36)</f>
        <v>60980.07</v>
      </c>
    </row>
    <row r="37" customFormat="false" ht="15" hidden="false" customHeight="false" outlineLevel="0" collapsed="false">
      <c r="A37" s="54" t="s">
        <v>249</v>
      </c>
      <c r="B37" s="54" t="s">
        <v>247</v>
      </c>
      <c r="C37" s="54" t="s">
        <v>118</v>
      </c>
      <c r="D37" s="54" t="s">
        <v>183</v>
      </c>
      <c r="E37" s="54" t="s">
        <v>116</v>
      </c>
      <c r="F37" s="55" t="n">
        <v>292009.5</v>
      </c>
      <c r="G37" s="54" t="s">
        <v>211</v>
      </c>
      <c r="H37" s="56" t="n">
        <f aca="false">VLOOKUP(E37,Treatment_Table!$B$5:$E$11,4,FALSE())</f>
        <v>0</v>
      </c>
      <c r="I37" s="57" t="n">
        <f aca="false">F37*H37</f>
        <v>0</v>
      </c>
      <c r="J37" s="57" t="n">
        <f aca="false">IF(D37="Income",F37,-F37)</f>
        <v>292009.5</v>
      </c>
    </row>
    <row r="38" customFormat="false" ht="15" hidden="false" customHeight="false" outlineLevel="0" collapsed="false">
      <c r="A38" s="54" t="s">
        <v>250</v>
      </c>
      <c r="B38" s="54" t="s">
        <v>210</v>
      </c>
      <c r="C38" s="54" t="s">
        <v>119</v>
      </c>
      <c r="D38" s="54" t="s">
        <v>183</v>
      </c>
      <c r="E38" s="54" t="s">
        <v>116</v>
      </c>
      <c r="F38" s="55" t="n">
        <v>26190.17</v>
      </c>
      <c r="G38" s="54" t="s">
        <v>206</v>
      </c>
      <c r="H38" s="56" t="n">
        <f aca="false">VLOOKUP(E38,Treatment_Table!$B$5:$E$11,4,FALSE())</f>
        <v>0</v>
      </c>
      <c r="I38" s="57" t="n">
        <f aca="false">F38*H38</f>
        <v>0</v>
      </c>
      <c r="J38" s="57" t="n">
        <f aca="false">IF(D38="Income",F38,-F38)</f>
        <v>26190.17</v>
      </c>
    </row>
    <row r="39" customFormat="false" ht="15" hidden="false" customHeight="false" outlineLevel="0" collapsed="false">
      <c r="A39" s="54" t="s">
        <v>251</v>
      </c>
      <c r="B39" s="54" t="s">
        <v>205</v>
      </c>
      <c r="C39" s="54" t="s">
        <v>119</v>
      </c>
      <c r="D39" s="54" t="s">
        <v>183</v>
      </c>
      <c r="E39" s="54" t="s">
        <v>116</v>
      </c>
      <c r="F39" s="55" t="n">
        <v>109509.88</v>
      </c>
      <c r="G39" s="54" t="s">
        <v>206</v>
      </c>
      <c r="H39" s="56" t="n">
        <f aca="false">VLOOKUP(E39,Treatment_Table!$B$5:$E$11,4,FALSE())</f>
        <v>0</v>
      </c>
      <c r="I39" s="57" t="n">
        <f aca="false">F39*H39</f>
        <v>0</v>
      </c>
      <c r="J39" s="57" t="n">
        <f aca="false">IF(D39="Income",F39,-F39)</f>
        <v>109509.88</v>
      </c>
    </row>
    <row r="40" customFormat="false" ht="15" hidden="false" customHeight="false" outlineLevel="0" collapsed="false">
      <c r="A40" s="54" t="s">
        <v>252</v>
      </c>
      <c r="B40" s="54" t="s">
        <v>210</v>
      </c>
      <c r="C40" s="54" t="s">
        <v>119</v>
      </c>
      <c r="D40" s="54" t="s">
        <v>183</v>
      </c>
      <c r="E40" s="54" t="s">
        <v>116</v>
      </c>
      <c r="F40" s="55" t="n">
        <v>38643.32</v>
      </c>
      <c r="G40" s="54" t="s">
        <v>206</v>
      </c>
      <c r="H40" s="56" t="n">
        <f aca="false">VLOOKUP(E40,Treatment_Table!$B$5:$E$11,4,FALSE())</f>
        <v>0</v>
      </c>
      <c r="I40" s="57" t="n">
        <f aca="false">F40*H40</f>
        <v>0</v>
      </c>
      <c r="J40" s="57" t="n">
        <f aca="false">IF(D40="Income",F40,-F40)</f>
        <v>38643.32</v>
      </c>
    </row>
    <row r="41" customFormat="false" ht="15" hidden="false" customHeight="false" outlineLevel="0" collapsed="false">
      <c r="A41" s="54" t="s">
        <v>253</v>
      </c>
      <c r="B41" s="54" t="s">
        <v>243</v>
      </c>
      <c r="C41" s="54" t="s">
        <v>119</v>
      </c>
      <c r="D41" s="54" t="s">
        <v>183</v>
      </c>
      <c r="E41" s="54" t="s">
        <v>116</v>
      </c>
      <c r="F41" s="55" t="n">
        <v>76641.08</v>
      </c>
      <c r="G41" s="54" t="s">
        <v>206</v>
      </c>
      <c r="H41" s="56" t="n">
        <f aca="false">VLOOKUP(E41,Treatment_Table!$B$5:$E$11,4,FALSE())</f>
        <v>0</v>
      </c>
      <c r="I41" s="57" t="n">
        <f aca="false">F41*H41</f>
        <v>0</v>
      </c>
      <c r="J41" s="57" t="n">
        <f aca="false">IF(D41="Income",F41,-F41)</f>
        <v>76641.08</v>
      </c>
    </row>
    <row r="42" customFormat="false" ht="15" hidden="false" customHeight="false" outlineLevel="0" collapsed="false">
      <c r="A42" s="54" t="s">
        <v>254</v>
      </c>
      <c r="B42" s="54" t="s">
        <v>216</v>
      </c>
      <c r="C42" s="54" t="s">
        <v>119</v>
      </c>
      <c r="D42" s="54" t="s">
        <v>183</v>
      </c>
      <c r="E42" s="54" t="s">
        <v>116</v>
      </c>
      <c r="F42" s="55" t="n">
        <v>165103.63</v>
      </c>
      <c r="G42" s="54" t="s">
        <v>206</v>
      </c>
      <c r="H42" s="56" t="n">
        <f aca="false">VLOOKUP(E42,Treatment_Table!$B$5:$E$11,4,FALSE())</f>
        <v>0</v>
      </c>
      <c r="I42" s="57" t="n">
        <f aca="false">F42*H42</f>
        <v>0</v>
      </c>
      <c r="J42" s="57" t="n">
        <f aca="false">IF(D42="Income",F42,-F42)</f>
        <v>165103.63</v>
      </c>
    </row>
    <row r="43" customFormat="false" ht="15" hidden="false" customHeight="false" outlineLevel="0" collapsed="false">
      <c r="A43" s="54" t="s">
        <v>255</v>
      </c>
      <c r="B43" s="54" t="s">
        <v>208</v>
      </c>
      <c r="C43" s="54" t="s">
        <v>118</v>
      </c>
      <c r="D43" s="54" t="s">
        <v>183</v>
      </c>
      <c r="E43" s="54" t="s">
        <v>116</v>
      </c>
      <c r="F43" s="55" t="n">
        <v>501292.69</v>
      </c>
      <c r="G43" s="54" t="s">
        <v>211</v>
      </c>
      <c r="H43" s="56" t="n">
        <f aca="false">VLOOKUP(E43,Treatment_Table!$B$5:$E$11,4,FALSE())</f>
        <v>0</v>
      </c>
      <c r="I43" s="57" t="n">
        <f aca="false">F43*H43</f>
        <v>0</v>
      </c>
      <c r="J43" s="57" t="n">
        <f aca="false">IF(D43="Income",F43,-F43)</f>
        <v>501292.69</v>
      </c>
    </row>
    <row r="44" customFormat="false" ht="15" hidden="false" customHeight="false" outlineLevel="0" collapsed="false">
      <c r="A44" s="54" t="s">
        <v>256</v>
      </c>
      <c r="B44" s="54" t="s">
        <v>243</v>
      </c>
      <c r="C44" s="54" t="s">
        <v>119</v>
      </c>
      <c r="D44" s="54" t="s">
        <v>183</v>
      </c>
      <c r="E44" s="54" t="s">
        <v>116</v>
      </c>
      <c r="F44" s="55" t="n">
        <v>261217.38</v>
      </c>
      <c r="G44" s="54" t="s">
        <v>206</v>
      </c>
      <c r="H44" s="56" t="n">
        <f aca="false">VLOOKUP(E44,Treatment_Table!$B$5:$E$11,4,FALSE())</f>
        <v>0</v>
      </c>
      <c r="I44" s="57" t="n">
        <f aca="false">F44*H44</f>
        <v>0</v>
      </c>
      <c r="J44" s="57" t="n">
        <f aca="false">IF(D44="Income",F44,-F44)</f>
        <v>261217.38</v>
      </c>
    </row>
    <row r="45" customFormat="false" ht="15" hidden="false" customHeight="false" outlineLevel="0" collapsed="false">
      <c r="A45" s="54" t="s">
        <v>257</v>
      </c>
      <c r="B45" s="54" t="s">
        <v>214</v>
      </c>
      <c r="C45" s="54" t="s">
        <v>118</v>
      </c>
      <c r="D45" s="54" t="s">
        <v>183</v>
      </c>
      <c r="E45" s="54" t="s">
        <v>116</v>
      </c>
      <c r="F45" s="55" t="n">
        <v>203059.05</v>
      </c>
      <c r="G45" s="54" t="s">
        <v>211</v>
      </c>
      <c r="H45" s="56" t="n">
        <f aca="false">VLOOKUP(E45,Treatment_Table!$B$5:$E$11,4,FALSE())</f>
        <v>0</v>
      </c>
      <c r="I45" s="57" t="n">
        <f aca="false">F45*H45</f>
        <v>0</v>
      </c>
      <c r="J45" s="57" t="n">
        <f aca="false">IF(D45="Income",F45,-F45)</f>
        <v>203059.05</v>
      </c>
    </row>
    <row r="46" customFormat="false" ht="15" hidden="false" customHeight="false" outlineLevel="0" collapsed="false">
      <c r="A46" s="54" t="s">
        <v>258</v>
      </c>
      <c r="B46" s="54" t="s">
        <v>223</v>
      </c>
      <c r="C46" s="54" t="s">
        <v>118</v>
      </c>
      <c r="D46" s="54" t="s">
        <v>183</v>
      </c>
      <c r="E46" s="54" t="s">
        <v>116</v>
      </c>
      <c r="F46" s="55" t="n">
        <v>148962.64</v>
      </c>
      <c r="G46" s="54" t="s">
        <v>211</v>
      </c>
      <c r="H46" s="56" t="n">
        <f aca="false">VLOOKUP(E46,Treatment_Table!$B$5:$E$11,4,FALSE())</f>
        <v>0</v>
      </c>
      <c r="I46" s="57" t="n">
        <f aca="false">F46*H46</f>
        <v>0</v>
      </c>
      <c r="J46" s="57" t="n">
        <f aca="false">IF(D46="Income",F46,-F46)</f>
        <v>148962.64</v>
      </c>
    </row>
    <row r="47" customFormat="false" ht="15" hidden="false" customHeight="false" outlineLevel="0" collapsed="false">
      <c r="A47" s="54" t="s">
        <v>259</v>
      </c>
      <c r="B47" s="54" t="s">
        <v>210</v>
      </c>
      <c r="C47" s="54" t="s">
        <v>118</v>
      </c>
      <c r="D47" s="54" t="s">
        <v>183</v>
      </c>
      <c r="E47" s="54" t="s">
        <v>116</v>
      </c>
      <c r="F47" s="55" t="n">
        <v>150626.31</v>
      </c>
      <c r="G47" s="54" t="s">
        <v>211</v>
      </c>
      <c r="H47" s="56" t="n">
        <f aca="false">VLOOKUP(E47,Treatment_Table!$B$5:$E$11,4,FALSE())</f>
        <v>0</v>
      </c>
      <c r="I47" s="57" t="n">
        <f aca="false">F47*H47</f>
        <v>0</v>
      </c>
      <c r="J47" s="57" t="n">
        <f aca="false">IF(D47="Income",F47,-F47)</f>
        <v>150626.31</v>
      </c>
    </row>
    <row r="48" customFormat="false" ht="15" hidden="false" customHeight="false" outlineLevel="0" collapsed="false">
      <c r="A48" s="54" t="s">
        <v>260</v>
      </c>
      <c r="B48" s="54" t="s">
        <v>208</v>
      </c>
      <c r="C48" s="54" t="s">
        <v>118</v>
      </c>
      <c r="D48" s="54" t="s">
        <v>183</v>
      </c>
      <c r="E48" s="54" t="s">
        <v>116</v>
      </c>
      <c r="F48" s="55" t="n">
        <v>274707.92</v>
      </c>
      <c r="G48" s="54" t="s">
        <v>211</v>
      </c>
      <c r="H48" s="56" t="n">
        <f aca="false">VLOOKUP(E48,Treatment_Table!$B$5:$E$11,4,FALSE())</f>
        <v>0</v>
      </c>
      <c r="I48" s="57" t="n">
        <f aca="false">F48*H48</f>
        <v>0</v>
      </c>
      <c r="J48" s="57" t="n">
        <f aca="false">IF(D48="Income",F48,-F48)</f>
        <v>274707.92</v>
      </c>
    </row>
    <row r="49" customFormat="false" ht="15" hidden="false" customHeight="false" outlineLevel="0" collapsed="false">
      <c r="A49" s="54" t="s">
        <v>261</v>
      </c>
      <c r="B49" s="54" t="s">
        <v>205</v>
      </c>
      <c r="C49" s="54" t="s">
        <v>119</v>
      </c>
      <c r="D49" s="54" t="s">
        <v>183</v>
      </c>
      <c r="E49" s="54" t="s">
        <v>116</v>
      </c>
      <c r="F49" s="55" t="n">
        <v>185715.68</v>
      </c>
      <c r="G49" s="54" t="s">
        <v>206</v>
      </c>
      <c r="H49" s="56" t="n">
        <f aca="false">VLOOKUP(E49,Treatment_Table!$B$5:$E$11,4,FALSE())</f>
        <v>0</v>
      </c>
      <c r="I49" s="57" t="n">
        <f aca="false">F49*H49</f>
        <v>0</v>
      </c>
      <c r="J49" s="57" t="n">
        <f aca="false">IF(D49="Income",F49,-F49)</f>
        <v>185715.68</v>
      </c>
    </row>
    <row r="50" customFormat="false" ht="15" hidden="false" customHeight="false" outlineLevel="0" collapsed="false">
      <c r="A50" s="54" t="s">
        <v>262</v>
      </c>
      <c r="B50" s="54" t="s">
        <v>230</v>
      </c>
      <c r="C50" s="54" t="s">
        <v>118</v>
      </c>
      <c r="D50" s="54" t="s">
        <v>183</v>
      </c>
      <c r="E50" s="54" t="s">
        <v>116</v>
      </c>
      <c r="F50" s="55" t="n">
        <v>101009.93</v>
      </c>
      <c r="G50" s="54" t="s">
        <v>211</v>
      </c>
      <c r="H50" s="56" t="n">
        <f aca="false">VLOOKUP(E50,Treatment_Table!$B$5:$E$11,4,FALSE())</f>
        <v>0</v>
      </c>
      <c r="I50" s="57" t="n">
        <f aca="false">F50*H50</f>
        <v>0</v>
      </c>
      <c r="J50" s="57" t="n">
        <f aca="false">IF(D50="Income",F50,-F50)</f>
        <v>101009.93</v>
      </c>
    </row>
    <row r="51" customFormat="false" ht="15" hidden="false" customHeight="false" outlineLevel="0" collapsed="false">
      <c r="A51" s="54" t="s">
        <v>263</v>
      </c>
      <c r="B51" s="54" t="s">
        <v>230</v>
      </c>
      <c r="C51" s="54" t="s">
        <v>119</v>
      </c>
      <c r="D51" s="54" t="s">
        <v>183</v>
      </c>
      <c r="E51" s="54" t="s">
        <v>116</v>
      </c>
      <c r="F51" s="55" t="n">
        <v>124561.75</v>
      </c>
      <c r="G51" s="54" t="s">
        <v>206</v>
      </c>
      <c r="H51" s="56" t="n">
        <f aca="false">VLOOKUP(E51,Treatment_Table!$B$5:$E$11,4,FALSE())</f>
        <v>0</v>
      </c>
      <c r="I51" s="57" t="n">
        <f aca="false">F51*H51</f>
        <v>0</v>
      </c>
      <c r="J51" s="57" t="n">
        <f aca="false">IF(D51="Income",F51,-F51)</f>
        <v>124561.75</v>
      </c>
    </row>
    <row r="52" customFormat="false" ht="15" hidden="false" customHeight="false" outlineLevel="0" collapsed="false">
      <c r="A52" s="54" t="s">
        <v>264</v>
      </c>
      <c r="B52" s="54" t="s">
        <v>243</v>
      </c>
      <c r="C52" s="54" t="s">
        <v>119</v>
      </c>
      <c r="D52" s="54" t="s">
        <v>183</v>
      </c>
      <c r="E52" s="54" t="s">
        <v>116</v>
      </c>
      <c r="F52" s="55" t="n">
        <v>744404.14</v>
      </c>
      <c r="G52" s="54" t="s">
        <v>206</v>
      </c>
      <c r="H52" s="56" t="n">
        <f aca="false">VLOOKUP(E52,Treatment_Table!$B$5:$E$11,4,FALSE())</f>
        <v>0</v>
      </c>
      <c r="I52" s="57" t="n">
        <f aca="false">F52*H52</f>
        <v>0</v>
      </c>
      <c r="J52" s="57" t="n">
        <f aca="false">IF(D52="Income",F52,-F52)</f>
        <v>744404.14</v>
      </c>
    </row>
    <row r="53" customFormat="false" ht="15" hidden="false" customHeight="false" outlineLevel="0" collapsed="false">
      <c r="A53" s="54" t="s">
        <v>265</v>
      </c>
      <c r="B53" s="54" t="s">
        <v>205</v>
      </c>
      <c r="C53" s="54" t="s">
        <v>119</v>
      </c>
      <c r="D53" s="54" t="s">
        <v>183</v>
      </c>
      <c r="E53" s="54" t="s">
        <v>116</v>
      </c>
      <c r="F53" s="55" t="n">
        <v>96008.93</v>
      </c>
      <c r="G53" s="54" t="s">
        <v>206</v>
      </c>
      <c r="H53" s="56" t="n">
        <f aca="false">VLOOKUP(E53,Treatment_Table!$B$5:$E$11,4,FALSE())</f>
        <v>0</v>
      </c>
      <c r="I53" s="57" t="n">
        <f aca="false">F53*H53</f>
        <v>0</v>
      </c>
      <c r="J53" s="57" t="n">
        <f aca="false">IF(D53="Income",F53,-F53)</f>
        <v>96008.93</v>
      </c>
    </row>
    <row r="54" customFormat="false" ht="15" hidden="false" customHeight="false" outlineLevel="0" collapsed="false">
      <c r="A54" s="54" t="s">
        <v>266</v>
      </c>
      <c r="B54" s="54" t="s">
        <v>208</v>
      </c>
      <c r="C54" s="54" t="s">
        <v>119</v>
      </c>
      <c r="D54" s="54" t="s">
        <v>183</v>
      </c>
      <c r="E54" s="54" t="s">
        <v>116</v>
      </c>
      <c r="F54" s="55" t="n">
        <v>30472.62</v>
      </c>
      <c r="G54" s="54" t="s">
        <v>206</v>
      </c>
      <c r="H54" s="56" t="n">
        <f aca="false">VLOOKUP(E54,Treatment_Table!$B$5:$E$11,4,FALSE())</f>
        <v>0</v>
      </c>
      <c r="I54" s="57" t="n">
        <f aca="false">F54*H54</f>
        <v>0</v>
      </c>
      <c r="J54" s="57" t="n">
        <f aca="false">IF(D54="Income",F54,-F54)</f>
        <v>30472.62</v>
      </c>
    </row>
    <row r="55" customFormat="false" ht="15" hidden="false" customHeight="false" outlineLevel="0" collapsed="false">
      <c r="A55" s="54" t="s">
        <v>267</v>
      </c>
      <c r="B55" s="54" t="s">
        <v>230</v>
      </c>
      <c r="C55" s="54" t="s">
        <v>119</v>
      </c>
      <c r="D55" s="54" t="s">
        <v>183</v>
      </c>
      <c r="E55" s="54" t="s">
        <v>116</v>
      </c>
      <c r="F55" s="55" t="n">
        <v>66221.22</v>
      </c>
      <c r="G55" s="54" t="s">
        <v>206</v>
      </c>
      <c r="H55" s="56" t="n">
        <f aca="false">VLOOKUP(E55,Treatment_Table!$B$5:$E$11,4,FALSE())</f>
        <v>0</v>
      </c>
      <c r="I55" s="57" t="n">
        <f aca="false">F55*H55</f>
        <v>0</v>
      </c>
      <c r="J55" s="57" t="n">
        <f aca="false">IF(D55="Income",F55,-F55)</f>
        <v>66221.22</v>
      </c>
    </row>
    <row r="56" customFormat="false" ht="15" hidden="false" customHeight="false" outlineLevel="0" collapsed="false">
      <c r="A56" s="54" t="s">
        <v>268</v>
      </c>
      <c r="B56" s="54" t="s">
        <v>205</v>
      </c>
      <c r="C56" s="54" t="s">
        <v>119</v>
      </c>
      <c r="D56" s="54" t="s">
        <v>183</v>
      </c>
      <c r="E56" s="54" t="s">
        <v>116</v>
      </c>
      <c r="F56" s="55" t="n">
        <v>193478.12</v>
      </c>
      <c r="G56" s="54" t="s">
        <v>206</v>
      </c>
      <c r="H56" s="56" t="n">
        <f aca="false">VLOOKUP(E56,Treatment_Table!$B$5:$E$11,4,FALSE())</f>
        <v>0</v>
      </c>
      <c r="I56" s="57" t="n">
        <f aca="false">F56*H56</f>
        <v>0</v>
      </c>
      <c r="J56" s="57" t="n">
        <f aca="false">IF(D56="Income",F56,-F56)</f>
        <v>193478.12</v>
      </c>
    </row>
    <row r="57" customFormat="false" ht="15" hidden="false" customHeight="false" outlineLevel="0" collapsed="false">
      <c r="A57" s="54" t="s">
        <v>269</v>
      </c>
      <c r="B57" s="54" t="s">
        <v>208</v>
      </c>
      <c r="C57" s="54" t="s">
        <v>119</v>
      </c>
      <c r="D57" s="54" t="s">
        <v>183</v>
      </c>
      <c r="E57" s="54" t="s">
        <v>116</v>
      </c>
      <c r="F57" s="55" t="n">
        <v>111604.09</v>
      </c>
      <c r="G57" s="54" t="s">
        <v>206</v>
      </c>
      <c r="H57" s="56" t="n">
        <f aca="false">VLOOKUP(E57,Treatment_Table!$B$5:$E$11,4,FALSE())</f>
        <v>0</v>
      </c>
      <c r="I57" s="57" t="n">
        <f aca="false">F57*H57</f>
        <v>0</v>
      </c>
      <c r="J57" s="57" t="n">
        <f aca="false">IF(D57="Income",F57,-F57)</f>
        <v>111604.09</v>
      </c>
    </row>
    <row r="58" customFormat="false" ht="15" hidden="false" customHeight="false" outlineLevel="0" collapsed="false">
      <c r="A58" s="54" t="s">
        <v>270</v>
      </c>
      <c r="B58" s="54" t="s">
        <v>218</v>
      </c>
      <c r="C58" s="54" t="s">
        <v>119</v>
      </c>
      <c r="D58" s="54" t="s">
        <v>183</v>
      </c>
      <c r="E58" s="54" t="s">
        <v>116</v>
      </c>
      <c r="F58" s="55" t="n">
        <v>225001.14</v>
      </c>
      <c r="G58" s="54" t="s">
        <v>206</v>
      </c>
      <c r="H58" s="56" t="n">
        <f aca="false">VLOOKUP(E58,Treatment_Table!$B$5:$E$11,4,FALSE())</f>
        <v>0</v>
      </c>
      <c r="I58" s="57" t="n">
        <f aca="false">F58*H58</f>
        <v>0</v>
      </c>
      <c r="J58" s="57" t="n">
        <f aca="false">IF(D58="Income",F58,-F58)</f>
        <v>225001.14</v>
      </c>
    </row>
    <row r="59" customFormat="false" ht="15" hidden="false" customHeight="false" outlineLevel="0" collapsed="false">
      <c r="A59" s="54" t="s">
        <v>271</v>
      </c>
      <c r="B59" s="54" t="s">
        <v>210</v>
      </c>
      <c r="C59" s="54" t="s">
        <v>119</v>
      </c>
      <c r="D59" s="54" t="s">
        <v>183</v>
      </c>
      <c r="E59" s="54" t="s">
        <v>116</v>
      </c>
      <c r="F59" s="55" t="n">
        <v>124322.89</v>
      </c>
      <c r="G59" s="54" t="s">
        <v>206</v>
      </c>
      <c r="H59" s="56" t="n">
        <f aca="false">VLOOKUP(E59,Treatment_Table!$B$5:$E$11,4,FALSE())</f>
        <v>0</v>
      </c>
      <c r="I59" s="57" t="n">
        <f aca="false">F59*H59</f>
        <v>0</v>
      </c>
      <c r="J59" s="57" t="n">
        <f aca="false">IF(D59="Income",F59,-F59)</f>
        <v>124322.89</v>
      </c>
    </row>
    <row r="60" customFormat="false" ht="15" hidden="false" customHeight="false" outlineLevel="0" collapsed="false">
      <c r="A60" s="54" t="s">
        <v>272</v>
      </c>
      <c r="B60" s="54" t="s">
        <v>235</v>
      </c>
      <c r="C60" s="54" t="s">
        <v>119</v>
      </c>
      <c r="D60" s="54" t="s">
        <v>183</v>
      </c>
      <c r="E60" s="54" t="s">
        <v>116</v>
      </c>
      <c r="F60" s="55" t="n">
        <v>127938.86</v>
      </c>
      <c r="G60" s="54" t="s">
        <v>206</v>
      </c>
      <c r="H60" s="56" t="n">
        <f aca="false">VLOOKUP(E60,Treatment_Table!$B$5:$E$11,4,FALSE())</f>
        <v>0</v>
      </c>
      <c r="I60" s="57" t="n">
        <f aca="false">F60*H60</f>
        <v>0</v>
      </c>
      <c r="J60" s="57" t="n">
        <f aca="false">IF(D60="Income",F60,-F60)</f>
        <v>127938.86</v>
      </c>
    </row>
    <row r="61" customFormat="false" ht="15" hidden="false" customHeight="false" outlineLevel="0" collapsed="false">
      <c r="A61" s="54" t="s">
        <v>273</v>
      </c>
      <c r="B61" s="54" t="s">
        <v>210</v>
      </c>
      <c r="C61" s="54" t="s">
        <v>118</v>
      </c>
      <c r="D61" s="54" t="s">
        <v>183</v>
      </c>
      <c r="E61" s="54" t="s">
        <v>116</v>
      </c>
      <c r="F61" s="55" t="n">
        <v>255821.92</v>
      </c>
      <c r="G61" s="54" t="s">
        <v>211</v>
      </c>
      <c r="H61" s="56" t="n">
        <f aca="false">VLOOKUP(E61,Treatment_Table!$B$5:$E$11,4,FALSE())</f>
        <v>0</v>
      </c>
      <c r="I61" s="57" t="n">
        <f aca="false">F61*H61</f>
        <v>0</v>
      </c>
      <c r="J61" s="57" t="n">
        <f aca="false">IF(D61="Income",F61,-F61)</f>
        <v>255821.92</v>
      </c>
    </row>
    <row r="62" customFormat="false" ht="15" hidden="false" customHeight="false" outlineLevel="0" collapsed="false">
      <c r="A62" s="54" t="s">
        <v>274</v>
      </c>
      <c r="B62" s="54" t="s">
        <v>223</v>
      </c>
      <c r="C62" s="54" t="s">
        <v>119</v>
      </c>
      <c r="D62" s="54" t="s">
        <v>183</v>
      </c>
      <c r="E62" s="54" t="s">
        <v>116</v>
      </c>
      <c r="F62" s="55" t="n">
        <v>192810.18</v>
      </c>
      <c r="G62" s="54" t="s">
        <v>206</v>
      </c>
      <c r="H62" s="56" t="n">
        <f aca="false">VLOOKUP(E62,Treatment_Table!$B$5:$E$11,4,FALSE())</f>
        <v>0</v>
      </c>
      <c r="I62" s="57" t="n">
        <f aca="false">F62*H62</f>
        <v>0</v>
      </c>
      <c r="J62" s="57" t="n">
        <f aca="false">IF(D62="Income",F62,-F62)</f>
        <v>192810.18</v>
      </c>
    </row>
    <row r="63" customFormat="false" ht="15" hidden="false" customHeight="false" outlineLevel="0" collapsed="false">
      <c r="A63" s="54" t="s">
        <v>275</v>
      </c>
      <c r="B63" s="54" t="s">
        <v>210</v>
      </c>
      <c r="C63" s="54" t="s">
        <v>118</v>
      </c>
      <c r="D63" s="54" t="s">
        <v>183</v>
      </c>
      <c r="E63" s="54" t="s">
        <v>116</v>
      </c>
      <c r="F63" s="55" t="n">
        <v>64667.25</v>
      </c>
      <c r="G63" s="54" t="s">
        <v>211</v>
      </c>
      <c r="H63" s="56" t="n">
        <f aca="false">VLOOKUP(E63,Treatment_Table!$B$5:$E$11,4,FALSE())</f>
        <v>0</v>
      </c>
      <c r="I63" s="57" t="n">
        <f aca="false">F63*H63</f>
        <v>0</v>
      </c>
      <c r="J63" s="57" t="n">
        <f aca="false">IF(D63="Income",F63,-F63)</f>
        <v>64667.25</v>
      </c>
    </row>
    <row r="64" customFormat="false" ht="15" hidden="false" customHeight="false" outlineLevel="0" collapsed="false">
      <c r="A64" s="54" t="s">
        <v>276</v>
      </c>
      <c r="B64" s="54" t="s">
        <v>247</v>
      </c>
      <c r="C64" s="54" t="s">
        <v>119</v>
      </c>
      <c r="D64" s="54" t="s">
        <v>183</v>
      </c>
      <c r="E64" s="54" t="s">
        <v>116</v>
      </c>
      <c r="F64" s="55" t="n">
        <v>105692.51</v>
      </c>
      <c r="G64" s="54" t="s">
        <v>206</v>
      </c>
      <c r="H64" s="56" t="n">
        <f aca="false">VLOOKUP(E64,Treatment_Table!$B$5:$E$11,4,FALSE())</f>
        <v>0</v>
      </c>
      <c r="I64" s="57" t="n">
        <f aca="false">F64*H64</f>
        <v>0</v>
      </c>
      <c r="J64" s="57" t="n">
        <f aca="false">IF(D64="Income",F64,-F64)</f>
        <v>105692.51</v>
      </c>
    </row>
    <row r="65" customFormat="false" ht="15" hidden="false" customHeight="false" outlineLevel="0" collapsed="false">
      <c r="A65" s="54" t="s">
        <v>277</v>
      </c>
      <c r="B65" s="54" t="s">
        <v>223</v>
      </c>
      <c r="C65" s="54" t="s">
        <v>119</v>
      </c>
      <c r="D65" s="54" t="s">
        <v>183</v>
      </c>
      <c r="E65" s="54" t="s">
        <v>116</v>
      </c>
      <c r="F65" s="55" t="n">
        <v>79296.47</v>
      </c>
      <c r="G65" s="54" t="s">
        <v>206</v>
      </c>
      <c r="H65" s="56" t="n">
        <f aca="false">VLOOKUP(E65,Treatment_Table!$B$5:$E$11,4,FALSE())</f>
        <v>0</v>
      </c>
      <c r="I65" s="57" t="n">
        <f aca="false">F65*H65</f>
        <v>0</v>
      </c>
      <c r="J65" s="57" t="n">
        <f aca="false">IF(D65="Income",F65,-F65)</f>
        <v>79296.47</v>
      </c>
    </row>
    <row r="66" customFormat="false" ht="15" hidden="false" customHeight="false" outlineLevel="0" collapsed="false">
      <c r="A66" s="54" t="s">
        <v>278</v>
      </c>
      <c r="B66" s="54" t="s">
        <v>205</v>
      </c>
      <c r="C66" s="54" t="s">
        <v>118</v>
      </c>
      <c r="D66" s="54" t="s">
        <v>183</v>
      </c>
      <c r="E66" s="54" t="s">
        <v>116</v>
      </c>
      <c r="F66" s="55" t="n">
        <v>19244.68</v>
      </c>
      <c r="G66" s="54" t="s">
        <v>211</v>
      </c>
      <c r="H66" s="56" t="n">
        <f aca="false">VLOOKUP(E66,Treatment_Table!$B$5:$E$11,4,FALSE())</f>
        <v>0</v>
      </c>
      <c r="I66" s="57" t="n">
        <f aca="false">F66*H66</f>
        <v>0</v>
      </c>
      <c r="J66" s="57" t="n">
        <f aca="false">IF(D66="Income",F66,-F66)</f>
        <v>19244.68</v>
      </c>
    </row>
    <row r="67" customFormat="false" ht="15" hidden="false" customHeight="false" outlineLevel="0" collapsed="false">
      <c r="A67" s="54" t="s">
        <v>279</v>
      </c>
      <c r="B67" s="54" t="s">
        <v>235</v>
      </c>
      <c r="C67" s="54" t="s">
        <v>119</v>
      </c>
      <c r="D67" s="54" t="s">
        <v>183</v>
      </c>
      <c r="E67" s="54" t="s">
        <v>116</v>
      </c>
      <c r="F67" s="55" t="n">
        <v>117017.03</v>
      </c>
      <c r="G67" s="54" t="s">
        <v>206</v>
      </c>
      <c r="H67" s="56" t="n">
        <f aca="false">VLOOKUP(E67,Treatment_Table!$B$5:$E$11,4,FALSE())</f>
        <v>0</v>
      </c>
      <c r="I67" s="57" t="n">
        <f aca="false">F67*H67</f>
        <v>0</v>
      </c>
      <c r="J67" s="57" t="n">
        <f aca="false">IF(D67="Income",F67,-F67)</f>
        <v>117017.03</v>
      </c>
    </row>
    <row r="68" customFormat="false" ht="15" hidden="false" customHeight="false" outlineLevel="0" collapsed="false">
      <c r="A68" s="54" t="s">
        <v>280</v>
      </c>
      <c r="B68" s="54" t="s">
        <v>235</v>
      </c>
      <c r="C68" s="54" t="s">
        <v>119</v>
      </c>
      <c r="D68" s="54" t="s">
        <v>183</v>
      </c>
      <c r="E68" s="54" t="s">
        <v>116</v>
      </c>
      <c r="F68" s="55" t="n">
        <v>158499.35</v>
      </c>
      <c r="G68" s="54" t="s">
        <v>206</v>
      </c>
      <c r="H68" s="56" t="n">
        <f aca="false">VLOOKUP(E68,Treatment_Table!$B$5:$E$11,4,FALSE())</f>
        <v>0</v>
      </c>
      <c r="I68" s="57" t="n">
        <f aca="false">F68*H68</f>
        <v>0</v>
      </c>
      <c r="J68" s="57" t="n">
        <f aca="false">IF(D68="Income",F68,-F68)</f>
        <v>158499.35</v>
      </c>
    </row>
    <row r="69" customFormat="false" ht="15" hidden="false" customHeight="false" outlineLevel="0" collapsed="false">
      <c r="A69" s="54" t="s">
        <v>281</v>
      </c>
      <c r="B69" s="54" t="s">
        <v>228</v>
      </c>
      <c r="C69" s="54" t="s">
        <v>119</v>
      </c>
      <c r="D69" s="54" t="s">
        <v>183</v>
      </c>
      <c r="E69" s="54" t="s">
        <v>116</v>
      </c>
      <c r="F69" s="55" t="n">
        <v>39804.88</v>
      </c>
      <c r="G69" s="54" t="s">
        <v>206</v>
      </c>
      <c r="H69" s="56" t="n">
        <f aca="false">VLOOKUP(E69,Treatment_Table!$B$5:$E$11,4,FALSE())</f>
        <v>0</v>
      </c>
      <c r="I69" s="57" t="n">
        <f aca="false">F69*H69</f>
        <v>0</v>
      </c>
      <c r="J69" s="57" t="n">
        <f aca="false">IF(D69="Income",F69,-F69)</f>
        <v>39804.88</v>
      </c>
    </row>
    <row r="70" customFormat="false" ht="15" hidden="false" customHeight="false" outlineLevel="0" collapsed="false">
      <c r="A70" s="54" t="s">
        <v>282</v>
      </c>
      <c r="B70" s="54" t="s">
        <v>214</v>
      </c>
      <c r="C70" s="54" t="s">
        <v>119</v>
      </c>
      <c r="D70" s="54" t="s">
        <v>183</v>
      </c>
      <c r="E70" s="54" t="s">
        <v>116</v>
      </c>
      <c r="F70" s="55" t="n">
        <v>86651.69</v>
      </c>
      <c r="G70" s="54" t="s">
        <v>206</v>
      </c>
      <c r="H70" s="56" t="n">
        <f aca="false">VLOOKUP(E70,Treatment_Table!$B$5:$E$11,4,FALSE())</f>
        <v>0</v>
      </c>
      <c r="I70" s="57" t="n">
        <f aca="false">F70*H70</f>
        <v>0</v>
      </c>
      <c r="J70" s="57" t="n">
        <f aca="false">IF(D70="Income",F70,-F70)</f>
        <v>86651.69</v>
      </c>
    </row>
    <row r="71" customFormat="false" ht="15" hidden="false" customHeight="false" outlineLevel="0" collapsed="false">
      <c r="A71" s="54" t="s">
        <v>283</v>
      </c>
      <c r="B71" s="54" t="s">
        <v>208</v>
      </c>
      <c r="C71" s="54" t="s">
        <v>119</v>
      </c>
      <c r="D71" s="54" t="s">
        <v>183</v>
      </c>
      <c r="E71" s="54" t="s">
        <v>116</v>
      </c>
      <c r="F71" s="55" t="n">
        <v>131471.43</v>
      </c>
      <c r="G71" s="54" t="s">
        <v>206</v>
      </c>
      <c r="H71" s="56" t="n">
        <f aca="false">VLOOKUP(E71,Treatment_Table!$B$5:$E$11,4,FALSE())</f>
        <v>0</v>
      </c>
      <c r="I71" s="57" t="n">
        <f aca="false">F71*H71</f>
        <v>0</v>
      </c>
      <c r="J71" s="57" t="n">
        <f aca="false">IF(D71="Income",F71,-F71)</f>
        <v>131471.43</v>
      </c>
    </row>
    <row r="72" customFormat="false" ht="15" hidden="false" customHeight="false" outlineLevel="0" collapsed="false">
      <c r="A72" s="54" t="s">
        <v>284</v>
      </c>
      <c r="B72" s="54" t="s">
        <v>205</v>
      </c>
      <c r="C72" s="54" t="s">
        <v>119</v>
      </c>
      <c r="D72" s="54" t="s">
        <v>183</v>
      </c>
      <c r="E72" s="54" t="s">
        <v>116</v>
      </c>
      <c r="F72" s="55" t="n">
        <v>161359.03</v>
      </c>
      <c r="G72" s="54" t="s">
        <v>206</v>
      </c>
      <c r="H72" s="56" t="n">
        <f aca="false">VLOOKUP(E72,Treatment_Table!$B$5:$E$11,4,FALSE())</f>
        <v>0</v>
      </c>
      <c r="I72" s="57" t="n">
        <f aca="false">F72*H72</f>
        <v>0</v>
      </c>
      <c r="J72" s="57" t="n">
        <f aca="false">IF(D72="Income",F72,-F72)</f>
        <v>161359.03</v>
      </c>
    </row>
    <row r="73" customFormat="false" ht="15" hidden="false" customHeight="false" outlineLevel="0" collapsed="false">
      <c r="A73" s="54" t="s">
        <v>285</v>
      </c>
      <c r="B73" s="54" t="s">
        <v>214</v>
      </c>
      <c r="C73" s="54" t="s">
        <v>119</v>
      </c>
      <c r="D73" s="54" t="s">
        <v>183</v>
      </c>
      <c r="E73" s="54" t="s">
        <v>116</v>
      </c>
      <c r="F73" s="55" t="n">
        <v>70524.19</v>
      </c>
      <c r="G73" s="54" t="s">
        <v>206</v>
      </c>
      <c r="H73" s="56" t="n">
        <f aca="false">VLOOKUP(E73,Treatment_Table!$B$5:$E$11,4,FALSE())</f>
        <v>0</v>
      </c>
      <c r="I73" s="57" t="n">
        <f aca="false">F73*H73</f>
        <v>0</v>
      </c>
      <c r="J73" s="57" t="n">
        <f aca="false">IF(D73="Income",F73,-F73)</f>
        <v>70524.19</v>
      </c>
    </row>
    <row r="74" customFormat="false" ht="15" hidden="false" customHeight="false" outlineLevel="0" collapsed="false">
      <c r="A74" s="54" t="s">
        <v>286</v>
      </c>
      <c r="B74" s="54" t="s">
        <v>243</v>
      </c>
      <c r="C74" s="54" t="s">
        <v>119</v>
      </c>
      <c r="D74" s="54" t="s">
        <v>183</v>
      </c>
      <c r="E74" s="54" t="s">
        <v>116</v>
      </c>
      <c r="F74" s="55" t="n">
        <v>167753.23</v>
      </c>
      <c r="G74" s="54" t="s">
        <v>206</v>
      </c>
      <c r="H74" s="56" t="n">
        <f aca="false">VLOOKUP(E74,Treatment_Table!$B$5:$E$11,4,FALSE())</f>
        <v>0</v>
      </c>
      <c r="I74" s="57" t="n">
        <f aca="false">F74*H74</f>
        <v>0</v>
      </c>
      <c r="J74" s="57" t="n">
        <f aca="false">IF(D74="Income",F74,-F74)</f>
        <v>167753.23</v>
      </c>
    </row>
    <row r="75" customFormat="false" ht="15" hidden="false" customHeight="false" outlineLevel="0" collapsed="false">
      <c r="A75" s="54" t="s">
        <v>287</v>
      </c>
      <c r="B75" s="54" t="s">
        <v>208</v>
      </c>
      <c r="C75" s="54" t="s">
        <v>119</v>
      </c>
      <c r="D75" s="54" t="s">
        <v>183</v>
      </c>
      <c r="E75" s="54" t="s">
        <v>116</v>
      </c>
      <c r="F75" s="55" t="n">
        <v>86855.03</v>
      </c>
      <c r="G75" s="54" t="s">
        <v>206</v>
      </c>
      <c r="H75" s="56" t="n">
        <f aca="false">VLOOKUP(E75,Treatment_Table!$B$5:$E$11,4,FALSE())</f>
        <v>0</v>
      </c>
      <c r="I75" s="57" t="n">
        <f aca="false">F75*H75</f>
        <v>0</v>
      </c>
      <c r="J75" s="57" t="n">
        <f aca="false">IF(D75="Income",F75,-F75)</f>
        <v>86855.03</v>
      </c>
    </row>
    <row r="76" customFormat="false" ht="15" hidden="false" customHeight="false" outlineLevel="0" collapsed="false">
      <c r="A76" s="54" t="s">
        <v>288</v>
      </c>
      <c r="B76" s="54" t="s">
        <v>216</v>
      </c>
      <c r="C76" s="54" t="s">
        <v>119</v>
      </c>
      <c r="D76" s="54" t="s">
        <v>183</v>
      </c>
      <c r="E76" s="54" t="s">
        <v>116</v>
      </c>
      <c r="F76" s="55" t="n">
        <v>92054.44</v>
      </c>
      <c r="G76" s="54" t="s">
        <v>206</v>
      </c>
      <c r="H76" s="56" t="n">
        <f aca="false">VLOOKUP(E76,Treatment_Table!$B$5:$E$11,4,FALSE())</f>
        <v>0</v>
      </c>
      <c r="I76" s="57" t="n">
        <f aca="false">F76*H76</f>
        <v>0</v>
      </c>
      <c r="J76" s="57" t="n">
        <f aca="false">IF(D76="Income",F76,-F76)</f>
        <v>92054.44</v>
      </c>
    </row>
    <row r="77" customFormat="false" ht="15" hidden="false" customHeight="false" outlineLevel="0" collapsed="false">
      <c r="A77" s="54" t="s">
        <v>289</v>
      </c>
      <c r="B77" s="54" t="s">
        <v>228</v>
      </c>
      <c r="C77" s="54" t="s">
        <v>118</v>
      </c>
      <c r="D77" s="54" t="s">
        <v>183</v>
      </c>
      <c r="E77" s="54" t="s">
        <v>116</v>
      </c>
      <c r="F77" s="55" t="n">
        <v>539476.5</v>
      </c>
      <c r="G77" s="54" t="s">
        <v>211</v>
      </c>
      <c r="H77" s="56" t="n">
        <f aca="false">VLOOKUP(E77,Treatment_Table!$B$5:$E$11,4,FALSE())</f>
        <v>0</v>
      </c>
      <c r="I77" s="57" t="n">
        <f aca="false">F77*H77</f>
        <v>0</v>
      </c>
      <c r="J77" s="57" t="n">
        <f aca="false">IF(D77="Income",F77,-F77)</f>
        <v>539476.5</v>
      </c>
    </row>
    <row r="78" customFormat="false" ht="15" hidden="false" customHeight="false" outlineLevel="0" collapsed="false">
      <c r="A78" s="54" t="s">
        <v>290</v>
      </c>
      <c r="B78" s="54" t="s">
        <v>205</v>
      </c>
      <c r="C78" s="54" t="s">
        <v>119</v>
      </c>
      <c r="D78" s="54" t="s">
        <v>183</v>
      </c>
      <c r="E78" s="54" t="s">
        <v>116</v>
      </c>
      <c r="F78" s="55" t="n">
        <v>46865.69</v>
      </c>
      <c r="G78" s="54" t="s">
        <v>206</v>
      </c>
      <c r="H78" s="56" t="n">
        <f aca="false">VLOOKUP(E78,Treatment_Table!$B$5:$E$11,4,FALSE())</f>
        <v>0</v>
      </c>
      <c r="I78" s="57" t="n">
        <f aca="false">F78*H78</f>
        <v>0</v>
      </c>
      <c r="J78" s="57" t="n">
        <f aca="false">IF(D78="Income",F78,-F78)</f>
        <v>46865.69</v>
      </c>
    </row>
    <row r="79" customFormat="false" ht="15" hidden="false" customHeight="false" outlineLevel="0" collapsed="false">
      <c r="A79" s="54" t="s">
        <v>291</v>
      </c>
      <c r="B79" s="54" t="s">
        <v>223</v>
      </c>
      <c r="C79" s="54" t="s">
        <v>119</v>
      </c>
      <c r="D79" s="54" t="s">
        <v>183</v>
      </c>
      <c r="E79" s="54" t="s">
        <v>116</v>
      </c>
      <c r="F79" s="55" t="n">
        <v>133938.36</v>
      </c>
      <c r="G79" s="54" t="s">
        <v>206</v>
      </c>
      <c r="H79" s="56" t="n">
        <f aca="false">VLOOKUP(E79,Treatment_Table!$B$5:$E$11,4,FALSE())</f>
        <v>0</v>
      </c>
      <c r="I79" s="57" t="n">
        <f aca="false">F79*H79</f>
        <v>0</v>
      </c>
      <c r="J79" s="57" t="n">
        <f aca="false">IF(D79="Income",F79,-F79)</f>
        <v>133938.36</v>
      </c>
    </row>
    <row r="80" customFormat="false" ht="15" hidden="false" customHeight="false" outlineLevel="0" collapsed="false">
      <c r="A80" s="54" t="s">
        <v>292</v>
      </c>
      <c r="B80" s="54" t="s">
        <v>214</v>
      </c>
      <c r="C80" s="54" t="s">
        <v>119</v>
      </c>
      <c r="D80" s="54" t="s">
        <v>183</v>
      </c>
      <c r="E80" s="54" t="s">
        <v>116</v>
      </c>
      <c r="F80" s="55" t="n">
        <v>122981.4</v>
      </c>
      <c r="G80" s="54" t="s">
        <v>206</v>
      </c>
      <c r="H80" s="56" t="n">
        <f aca="false">VLOOKUP(E80,Treatment_Table!$B$5:$E$11,4,FALSE())</f>
        <v>0</v>
      </c>
      <c r="I80" s="57" t="n">
        <f aca="false">F80*H80</f>
        <v>0</v>
      </c>
      <c r="J80" s="57" t="n">
        <f aca="false">IF(D80="Income",F80,-F80)</f>
        <v>122981.4</v>
      </c>
    </row>
    <row r="81" customFormat="false" ht="15" hidden="false" customHeight="false" outlineLevel="0" collapsed="false">
      <c r="A81" s="54" t="s">
        <v>293</v>
      </c>
      <c r="B81" s="54" t="s">
        <v>247</v>
      </c>
      <c r="C81" s="54" t="s">
        <v>119</v>
      </c>
      <c r="D81" s="54" t="s">
        <v>183</v>
      </c>
      <c r="E81" s="54" t="s">
        <v>116</v>
      </c>
      <c r="F81" s="55" t="n">
        <v>145444.13</v>
      </c>
      <c r="G81" s="54" t="s">
        <v>206</v>
      </c>
      <c r="H81" s="56" t="n">
        <f aca="false">VLOOKUP(E81,Treatment_Table!$B$5:$E$11,4,FALSE())</f>
        <v>0</v>
      </c>
      <c r="I81" s="57" t="n">
        <f aca="false">F81*H81</f>
        <v>0</v>
      </c>
      <c r="J81" s="57" t="n">
        <f aca="false">IF(D81="Income",F81,-F81)</f>
        <v>145444.13</v>
      </c>
    </row>
    <row r="82" customFormat="false" ht="15" hidden="false" customHeight="false" outlineLevel="0" collapsed="false">
      <c r="A82" s="54" t="s">
        <v>294</v>
      </c>
      <c r="B82" s="54" t="s">
        <v>228</v>
      </c>
      <c r="C82" s="54" t="s">
        <v>118</v>
      </c>
      <c r="D82" s="54" t="s">
        <v>183</v>
      </c>
      <c r="E82" s="54" t="s">
        <v>116</v>
      </c>
      <c r="F82" s="55" t="n">
        <v>96104.5</v>
      </c>
      <c r="G82" s="54" t="s">
        <v>211</v>
      </c>
      <c r="H82" s="56" t="n">
        <f aca="false">VLOOKUP(E82,Treatment_Table!$B$5:$E$11,4,FALSE())</f>
        <v>0</v>
      </c>
      <c r="I82" s="57" t="n">
        <f aca="false">F82*H82</f>
        <v>0</v>
      </c>
      <c r="J82" s="57" t="n">
        <f aca="false">IF(D82="Income",F82,-F82)</f>
        <v>96104.5</v>
      </c>
    </row>
    <row r="83" customFormat="false" ht="15" hidden="false" customHeight="false" outlineLevel="0" collapsed="false">
      <c r="A83" s="54" t="s">
        <v>295</v>
      </c>
      <c r="B83" s="54" t="s">
        <v>230</v>
      </c>
      <c r="C83" s="54" t="s">
        <v>118</v>
      </c>
      <c r="D83" s="54" t="s">
        <v>183</v>
      </c>
      <c r="E83" s="54" t="s">
        <v>116</v>
      </c>
      <c r="F83" s="55" t="n">
        <v>247552.32</v>
      </c>
      <c r="G83" s="54" t="s">
        <v>211</v>
      </c>
      <c r="H83" s="56" t="n">
        <f aca="false">VLOOKUP(E83,Treatment_Table!$B$5:$E$11,4,FALSE())</f>
        <v>0</v>
      </c>
      <c r="I83" s="57" t="n">
        <f aca="false">F83*H83</f>
        <v>0</v>
      </c>
      <c r="J83" s="57" t="n">
        <f aca="false">IF(D83="Income",F83,-F83)</f>
        <v>247552.32</v>
      </c>
    </row>
    <row r="84" customFormat="false" ht="15" hidden="false" customHeight="false" outlineLevel="0" collapsed="false">
      <c r="A84" s="54" t="s">
        <v>296</v>
      </c>
      <c r="B84" s="54" t="s">
        <v>223</v>
      </c>
      <c r="C84" s="54" t="s">
        <v>119</v>
      </c>
      <c r="D84" s="54" t="s">
        <v>183</v>
      </c>
      <c r="E84" s="54" t="s">
        <v>116</v>
      </c>
      <c r="F84" s="55" t="n">
        <v>37245.55</v>
      </c>
      <c r="G84" s="54" t="s">
        <v>206</v>
      </c>
      <c r="H84" s="56" t="n">
        <f aca="false">VLOOKUP(E84,Treatment_Table!$B$5:$E$11,4,FALSE())</f>
        <v>0</v>
      </c>
      <c r="I84" s="57" t="n">
        <f aca="false">F84*H84</f>
        <v>0</v>
      </c>
      <c r="J84" s="57" t="n">
        <f aca="false">IF(D84="Income",F84,-F84)</f>
        <v>37245.55</v>
      </c>
    </row>
    <row r="85" customFormat="false" ht="15" hidden="false" customHeight="false" outlineLevel="0" collapsed="false">
      <c r="A85" s="54" t="s">
        <v>297</v>
      </c>
      <c r="B85" s="54" t="s">
        <v>218</v>
      </c>
      <c r="C85" s="54" t="s">
        <v>119</v>
      </c>
      <c r="D85" s="54" t="s">
        <v>183</v>
      </c>
      <c r="E85" s="54" t="s">
        <v>116</v>
      </c>
      <c r="F85" s="55" t="n">
        <v>107787.35</v>
      </c>
      <c r="G85" s="54" t="s">
        <v>206</v>
      </c>
      <c r="H85" s="56" t="n">
        <f aca="false">VLOOKUP(E85,Treatment_Table!$B$5:$E$11,4,FALSE())</f>
        <v>0</v>
      </c>
      <c r="I85" s="57" t="n">
        <f aca="false">F85*H85</f>
        <v>0</v>
      </c>
      <c r="J85" s="57" t="n">
        <f aca="false">IF(D85="Income",F85,-F85)</f>
        <v>107787.35</v>
      </c>
    </row>
    <row r="86" customFormat="false" ht="15" hidden="false" customHeight="false" outlineLevel="0" collapsed="false">
      <c r="A86" s="54" t="s">
        <v>298</v>
      </c>
      <c r="B86" s="54" t="s">
        <v>218</v>
      </c>
      <c r="C86" s="54" t="s">
        <v>118</v>
      </c>
      <c r="D86" s="54" t="s">
        <v>183</v>
      </c>
      <c r="E86" s="54" t="s">
        <v>116</v>
      </c>
      <c r="F86" s="55" t="n">
        <v>67451.5</v>
      </c>
      <c r="G86" s="54" t="s">
        <v>211</v>
      </c>
      <c r="H86" s="56" t="n">
        <f aca="false">VLOOKUP(E86,Treatment_Table!$B$5:$E$11,4,FALSE())</f>
        <v>0</v>
      </c>
      <c r="I86" s="57" t="n">
        <f aca="false">F86*H86</f>
        <v>0</v>
      </c>
      <c r="J86" s="57" t="n">
        <f aca="false">IF(D86="Income",F86,-F86)</f>
        <v>67451.5</v>
      </c>
    </row>
    <row r="87" customFormat="false" ht="15" hidden="false" customHeight="false" outlineLevel="0" collapsed="false">
      <c r="A87" s="54" t="s">
        <v>299</v>
      </c>
      <c r="B87" s="54" t="s">
        <v>205</v>
      </c>
      <c r="C87" s="54" t="s">
        <v>118</v>
      </c>
      <c r="D87" s="54" t="s">
        <v>183</v>
      </c>
      <c r="E87" s="54" t="s">
        <v>116</v>
      </c>
      <c r="F87" s="55" t="n">
        <v>346967.92</v>
      </c>
      <c r="G87" s="54" t="s">
        <v>211</v>
      </c>
      <c r="H87" s="56" t="n">
        <f aca="false">VLOOKUP(E87,Treatment_Table!$B$5:$E$11,4,FALSE())</f>
        <v>0</v>
      </c>
      <c r="I87" s="57" t="n">
        <f aca="false">F87*H87</f>
        <v>0</v>
      </c>
      <c r="J87" s="57" t="n">
        <f aca="false">IF(D87="Income",F87,-F87)</f>
        <v>346967.92</v>
      </c>
    </row>
    <row r="88" customFormat="false" ht="15" hidden="false" customHeight="false" outlineLevel="0" collapsed="false">
      <c r="A88" s="54" t="s">
        <v>300</v>
      </c>
      <c r="B88" s="54" t="s">
        <v>210</v>
      </c>
      <c r="C88" s="54" t="s">
        <v>119</v>
      </c>
      <c r="D88" s="54" t="s">
        <v>183</v>
      </c>
      <c r="E88" s="54" t="s">
        <v>116</v>
      </c>
      <c r="F88" s="55" t="n">
        <v>29217.11</v>
      </c>
      <c r="G88" s="54" t="s">
        <v>206</v>
      </c>
      <c r="H88" s="56" t="n">
        <f aca="false">VLOOKUP(E88,Treatment_Table!$B$5:$E$11,4,FALSE())</f>
        <v>0</v>
      </c>
      <c r="I88" s="57" t="n">
        <f aca="false">F88*H88</f>
        <v>0</v>
      </c>
      <c r="J88" s="57" t="n">
        <f aca="false">IF(D88="Income",F88,-F88)</f>
        <v>29217.11</v>
      </c>
    </row>
    <row r="89" customFormat="false" ht="15" hidden="false" customHeight="false" outlineLevel="0" collapsed="false">
      <c r="A89" s="54" t="s">
        <v>301</v>
      </c>
      <c r="B89" s="54" t="s">
        <v>247</v>
      </c>
      <c r="C89" s="54" t="s">
        <v>118</v>
      </c>
      <c r="D89" s="54" t="s">
        <v>183</v>
      </c>
      <c r="E89" s="54" t="s">
        <v>116</v>
      </c>
      <c r="F89" s="55" t="n">
        <v>280963.61</v>
      </c>
      <c r="G89" s="54" t="s">
        <v>211</v>
      </c>
      <c r="H89" s="56" t="n">
        <f aca="false">VLOOKUP(E89,Treatment_Table!$B$5:$E$11,4,FALSE())</f>
        <v>0</v>
      </c>
      <c r="I89" s="57" t="n">
        <f aca="false">F89*H89</f>
        <v>0</v>
      </c>
      <c r="J89" s="57" t="n">
        <f aca="false">IF(D89="Income",F89,-F89)</f>
        <v>280963.61</v>
      </c>
    </row>
    <row r="90" customFormat="false" ht="15" hidden="false" customHeight="false" outlineLevel="0" collapsed="false">
      <c r="A90" s="54" t="s">
        <v>302</v>
      </c>
      <c r="B90" s="54" t="s">
        <v>228</v>
      </c>
      <c r="C90" s="54" t="s">
        <v>119</v>
      </c>
      <c r="D90" s="54" t="s">
        <v>183</v>
      </c>
      <c r="E90" s="54" t="s">
        <v>116</v>
      </c>
      <c r="F90" s="55" t="n">
        <v>111506.37</v>
      </c>
      <c r="G90" s="54" t="s">
        <v>206</v>
      </c>
      <c r="H90" s="56" t="n">
        <f aca="false">VLOOKUP(E90,Treatment_Table!$B$5:$E$11,4,FALSE())</f>
        <v>0</v>
      </c>
      <c r="I90" s="57" t="n">
        <f aca="false">F90*H90</f>
        <v>0</v>
      </c>
      <c r="J90" s="57" t="n">
        <f aca="false">IF(D90="Income",F90,-F90)</f>
        <v>111506.37</v>
      </c>
    </row>
    <row r="91" customFormat="false" ht="15" hidden="false" customHeight="false" outlineLevel="0" collapsed="false">
      <c r="A91" s="54" t="s">
        <v>303</v>
      </c>
      <c r="B91" s="54" t="s">
        <v>216</v>
      </c>
      <c r="C91" s="54" t="s">
        <v>119</v>
      </c>
      <c r="D91" s="54" t="s">
        <v>183</v>
      </c>
      <c r="E91" s="54" t="s">
        <v>116</v>
      </c>
      <c r="F91" s="55" t="n">
        <v>37076.85</v>
      </c>
      <c r="G91" s="54" t="s">
        <v>206</v>
      </c>
      <c r="H91" s="56" t="n">
        <f aca="false">VLOOKUP(E91,Treatment_Table!$B$5:$E$11,4,FALSE())</f>
        <v>0</v>
      </c>
      <c r="I91" s="57" t="n">
        <f aca="false">F91*H91</f>
        <v>0</v>
      </c>
      <c r="J91" s="57" t="n">
        <f aca="false">IF(D91="Income",F91,-F91)</f>
        <v>37076.85</v>
      </c>
    </row>
    <row r="92" customFormat="false" ht="15" hidden="false" customHeight="false" outlineLevel="0" collapsed="false">
      <c r="A92" s="54" t="s">
        <v>304</v>
      </c>
      <c r="B92" s="54" t="s">
        <v>230</v>
      </c>
      <c r="C92" s="54" t="s">
        <v>119</v>
      </c>
      <c r="D92" s="54" t="s">
        <v>183</v>
      </c>
      <c r="E92" s="54" t="s">
        <v>116</v>
      </c>
      <c r="F92" s="55" t="n">
        <v>23246.89</v>
      </c>
      <c r="G92" s="54" t="s">
        <v>206</v>
      </c>
      <c r="H92" s="56" t="n">
        <f aca="false">VLOOKUP(E92,Treatment_Table!$B$5:$E$11,4,FALSE())</f>
        <v>0</v>
      </c>
      <c r="I92" s="57" t="n">
        <f aca="false">F92*H92</f>
        <v>0</v>
      </c>
      <c r="J92" s="57" t="n">
        <f aca="false">IF(D92="Income",F92,-F92)</f>
        <v>23246.89</v>
      </c>
    </row>
    <row r="93" customFormat="false" ht="15" hidden="false" customHeight="false" outlineLevel="0" collapsed="false">
      <c r="A93" s="54" t="s">
        <v>305</v>
      </c>
      <c r="B93" s="54" t="s">
        <v>208</v>
      </c>
      <c r="C93" s="54" t="s">
        <v>119</v>
      </c>
      <c r="D93" s="54" t="s">
        <v>183</v>
      </c>
      <c r="E93" s="54" t="s">
        <v>116</v>
      </c>
      <c r="F93" s="55" t="n">
        <v>233732.8</v>
      </c>
      <c r="G93" s="54" t="s">
        <v>206</v>
      </c>
      <c r="H93" s="56" t="n">
        <f aca="false">VLOOKUP(E93,Treatment_Table!$B$5:$E$11,4,FALSE())</f>
        <v>0</v>
      </c>
      <c r="I93" s="57" t="n">
        <f aca="false">F93*H93</f>
        <v>0</v>
      </c>
      <c r="J93" s="57" t="n">
        <f aca="false">IF(D93="Income",F93,-F93)</f>
        <v>233732.8</v>
      </c>
    </row>
    <row r="94" customFormat="false" ht="15" hidden="false" customHeight="false" outlineLevel="0" collapsed="false">
      <c r="A94" s="54" t="s">
        <v>306</v>
      </c>
      <c r="B94" s="54" t="s">
        <v>247</v>
      </c>
      <c r="C94" s="54" t="s">
        <v>119</v>
      </c>
      <c r="D94" s="54" t="s">
        <v>183</v>
      </c>
      <c r="E94" s="54" t="s">
        <v>116</v>
      </c>
      <c r="F94" s="55" t="n">
        <v>97274.16</v>
      </c>
      <c r="G94" s="54" t="s">
        <v>206</v>
      </c>
      <c r="H94" s="56" t="n">
        <f aca="false">VLOOKUP(E94,Treatment_Table!$B$5:$E$11,4,FALSE())</f>
        <v>0</v>
      </c>
      <c r="I94" s="57" t="n">
        <f aca="false">F94*H94</f>
        <v>0</v>
      </c>
      <c r="J94" s="57" t="n">
        <f aca="false">IF(D94="Income",F94,-F94)</f>
        <v>97274.16</v>
      </c>
    </row>
    <row r="95" customFormat="false" ht="15" hidden="false" customHeight="false" outlineLevel="0" collapsed="false">
      <c r="A95" s="54" t="s">
        <v>307</v>
      </c>
      <c r="B95" s="54" t="s">
        <v>228</v>
      </c>
      <c r="C95" s="54" t="s">
        <v>119</v>
      </c>
      <c r="D95" s="54" t="s">
        <v>183</v>
      </c>
      <c r="E95" s="54" t="s">
        <v>116</v>
      </c>
      <c r="F95" s="55" t="n">
        <v>46033.76</v>
      </c>
      <c r="G95" s="54" t="s">
        <v>206</v>
      </c>
      <c r="H95" s="56" t="n">
        <f aca="false">VLOOKUP(E95,Treatment_Table!$B$5:$E$11,4,FALSE())</f>
        <v>0</v>
      </c>
      <c r="I95" s="57" t="n">
        <f aca="false">F95*H95</f>
        <v>0</v>
      </c>
      <c r="J95" s="57" t="n">
        <f aca="false">IF(D95="Income",F95,-F95)</f>
        <v>46033.76</v>
      </c>
    </row>
    <row r="96" customFormat="false" ht="15" hidden="false" customHeight="false" outlineLevel="0" collapsed="false">
      <c r="A96" s="54" t="s">
        <v>308</v>
      </c>
      <c r="B96" s="54" t="s">
        <v>228</v>
      </c>
      <c r="C96" s="54" t="s">
        <v>118</v>
      </c>
      <c r="D96" s="54" t="s">
        <v>183</v>
      </c>
      <c r="E96" s="54" t="s">
        <v>116</v>
      </c>
      <c r="F96" s="55" t="n">
        <v>383377.86</v>
      </c>
      <c r="G96" s="54" t="s">
        <v>211</v>
      </c>
      <c r="H96" s="56" t="n">
        <f aca="false">VLOOKUP(E96,Treatment_Table!$B$5:$E$11,4,FALSE())</f>
        <v>0</v>
      </c>
      <c r="I96" s="57" t="n">
        <f aca="false">F96*H96</f>
        <v>0</v>
      </c>
      <c r="J96" s="57" t="n">
        <f aca="false">IF(D96="Income",F96,-F96)</f>
        <v>383377.86</v>
      </c>
    </row>
    <row r="97" customFormat="false" ht="15" hidden="false" customHeight="false" outlineLevel="0" collapsed="false">
      <c r="A97" s="54" t="s">
        <v>309</v>
      </c>
      <c r="B97" s="54" t="s">
        <v>230</v>
      </c>
      <c r="C97" s="54" t="s">
        <v>118</v>
      </c>
      <c r="D97" s="54" t="s">
        <v>183</v>
      </c>
      <c r="E97" s="54" t="s">
        <v>116</v>
      </c>
      <c r="F97" s="55" t="n">
        <v>218403.56</v>
      </c>
      <c r="G97" s="54" t="s">
        <v>211</v>
      </c>
      <c r="H97" s="56" t="n">
        <f aca="false">VLOOKUP(E97,Treatment_Table!$B$5:$E$11,4,FALSE())</f>
        <v>0</v>
      </c>
      <c r="I97" s="57" t="n">
        <f aca="false">F97*H97</f>
        <v>0</v>
      </c>
      <c r="J97" s="57" t="n">
        <f aca="false">IF(D97="Income",F97,-F97)</f>
        <v>218403.56</v>
      </c>
    </row>
    <row r="98" customFormat="false" ht="15" hidden="false" customHeight="false" outlineLevel="0" collapsed="false">
      <c r="A98" s="54" t="s">
        <v>310</v>
      </c>
      <c r="B98" s="54" t="s">
        <v>214</v>
      </c>
      <c r="C98" s="54" t="s">
        <v>119</v>
      </c>
      <c r="D98" s="54" t="s">
        <v>183</v>
      </c>
      <c r="E98" s="54" t="s">
        <v>116</v>
      </c>
      <c r="F98" s="55" t="n">
        <v>28079.32</v>
      </c>
      <c r="G98" s="54" t="s">
        <v>206</v>
      </c>
      <c r="H98" s="56" t="n">
        <f aca="false">VLOOKUP(E98,Treatment_Table!$B$5:$E$11,4,FALSE())</f>
        <v>0</v>
      </c>
      <c r="I98" s="57" t="n">
        <f aca="false">F98*H98</f>
        <v>0</v>
      </c>
      <c r="J98" s="57" t="n">
        <f aca="false">IF(D98="Income",F98,-F98)</f>
        <v>28079.32</v>
      </c>
    </row>
    <row r="99" customFormat="false" ht="15" hidden="false" customHeight="false" outlineLevel="0" collapsed="false">
      <c r="A99" s="54" t="s">
        <v>311</v>
      </c>
      <c r="B99" s="54" t="s">
        <v>247</v>
      </c>
      <c r="C99" s="54" t="s">
        <v>118</v>
      </c>
      <c r="D99" s="54" t="s">
        <v>183</v>
      </c>
      <c r="E99" s="54" t="s">
        <v>116</v>
      </c>
      <c r="F99" s="55" t="n">
        <v>20185.76</v>
      </c>
      <c r="G99" s="54" t="s">
        <v>211</v>
      </c>
      <c r="H99" s="56" t="n">
        <f aca="false">VLOOKUP(E99,Treatment_Table!$B$5:$E$11,4,FALSE())</f>
        <v>0</v>
      </c>
      <c r="I99" s="57" t="n">
        <f aca="false">F99*H99</f>
        <v>0</v>
      </c>
      <c r="J99" s="57" t="n">
        <f aca="false">IF(D99="Income",F99,-F99)</f>
        <v>20185.76</v>
      </c>
    </row>
    <row r="100" customFormat="false" ht="15" hidden="false" customHeight="false" outlineLevel="0" collapsed="false">
      <c r="A100" s="54" t="s">
        <v>312</v>
      </c>
      <c r="B100" s="54" t="s">
        <v>247</v>
      </c>
      <c r="C100" s="54" t="s">
        <v>118</v>
      </c>
      <c r="D100" s="54" t="s">
        <v>183</v>
      </c>
      <c r="E100" s="54" t="s">
        <v>116</v>
      </c>
      <c r="F100" s="55" t="n">
        <v>49045.72</v>
      </c>
      <c r="G100" s="54" t="s">
        <v>211</v>
      </c>
      <c r="H100" s="56" t="n">
        <f aca="false">VLOOKUP(E100,Treatment_Table!$B$5:$E$11,4,FALSE())</f>
        <v>0</v>
      </c>
      <c r="I100" s="57" t="n">
        <f aca="false">F100*H100</f>
        <v>0</v>
      </c>
      <c r="J100" s="57" t="n">
        <f aca="false">IF(D100="Income",F100,-F100)</f>
        <v>49045.72</v>
      </c>
    </row>
    <row r="101" customFormat="false" ht="15" hidden="false" customHeight="false" outlineLevel="0" collapsed="false">
      <c r="A101" s="54" t="s">
        <v>313</v>
      </c>
      <c r="B101" s="54" t="s">
        <v>243</v>
      </c>
      <c r="C101" s="54" t="s">
        <v>119</v>
      </c>
      <c r="D101" s="54" t="s">
        <v>183</v>
      </c>
      <c r="E101" s="54" t="s">
        <v>116</v>
      </c>
      <c r="F101" s="55" t="n">
        <v>48320.66</v>
      </c>
      <c r="G101" s="54" t="s">
        <v>206</v>
      </c>
      <c r="H101" s="56" t="n">
        <f aca="false">VLOOKUP(E101,Treatment_Table!$B$5:$E$11,4,FALSE())</f>
        <v>0</v>
      </c>
      <c r="I101" s="57" t="n">
        <f aca="false">F101*H101</f>
        <v>0</v>
      </c>
      <c r="J101" s="57" t="n">
        <f aca="false">IF(D101="Income",F101,-F101)</f>
        <v>48320.66</v>
      </c>
    </row>
    <row r="102" customFormat="false" ht="15" hidden="false" customHeight="false" outlineLevel="0" collapsed="false">
      <c r="A102" s="54" t="s">
        <v>314</v>
      </c>
      <c r="B102" s="54" t="s">
        <v>208</v>
      </c>
      <c r="C102" s="54" t="s">
        <v>118</v>
      </c>
      <c r="D102" s="54" t="s">
        <v>183</v>
      </c>
      <c r="E102" s="54" t="s">
        <v>116</v>
      </c>
      <c r="F102" s="55" t="n">
        <v>298624.78</v>
      </c>
      <c r="G102" s="54" t="s">
        <v>211</v>
      </c>
      <c r="H102" s="56" t="n">
        <f aca="false">VLOOKUP(E102,Treatment_Table!$B$5:$E$11,4,FALSE())</f>
        <v>0</v>
      </c>
      <c r="I102" s="57" t="n">
        <f aca="false">F102*H102</f>
        <v>0</v>
      </c>
      <c r="J102" s="57" t="n">
        <f aca="false">IF(D102="Income",F102,-F102)</f>
        <v>298624.78</v>
      </c>
    </row>
    <row r="103" customFormat="false" ht="15" hidden="false" customHeight="false" outlineLevel="0" collapsed="false">
      <c r="A103" s="54" t="s">
        <v>315</v>
      </c>
      <c r="B103" s="54" t="s">
        <v>247</v>
      </c>
      <c r="C103" s="54" t="s">
        <v>118</v>
      </c>
      <c r="D103" s="54" t="s">
        <v>183</v>
      </c>
      <c r="E103" s="54" t="s">
        <v>116</v>
      </c>
      <c r="F103" s="55" t="n">
        <v>125660.42</v>
      </c>
      <c r="G103" s="54" t="s">
        <v>211</v>
      </c>
      <c r="H103" s="56" t="n">
        <f aca="false">VLOOKUP(E103,Treatment_Table!$B$5:$E$11,4,FALSE())</f>
        <v>0</v>
      </c>
      <c r="I103" s="57" t="n">
        <f aca="false">F103*H103</f>
        <v>0</v>
      </c>
      <c r="J103" s="57" t="n">
        <f aca="false">IF(D103="Income",F103,-F103)</f>
        <v>125660.42</v>
      </c>
    </row>
    <row r="104" customFormat="false" ht="15" hidden="false" customHeight="false" outlineLevel="0" collapsed="false">
      <c r="A104" s="54" t="s">
        <v>316</v>
      </c>
      <c r="B104" s="54" t="s">
        <v>247</v>
      </c>
      <c r="C104" s="54" t="s">
        <v>118</v>
      </c>
      <c r="D104" s="54" t="s">
        <v>183</v>
      </c>
      <c r="E104" s="54" t="s">
        <v>116</v>
      </c>
      <c r="F104" s="55" t="n">
        <v>137510.46</v>
      </c>
      <c r="G104" s="54" t="s">
        <v>211</v>
      </c>
      <c r="H104" s="56" t="n">
        <f aca="false">VLOOKUP(E104,Treatment_Table!$B$5:$E$11,4,FALSE())</f>
        <v>0</v>
      </c>
      <c r="I104" s="57" t="n">
        <f aca="false">F104*H104</f>
        <v>0</v>
      </c>
      <c r="J104" s="57" t="n">
        <f aca="false">IF(D104="Income",F104,-F104)</f>
        <v>137510.46</v>
      </c>
    </row>
    <row r="105" customFormat="false" ht="15" hidden="false" customHeight="false" outlineLevel="0" collapsed="false">
      <c r="A105" s="54" t="s">
        <v>317</v>
      </c>
      <c r="B105" s="54" t="s">
        <v>228</v>
      </c>
      <c r="C105" s="54" t="s">
        <v>119</v>
      </c>
      <c r="D105" s="54" t="s">
        <v>183</v>
      </c>
      <c r="E105" s="54" t="s">
        <v>116</v>
      </c>
      <c r="F105" s="55" t="n">
        <v>23240.51</v>
      </c>
      <c r="G105" s="54" t="s">
        <v>206</v>
      </c>
      <c r="H105" s="56" t="n">
        <f aca="false">VLOOKUP(E105,Treatment_Table!$B$5:$E$11,4,FALSE())</f>
        <v>0</v>
      </c>
      <c r="I105" s="57" t="n">
        <f aca="false">F105*H105</f>
        <v>0</v>
      </c>
      <c r="J105" s="57" t="n">
        <f aca="false">IF(D105="Income",F105,-F105)</f>
        <v>23240.51</v>
      </c>
    </row>
    <row r="106" customFormat="false" ht="15" hidden="false" customHeight="false" outlineLevel="0" collapsed="false">
      <c r="A106" s="54" t="s">
        <v>318</v>
      </c>
      <c r="B106" s="54" t="s">
        <v>216</v>
      </c>
      <c r="C106" s="54" t="s">
        <v>118</v>
      </c>
      <c r="D106" s="54" t="s">
        <v>183</v>
      </c>
      <c r="E106" s="54" t="s">
        <v>116</v>
      </c>
      <c r="F106" s="55" t="n">
        <v>79332.21</v>
      </c>
      <c r="G106" s="54" t="s">
        <v>211</v>
      </c>
      <c r="H106" s="56" t="n">
        <f aca="false">VLOOKUP(E106,Treatment_Table!$B$5:$E$11,4,FALSE())</f>
        <v>0</v>
      </c>
      <c r="I106" s="57" t="n">
        <f aca="false">F106*H106</f>
        <v>0</v>
      </c>
      <c r="J106" s="57" t="n">
        <f aca="false">IF(D106="Income",F106,-F106)</f>
        <v>79332.21</v>
      </c>
    </row>
    <row r="107" customFormat="false" ht="15" hidden="false" customHeight="false" outlineLevel="0" collapsed="false">
      <c r="A107" s="54" t="s">
        <v>319</v>
      </c>
      <c r="B107" s="54" t="s">
        <v>223</v>
      </c>
      <c r="C107" s="54" t="s">
        <v>119</v>
      </c>
      <c r="D107" s="54" t="s">
        <v>183</v>
      </c>
      <c r="E107" s="54" t="s">
        <v>116</v>
      </c>
      <c r="F107" s="55" t="n">
        <v>206397.29</v>
      </c>
      <c r="G107" s="54" t="s">
        <v>206</v>
      </c>
      <c r="H107" s="56" t="n">
        <f aca="false">VLOOKUP(E107,Treatment_Table!$B$5:$E$11,4,FALSE())</f>
        <v>0</v>
      </c>
      <c r="I107" s="57" t="n">
        <f aca="false">F107*H107</f>
        <v>0</v>
      </c>
      <c r="J107" s="57" t="n">
        <f aca="false">IF(D107="Income",F107,-F107)</f>
        <v>206397.29</v>
      </c>
    </row>
    <row r="108" customFormat="false" ht="15" hidden="false" customHeight="false" outlineLevel="0" collapsed="false">
      <c r="A108" s="54" t="s">
        <v>320</v>
      </c>
      <c r="B108" s="54" t="s">
        <v>218</v>
      </c>
      <c r="C108" s="54" t="s">
        <v>119</v>
      </c>
      <c r="D108" s="54" t="s">
        <v>183</v>
      </c>
      <c r="E108" s="54" t="s">
        <v>116</v>
      </c>
      <c r="F108" s="55" t="n">
        <v>75497.49</v>
      </c>
      <c r="G108" s="54" t="s">
        <v>206</v>
      </c>
      <c r="H108" s="56" t="n">
        <f aca="false">VLOOKUP(E108,Treatment_Table!$B$5:$E$11,4,FALSE())</f>
        <v>0</v>
      </c>
      <c r="I108" s="57" t="n">
        <f aca="false">F108*H108</f>
        <v>0</v>
      </c>
      <c r="J108" s="57" t="n">
        <f aca="false">IF(D108="Income",F108,-F108)</f>
        <v>75497.49</v>
      </c>
    </row>
    <row r="109" customFormat="false" ht="15" hidden="false" customHeight="false" outlineLevel="0" collapsed="false">
      <c r="A109" s="54" t="s">
        <v>321</v>
      </c>
      <c r="B109" s="54" t="s">
        <v>210</v>
      </c>
      <c r="C109" s="54" t="s">
        <v>119</v>
      </c>
      <c r="D109" s="54" t="s">
        <v>183</v>
      </c>
      <c r="E109" s="54" t="s">
        <v>116</v>
      </c>
      <c r="F109" s="55" t="n">
        <v>89899.81</v>
      </c>
      <c r="G109" s="54" t="s">
        <v>206</v>
      </c>
      <c r="H109" s="56" t="n">
        <f aca="false">VLOOKUP(E109,Treatment_Table!$B$5:$E$11,4,FALSE())</f>
        <v>0</v>
      </c>
      <c r="I109" s="57" t="n">
        <f aca="false">F109*H109</f>
        <v>0</v>
      </c>
      <c r="J109" s="57" t="n">
        <f aca="false">IF(D109="Income",F109,-F109)</f>
        <v>89899.81</v>
      </c>
    </row>
    <row r="110" customFormat="false" ht="15" hidden="false" customHeight="false" outlineLevel="0" collapsed="false">
      <c r="A110" s="54" t="s">
        <v>322</v>
      </c>
      <c r="B110" s="54" t="s">
        <v>218</v>
      </c>
      <c r="C110" s="54" t="s">
        <v>119</v>
      </c>
      <c r="D110" s="54" t="s">
        <v>183</v>
      </c>
      <c r="E110" s="54" t="s">
        <v>116</v>
      </c>
      <c r="F110" s="55" t="n">
        <v>81548.45</v>
      </c>
      <c r="G110" s="54" t="s">
        <v>206</v>
      </c>
      <c r="H110" s="56" t="n">
        <f aca="false">VLOOKUP(E110,Treatment_Table!$B$5:$E$11,4,FALSE())</f>
        <v>0</v>
      </c>
      <c r="I110" s="57" t="n">
        <f aca="false">F110*H110</f>
        <v>0</v>
      </c>
      <c r="J110" s="57" t="n">
        <f aca="false">IF(D110="Income",F110,-F110)</f>
        <v>81548.45</v>
      </c>
    </row>
    <row r="111" customFormat="false" ht="15" hidden="false" customHeight="false" outlineLevel="0" collapsed="false">
      <c r="A111" s="54" t="s">
        <v>323</v>
      </c>
      <c r="B111" s="54" t="s">
        <v>214</v>
      </c>
      <c r="C111" s="54" t="s">
        <v>119</v>
      </c>
      <c r="D111" s="54" t="s">
        <v>183</v>
      </c>
      <c r="E111" s="54" t="s">
        <v>116</v>
      </c>
      <c r="F111" s="55" t="n">
        <v>236578.93</v>
      </c>
      <c r="G111" s="54" t="s">
        <v>206</v>
      </c>
      <c r="H111" s="56" t="n">
        <f aca="false">VLOOKUP(E111,Treatment_Table!$B$5:$E$11,4,FALSE())</f>
        <v>0</v>
      </c>
      <c r="I111" s="57" t="n">
        <f aca="false">F111*H111</f>
        <v>0</v>
      </c>
      <c r="J111" s="57" t="n">
        <f aca="false">IF(D111="Income",F111,-F111)</f>
        <v>236578.93</v>
      </c>
    </row>
    <row r="112" customFormat="false" ht="15" hidden="false" customHeight="false" outlineLevel="0" collapsed="false">
      <c r="A112" s="54" t="s">
        <v>324</v>
      </c>
      <c r="B112" s="54" t="s">
        <v>210</v>
      </c>
      <c r="C112" s="54" t="s">
        <v>119</v>
      </c>
      <c r="D112" s="54" t="s">
        <v>183</v>
      </c>
      <c r="E112" s="54" t="s">
        <v>116</v>
      </c>
      <c r="F112" s="55" t="n">
        <v>156751.01</v>
      </c>
      <c r="G112" s="54" t="s">
        <v>206</v>
      </c>
      <c r="H112" s="56" t="n">
        <f aca="false">VLOOKUP(E112,Treatment_Table!$B$5:$E$11,4,FALSE())</f>
        <v>0</v>
      </c>
      <c r="I112" s="57" t="n">
        <f aca="false">F112*H112</f>
        <v>0</v>
      </c>
      <c r="J112" s="57" t="n">
        <f aca="false">IF(D112="Income",F112,-F112)</f>
        <v>156751.01</v>
      </c>
    </row>
    <row r="113" customFormat="false" ht="15" hidden="false" customHeight="false" outlineLevel="0" collapsed="false">
      <c r="A113" s="54" t="s">
        <v>325</v>
      </c>
      <c r="B113" s="54" t="s">
        <v>205</v>
      </c>
      <c r="C113" s="54" t="s">
        <v>119</v>
      </c>
      <c r="D113" s="54" t="s">
        <v>183</v>
      </c>
      <c r="E113" s="54" t="s">
        <v>116</v>
      </c>
      <c r="F113" s="55" t="n">
        <v>53661.04</v>
      </c>
      <c r="G113" s="54" t="s">
        <v>206</v>
      </c>
      <c r="H113" s="56" t="n">
        <f aca="false">VLOOKUP(E113,Treatment_Table!$B$5:$E$11,4,FALSE())</f>
        <v>0</v>
      </c>
      <c r="I113" s="57" t="n">
        <f aca="false">F113*H113</f>
        <v>0</v>
      </c>
      <c r="J113" s="57" t="n">
        <f aca="false">IF(D113="Income",F113,-F113)</f>
        <v>53661.04</v>
      </c>
    </row>
    <row r="114" customFormat="false" ht="15" hidden="false" customHeight="false" outlineLevel="0" collapsed="false">
      <c r="A114" s="54" t="s">
        <v>326</v>
      </c>
      <c r="B114" s="54" t="s">
        <v>214</v>
      </c>
      <c r="C114" s="54" t="s">
        <v>119</v>
      </c>
      <c r="D114" s="54" t="s">
        <v>183</v>
      </c>
      <c r="E114" s="54" t="s">
        <v>116</v>
      </c>
      <c r="F114" s="55" t="n">
        <v>134420.24</v>
      </c>
      <c r="G114" s="54" t="s">
        <v>206</v>
      </c>
      <c r="H114" s="56" t="n">
        <f aca="false">VLOOKUP(E114,Treatment_Table!$B$5:$E$11,4,FALSE())</f>
        <v>0</v>
      </c>
      <c r="I114" s="57" t="n">
        <f aca="false">F114*H114</f>
        <v>0</v>
      </c>
      <c r="J114" s="57" t="n">
        <f aca="false">IF(D114="Income",F114,-F114)</f>
        <v>134420.24</v>
      </c>
    </row>
    <row r="115" customFormat="false" ht="15" hidden="false" customHeight="false" outlineLevel="0" collapsed="false">
      <c r="A115" s="54" t="s">
        <v>327</v>
      </c>
      <c r="B115" s="54" t="s">
        <v>243</v>
      </c>
      <c r="C115" s="54" t="s">
        <v>119</v>
      </c>
      <c r="D115" s="54" t="s">
        <v>183</v>
      </c>
      <c r="E115" s="54" t="s">
        <v>116</v>
      </c>
      <c r="F115" s="55" t="n">
        <v>148461.73</v>
      </c>
      <c r="G115" s="54" t="s">
        <v>206</v>
      </c>
      <c r="H115" s="56" t="n">
        <f aca="false">VLOOKUP(E115,Treatment_Table!$B$5:$E$11,4,FALSE())</f>
        <v>0</v>
      </c>
      <c r="I115" s="57" t="n">
        <f aca="false">F115*H115</f>
        <v>0</v>
      </c>
      <c r="J115" s="57" t="n">
        <f aca="false">IF(D115="Income",F115,-F115)</f>
        <v>148461.73</v>
      </c>
    </row>
    <row r="116" customFormat="false" ht="15" hidden="false" customHeight="false" outlineLevel="0" collapsed="false">
      <c r="A116" s="54" t="s">
        <v>328</v>
      </c>
      <c r="B116" s="54" t="s">
        <v>230</v>
      </c>
      <c r="C116" s="54" t="s">
        <v>119</v>
      </c>
      <c r="D116" s="54" t="s">
        <v>183</v>
      </c>
      <c r="E116" s="54" t="s">
        <v>116</v>
      </c>
      <c r="F116" s="55" t="n">
        <v>266206.23</v>
      </c>
      <c r="G116" s="54" t="s">
        <v>206</v>
      </c>
      <c r="H116" s="56" t="n">
        <f aca="false">VLOOKUP(E116,Treatment_Table!$B$5:$E$11,4,FALSE())</f>
        <v>0</v>
      </c>
      <c r="I116" s="57" t="n">
        <f aca="false">F116*H116</f>
        <v>0</v>
      </c>
      <c r="J116" s="57" t="n">
        <f aca="false">IF(D116="Income",F116,-F116)</f>
        <v>266206.23</v>
      </c>
    </row>
    <row r="117" customFormat="false" ht="15" hidden="false" customHeight="false" outlineLevel="0" collapsed="false">
      <c r="A117" s="54" t="s">
        <v>329</v>
      </c>
      <c r="B117" s="54" t="s">
        <v>247</v>
      </c>
      <c r="C117" s="54" t="s">
        <v>119</v>
      </c>
      <c r="D117" s="54" t="s">
        <v>183</v>
      </c>
      <c r="E117" s="54" t="s">
        <v>116</v>
      </c>
      <c r="F117" s="55" t="n">
        <v>22537.01</v>
      </c>
      <c r="G117" s="54" t="s">
        <v>206</v>
      </c>
      <c r="H117" s="56" t="n">
        <f aca="false">VLOOKUP(E117,Treatment_Table!$B$5:$E$11,4,FALSE())</f>
        <v>0</v>
      </c>
      <c r="I117" s="57" t="n">
        <f aca="false">F117*H117</f>
        <v>0</v>
      </c>
      <c r="J117" s="57" t="n">
        <f aca="false">IF(D117="Income",F117,-F117)</f>
        <v>22537.01</v>
      </c>
    </row>
    <row r="118" customFormat="false" ht="15" hidden="false" customHeight="false" outlineLevel="0" collapsed="false">
      <c r="A118" s="54" t="s">
        <v>330</v>
      </c>
      <c r="B118" s="54" t="s">
        <v>230</v>
      </c>
      <c r="C118" s="54" t="s">
        <v>119</v>
      </c>
      <c r="D118" s="54" t="s">
        <v>183</v>
      </c>
      <c r="E118" s="54" t="s">
        <v>116</v>
      </c>
      <c r="F118" s="55" t="n">
        <v>126694.32</v>
      </c>
      <c r="G118" s="54" t="s">
        <v>206</v>
      </c>
      <c r="H118" s="56" t="n">
        <f aca="false">VLOOKUP(E118,Treatment_Table!$B$5:$E$11,4,FALSE())</f>
        <v>0</v>
      </c>
      <c r="I118" s="57" t="n">
        <f aca="false">F118*H118</f>
        <v>0</v>
      </c>
      <c r="J118" s="57" t="n">
        <f aca="false">IF(D118="Income",F118,-F118)</f>
        <v>126694.32</v>
      </c>
    </row>
    <row r="119" customFormat="false" ht="15" hidden="false" customHeight="false" outlineLevel="0" collapsed="false">
      <c r="A119" s="54" t="s">
        <v>331</v>
      </c>
      <c r="B119" s="54" t="s">
        <v>243</v>
      </c>
      <c r="C119" s="54" t="s">
        <v>119</v>
      </c>
      <c r="D119" s="54" t="s">
        <v>183</v>
      </c>
      <c r="E119" s="54" t="s">
        <v>116</v>
      </c>
      <c r="F119" s="55" t="n">
        <v>268528.89</v>
      </c>
      <c r="G119" s="54" t="s">
        <v>206</v>
      </c>
      <c r="H119" s="56" t="n">
        <f aca="false">VLOOKUP(E119,Treatment_Table!$B$5:$E$11,4,FALSE())</f>
        <v>0</v>
      </c>
      <c r="I119" s="57" t="n">
        <f aca="false">F119*H119</f>
        <v>0</v>
      </c>
      <c r="J119" s="57" t="n">
        <f aca="false">IF(D119="Income",F119,-F119)</f>
        <v>268528.89</v>
      </c>
    </row>
    <row r="120" customFormat="false" ht="15" hidden="false" customHeight="false" outlineLevel="0" collapsed="false">
      <c r="A120" s="54" t="s">
        <v>332</v>
      </c>
      <c r="B120" s="54" t="s">
        <v>205</v>
      </c>
      <c r="C120" s="54" t="s">
        <v>119</v>
      </c>
      <c r="D120" s="54" t="s">
        <v>183</v>
      </c>
      <c r="E120" s="54" t="s">
        <v>116</v>
      </c>
      <c r="F120" s="55" t="n">
        <v>124777.45</v>
      </c>
      <c r="G120" s="54" t="s">
        <v>206</v>
      </c>
      <c r="H120" s="56" t="n">
        <f aca="false">VLOOKUP(E120,Treatment_Table!$B$5:$E$11,4,FALSE())</f>
        <v>0</v>
      </c>
      <c r="I120" s="57" t="n">
        <f aca="false">F120*H120</f>
        <v>0</v>
      </c>
      <c r="J120" s="57" t="n">
        <f aca="false">IF(D120="Income",F120,-F120)</f>
        <v>124777.45</v>
      </c>
    </row>
    <row r="121" customFormat="false" ht="15" hidden="false" customHeight="false" outlineLevel="0" collapsed="false">
      <c r="A121" s="54" t="s">
        <v>333</v>
      </c>
      <c r="B121" s="54" t="s">
        <v>205</v>
      </c>
      <c r="C121" s="54" t="s">
        <v>119</v>
      </c>
      <c r="D121" s="54" t="s">
        <v>183</v>
      </c>
      <c r="E121" s="54" t="s">
        <v>116</v>
      </c>
      <c r="F121" s="55" t="n">
        <v>108950.02</v>
      </c>
      <c r="G121" s="54" t="s">
        <v>206</v>
      </c>
      <c r="H121" s="56" t="n">
        <f aca="false">VLOOKUP(E121,Treatment_Table!$B$5:$E$11,4,FALSE())</f>
        <v>0</v>
      </c>
      <c r="I121" s="57" t="n">
        <f aca="false">F121*H121</f>
        <v>0</v>
      </c>
      <c r="J121" s="57" t="n">
        <f aca="false">IF(D121="Income",F121,-F121)</f>
        <v>108950.02</v>
      </c>
    </row>
    <row r="122" customFormat="false" ht="15" hidden="false" customHeight="false" outlineLevel="0" collapsed="false">
      <c r="A122" s="54" t="s">
        <v>334</v>
      </c>
      <c r="B122" s="54" t="s">
        <v>247</v>
      </c>
      <c r="C122" s="54" t="s">
        <v>119</v>
      </c>
      <c r="D122" s="54" t="s">
        <v>183</v>
      </c>
      <c r="E122" s="54" t="s">
        <v>116</v>
      </c>
      <c r="F122" s="55" t="n">
        <v>103075.32</v>
      </c>
      <c r="G122" s="54" t="s">
        <v>206</v>
      </c>
      <c r="H122" s="56" t="n">
        <f aca="false">VLOOKUP(E122,Treatment_Table!$B$5:$E$11,4,FALSE())</f>
        <v>0</v>
      </c>
      <c r="I122" s="57" t="n">
        <f aca="false">F122*H122</f>
        <v>0</v>
      </c>
      <c r="J122" s="57" t="n">
        <f aca="false">IF(D122="Income",F122,-F122)</f>
        <v>103075.32</v>
      </c>
    </row>
    <row r="123" customFormat="false" ht="15" hidden="false" customHeight="false" outlineLevel="0" collapsed="false">
      <c r="A123" s="54" t="s">
        <v>335</v>
      </c>
      <c r="B123" s="54" t="s">
        <v>216</v>
      </c>
      <c r="C123" s="54" t="s">
        <v>118</v>
      </c>
      <c r="D123" s="54" t="s">
        <v>183</v>
      </c>
      <c r="E123" s="54" t="s">
        <v>116</v>
      </c>
      <c r="F123" s="55" t="n">
        <v>261269.54</v>
      </c>
      <c r="G123" s="54" t="s">
        <v>211</v>
      </c>
      <c r="H123" s="56" t="n">
        <f aca="false">VLOOKUP(E123,Treatment_Table!$B$5:$E$11,4,FALSE())</f>
        <v>0</v>
      </c>
      <c r="I123" s="57" t="n">
        <f aca="false">F123*H123</f>
        <v>0</v>
      </c>
      <c r="J123" s="57" t="n">
        <f aca="false">IF(D123="Income",F123,-F123)</f>
        <v>261269.54</v>
      </c>
    </row>
    <row r="124" customFormat="false" ht="15" hidden="false" customHeight="false" outlineLevel="0" collapsed="false">
      <c r="A124" s="54" t="s">
        <v>336</v>
      </c>
      <c r="B124" s="54" t="s">
        <v>235</v>
      </c>
      <c r="C124" s="54" t="s">
        <v>118</v>
      </c>
      <c r="D124" s="54" t="s">
        <v>183</v>
      </c>
      <c r="E124" s="54" t="s">
        <v>116</v>
      </c>
      <c r="F124" s="55" t="n">
        <v>248615.03</v>
      </c>
      <c r="G124" s="54" t="s">
        <v>211</v>
      </c>
      <c r="H124" s="56" t="n">
        <f aca="false">VLOOKUP(E124,Treatment_Table!$B$5:$E$11,4,FALSE())</f>
        <v>0</v>
      </c>
      <c r="I124" s="57" t="n">
        <f aca="false">F124*H124</f>
        <v>0</v>
      </c>
      <c r="J124" s="57" t="n">
        <f aca="false">IF(D124="Income",F124,-F124)</f>
        <v>248615.03</v>
      </c>
    </row>
    <row r="125" customFormat="false" ht="15" hidden="false" customHeight="false" outlineLevel="0" collapsed="false">
      <c r="A125" s="54" t="s">
        <v>337</v>
      </c>
      <c r="B125" s="54" t="s">
        <v>208</v>
      </c>
      <c r="C125" s="54" t="s">
        <v>119</v>
      </c>
      <c r="D125" s="54" t="s">
        <v>183</v>
      </c>
      <c r="E125" s="54" t="s">
        <v>116</v>
      </c>
      <c r="F125" s="55" t="n">
        <v>72803.21</v>
      </c>
      <c r="G125" s="54" t="s">
        <v>206</v>
      </c>
      <c r="H125" s="56" t="n">
        <f aca="false">VLOOKUP(E125,Treatment_Table!$B$5:$E$11,4,FALSE())</f>
        <v>0</v>
      </c>
      <c r="I125" s="57" t="n">
        <f aca="false">F125*H125</f>
        <v>0</v>
      </c>
      <c r="J125" s="57" t="n">
        <f aca="false">IF(D125="Income",F125,-F125)</f>
        <v>72803.21</v>
      </c>
    </row>
    <row r="126" customFormat="false" ht="15" hidden="false" customHeight="false" outlineLevel="0" collapsed="false">
      <c r="A126" s="54" t="s">
        <v>338</v>
      </c>
      <c r="B126" s="54" t="s">
        <v>218</v>
      </c>
      <c r="C126" s="54" t="s">
        <v>119</v>
      </c>
      <c r="D126" s="54" t="s">
        <v>183</v>
      </c>
      <c r="E126" s="54" t="s">
        <v>116</v>
      </c>
      <c r="F126" s="55" t="n">
        <v>173294.65</v>
      </c>
      <c r="G126" s="54" t="s">
        <v>206</v>
      </c>
      <c r="H126" s="56" t="n">
        <f aca="false">VLOOKUP(E126,Treatment_Table!$B$5:$E$11,4,FALSE())</f>
        <v>0</v>
      </c>
      <c r="I126" s="57" t="n">
        <f aca="false">F126*H126</f>
        <v>0</v>
      </c>
      <c r="J126" s="57" t="n">
        <f aca="false">IF(D126="Income",F126,-F126)</f>
        <v>173294.65</v>
      </c>
    </row>
    <row r="127" customFormat="false" ht="15" hidden="false" customHeight="false" outlineLevel="0" collapsed="false">
      <c r="A127" s="54" t="s">
        <v>339</v>
      </c>
      <c r="B127" s="54" t="s">
        <v>235</v>
      </c>
      <c r="C127" s="54" t="s">
        <v>119</v>
      </c>
      <c r="D127" s="54" t="s">
        <v>183</v>
      </c>
      <c r="E127" s="54" t="s">
        <v>116</v>
      </c>
      <c r="F127" s="55" t="n">
        <v>355412.89</v>
      </c>
      <c r="G127" s="54" t="s">
        <v>206</v>
      </c>
      <c r="H127" s="56" t="n">
        <f aca="false">VLOOKUP(E127,Treatment_Table!$B$5:$E$11,4,FALSE())</f>
        <v>0</v>
      </c>
      <c r="I127" s="57" t="n">
        <f aca="false">F127*H127</f>
        <v>0</v>
      </c>
      <c r="J127" s="57" t="n">
        <f aca="false">IF(D127="Income",F127,-F127)</f>
        <v>355412.89</v>
      </c>
    </row>
    <row r="128" customFormat="false" ht="15" hidden="false" customHeight="false" outlineLevel="0" collapsed="false">
      <c r="A128" s="54" t="s">
        <v>340</v>
      </c>
      <c r="B128" s="54" t="s">
        <v>205</v>
      </c>
      <c r="C128" s="54" t="s">
        <v>118</v>
      </c>
      <c r="D128" s="54" t="s">
        <v>183</v>
      </c>
      <c r="E128" s="54" t="s">
        <v>116</v>
      </c>
      <c r="F128" s="55" t="n">
        <v>494142</v>
      </c>
      <c r="G128" s="54" t="s">
        <v>211</v>
      </c>
      <c r="H128" s="56" t="n">
        <f aca="false">VLOOKUP(E128,Treatment_Table!$B$5:$E$11,4,FALSE())</f>
        <v>0</v>
      </c>
      <c r="I128" s="57" t="n">
        <f aca="false">F128*H128</f>
        <v>0</v>
      </c>
      <c r="J128" s="57" t="n">
        <f aca="false">IF(D128="Income",F128,-F128)</f>
        <v>494142</v>
      </c>
    </row>
    <row r="129" customFormat="false" ht="15" hidden="false" customHeight="false" outlineLevel="0" collapsed="false">
      <c r="A129" s="54" t="s">
        <v>341</v>
      </c>
      <c r="B129" s="54" t="s">
        <v>230</v>
      </c>
      <c r="C129" s="54" t="s">
        <v>119</v>
      </c>
      <c r="D129" s="54" t="s">
        <v>183</v>
      </c>
      <c r="E129" s="54" t="s">
        <v>116</v>
      </c>
      <c r="F129" s="55" t="n">
        <v>38624.19</v>
      </c>
      <c r="G129" s="54" t="s">
        <v>206</v>
      </c>
      <c r="H129" s="56" t="n">
        <f aca="false">VLOOKUP(E129,Treatment_Table!$B$5:$E$11,4,FALSE())</f>
        <v>0</v>
      </c>
      <c r="I129" s="57" t="n">
        <f aca="false">F129*H129</f>
        <v>0</v>
      </c>
      <c r="J129" s="57" t="n">
        <f aca="false">IF(D129="Income",F129,-F129)</f>
        <v>38624.19</v>
      </c>
    </row>
    <row r="130" customFormat="false" ht="15" hidden="false" customHeight="false" outlineLevel="0" collapsed="false">
      <c r="A130" s="54" t="s">
        <v>342</v>
      </c>
      <c r="B130" s="54" t="s">
        <v>223</v>
      </c>
      <c r="C130" s="54" t="s">
        <v>118</v>
      </c>
      <c r="D130" s="54" t="s">
        <v>183</v>
      </c>
      <c r="E130" s="54" t="s">
        <v>116</v>
      </c>
      <c r="F130" s="55" t="n">
        <v>359270.62</v>
      </c>
      <c r="G130" s="54" t="s">
        <v>211</v>
      </c>
      <c r="H130" s="56" t="n">
        <f aca="false">VLOOKUP(E130,Treatment_Table!$B$5:$E$11,4,FALSE())</f>
        <v>0</v>
      </c>
      <c r="I130" s="57" t="n">
        <f aca="false">F130*H130</f>
        <v>0</v>
      </c>
      <c r="J130" s="57" t="n">
        <f aca="false">IF(D130="Income",F130,-F130)</f>
        <v>359270.62</v>
      </c>
    </row>
    <row r="131" customFormat="false" ht="15" hidden="false" customHeight="false" outlineLevel="0" collapsed="false">
      <c r="A131" s="54" t="s">
        <v>343</v>
      </c>
      <c r="B131" s="54" t="s">
        <v>230</v>
      </c>
      <c r="C131" s="54" t="s">
        <v>119</v>
      </c>
      <c r="D131" s="54" t="s">
        <v>183</v>
      </c>
      <c r="E131" s="54" t="s">
        <v>116</v>
      </c>
      <c r="F131" s="55" t="n">
        <v>45598.23</v>
      </c>
      <c r="G131" s="54" t="s">
        <v>206</v>
      </c>
      <c r="H131" s="56" t="n">
        <f aca="false">VLOOKUP(E131,Treatment_Table!$B$5:$E$11,4,FALSE())</f>
        <v>0</v>
      </c>
      <c r="I131" s="57" t="n">
        <f aca="false">F131*H131</f>
        <v>0</v>
      </c>
      <c r="J131" s="57" t="n">
        <f aca="false">IF(D131="Income",F131,-F131)</f>
        <v>45598.23</v>
      </c>
    </row>
    <row r="132" customFormat="false" ht="15" hidden="false" customHeight="false" outlineLevel="0" collapsed="false">
      <c r="A132" s="54" t="s">
        <v>344</v>
      </c>
      <c r="B132" s="54" t="s">
        <v>223</v>
      </c>
      <c r="C132" s="54" t="s">
        <v>119</v>
      </c>
      <c r="D132" s="54" t="s">
        <v>183</v>
      </c>
      <c r="E132" s="54" t="s">
        <v>116</v>
      </c>
      <c r="F132" s="55" t="n">
        <v>55331.55</v>
      </c>
      <c r="G132" s="54" t="s">
        <v>206</v>
      </c>
      <c r="H132" s="56" t="n">
        <f aca="false">VLOOKUP(E132,Treatment_Table!$B$5:$E$11,4,FALSE())</f>
        <v>0</v>
      </c>
      <c r="I132" s="57" t="n">
        <f aca="false">F132*H132</f>
        <v>0</v>
      </c>
      <c r="J132" s="57" t="n">
        <f aca="false">IF(D132="Income",F132,-F132)</f>
        <v>55331.55</v>
      </c>
    </row>
    <row r="133" customFormat="false" ht="15" hidden="false" customHeight="false" outlineLevel="0" collapsed="false">
      <c r="A133" s="54" t="s">
        <v>345</v>
      </c>
      <c r="B133" s="54" t="s">
        <v>214</v>
      </c>
      <c r="C133" s="54" t="s">
        <v>118</v>
      </c>
      <c r="D133" s="54" t="s">
        <v>183</v>
      </c>
      <c r="E133" s="54" t="s">
        <v>116</v>
      </c>
      <c r="F133" s="55" t="n">
        <v>229296.86</v>
      </c>
      <c r="G133" s="54" t="s">
        <v>211</v>
      </c>
      <c r="H133" s="56" t="n">
        <f aca="false">VLOOKUP(E133,Treatment_Table!$B$5:$E$11,4,FALSE())</f>
        <v>0</v>
      </c>
      <c r="I133" s="57" t="n">
        <f aca="false">F133*H133</f>
        <v>0</v>
      </c>
      <c r="J133" s="57" t="n">
        <f aca="false">IF(D133="Income",F133,-F133)</f>
        <v>229296.86</v>
      </c>
    </row>
    <row r="134" customFormat="false" ht="15" hidden="false" customHeight="false" outlineLevel="0" collapsed="false">
      <c r="A134" s="54" t="s">
        <v>346</v>
      </c>
      <c r="B134" s="54" t="s">
        <v>218</v>
      </c>
      <c r="C134" s="54" t="s">
        <v>119</v>
      </c>
      <c r="D134" s="54" t="s">
        <v>183</v>
      </c>
      <c r="E134" s="54" t="s">
        <v>116</v>
      </c>
      <c r="F134" s="55" t="n">
        <v>428300.14</v>
      </c>
      <c r="G134" s="54" t="s">
        <v>206</v>
      </c>
      <c r="H134" s="56" t="n">
        <f aca="false">VLOOKUP(E134,Treatment_Table!$B$5:$E$11,4,FALSE())</f>
        <v>0</v>
      </c>
      <c r="I134" s="57" t="n">
        <f aca="false">F134*H134</f>
        <v>0</v>
      </c>
      <c r="J134" s="57" t="n">
        <f aca="false">IF(D134="Income",F134,-F134)</f>
        <v>428300.14</v>
      </c>
    </row>
    <row r="135" customFormat="false" ht="15" hidden="false" customHeight="false" outlineLevel="0" collapsed="false">
      <c r="A135" s="54" t="s">
        <v>347</v>
      </c>
      <c r="B135" s="54" t="s">
        <v>208</v>
      </c>
      <c r="C135" s="54" t="s">
        <v>119</v>
      </c>
      <c r="D135" s="54" t="s">
        <v>183</v>
      </c>
      <c r="E135" s="54" t="s">
        <v>116</v>
      </c>
      <c r="F135" s="55" t="n">
        <v>39785.4</v>
      </c>
      <c r="G135" s="54" t="s">
        <v>206</v>
      </c>
      <c r="H135" s="56" t="n">
        <f aca="false">VLOOKUP(E135,Treatment_Table!$B$5:$E$11,4,FALSE())</f>
        <v>0</v>
      </c>
      <c r="I135" s="57" t="n">
        <f aca="false">F135*H135</f>
        <v>0</v>
      </c>
      <c r="J135" s="57" t="n">
        <f aca="false">IF(D135="Income",F135,-F135)</f>
        <v>39785.4</v>
      </c>
    </row>
    <row r="136" customFormat="false" ht="15" hidden="false" customHeight="false" outlineLevel="0" collapsed="false">
      <c r="A136" s="54" t="s">
        <v>348</v>
      </c>
      <c r="B136" s="54" t="s">
        <v>210</v>
      </c>
      <c r="C136" s="54" t="s">
        <v>118</v>
      </c>
      <c r="D136" s="54" t="s">
        <v>183</v>
      </c>
      <c r="E136" s="54" t="s">
        <v>116</v>
      </c>
      <c r="F136" s="55" t="n">
        <v>53090.03</v>
      </c>
      <c r="G136" s="54" t="s">
        <v>211</v>
      </c>
      <c r="H136" s="56" t="n">
        <f aca="false">VLOOKUP(E136,Treatment_Table!$B$5:$E$11,4,FALSE())</f>
        <v>0</v>
      </c>
      <c r="I136" s="57" t="n">
        <f aca="false">F136*H136</f>
        <v>0</v>
      </c>
      <c r="J136" s="57" t="n">
        <f aca="false">IF(D136="Income",F136,-F136)</f>
        <v>53090.03</v>
      </c>
    </row>
    <row r="137" customFormat="false" ht="15" hidden="false" customHeight="false" outlineLevel="0" collapsed="false">
      <c r="A137" s="54" t="s">
        <v>349</v>
      </c>
      <c r="B137" s="54" t="s">
        <v>228</v>
      </c>
      <c r="C137" s="54" t="s">
        <v>118</v>
      </c>
      <c r="D137" s="54" t="s">
        <v>183</v>
      </c>
      <c r="E137" s="54" t="s">
        <v>116</v>
      </c>
      <c r="F137" s="55" t="n">
        <v>122876.19</v>
      </c>
      <c r="G137" s="54" t="s">
        <v>211</v>
      </c>
      <c r="H137" s="56" t="n">
        <f aca="false">VLOOKUP(E137,Treatment_Table!$B$5:$E$11,4,FALSE())</f>
        <v>0</v>
      </c>
      <c r="I137" s="57" t="n">
        <f aca="false">F137*H137</f>
        <v>0</v>
      </c>
      <c r="J137" s="57" t="n">
        <f aca="false">IF(D137="Income",F137,-F137)</f>
        <v>122876.19</v>
      </c>
    </row>
    <row r="138" customFormat="false" ht="15" hidden="false" customHeight="false" outlineLevel="0" collapsed="false">
      <c r="A138" s="54" t="s">
        <v>350</v>
      </c>
      <c r="B138" s="54" t="s">
        <v>214</v>
      </c>
      <c r="C138" s="54" t="s">
        <v>119</v>
      </c>
      <c r="D138" s="54" t="s">
        <v>183</v>
      </c>
      <c r="E138" s="54" t="s">
        <v>116</v>
      </c>
      <c r="F138" s="55" t="n">
        <v>30310.57</v>
      </c>
      <c r="G138" s="54" t="s">
        <v>206</v>
      </c>
      <c r="H138" s="56" t="n">
        <f aca="false">VLOOKUP(E138,Treatment_Table!$B$5:$E$11,4,FALSE())</f>
        <v>0</v>
      </c>
      <c r="I138" s="57" t="n">
        <f aca="false">F138*H138</f>
        <v>0</v>
      </c>
      <c r="J138" s="57" t="n">
        <f aca="false">IF(D138="Income",F138,-F138)</f>
        <v>30310.57</v>
      </c>
    </row>
    <row r="139" customFormat="false" ht="15" hidden="false" customHeight="false" outlineLevel="0" collapsed="false">
      <c r="A139" s="54" t="s">
        <v>351</v>
      </c>
      <c r="B139" s="54" t="s">
        <v>243</v>
      </c>
      <c r="C139" s="54" t="s">
        <v>119</v>
      </c>
      <c r="D139" s="54" t="s">
        <v>183</v>
      </c>
      <c r="E139" s="54" t="s">
        <v>116</v>
      </c>
      <c r="F139" s="55" t="n">
        <v>120504.28</v>
      </c>
      <c r="G139" s="54" t="s">
        <v>206</v>
      </c>
      <c r="H139" s="56" t="n">
        <f aca="false">VLOOKUP(E139,Treatment_Table!$B$5:$E$11,4,FALSE())</f>
        <v>0</v>
      </c>
      <c r="I139" s="57" t="n">
        <f aca="false">F139*H139</f>
        <v>0</v>
      </c>
      <c r="J139" s="57" t="n">
        <f aca="false">IF(D139="Income",F139,-F139)</f>
        <v>120504.28</v>
      </c>
    </row>
    <row r="140" customFormat="false" ht="15" hidden="false" customHeight="false" outlineLevel="0" collapsed="false">
      <c r="A140" s="54" t="s">
        <v>352</v>
      </c>
      <c r="B140" s="54" t="s">
        <v>208</v>
      </c>
      <c r="C140" s="54" t="s">
        <v>119</v>
      </c>
      <c r="D140" s="54" t="s">
        <v>183</v>
      </c>
      <c r="E140" s="54" t="s">
        <v>116</v>
      </c>
      <c r="F140" s="55" t="n">
        <v>164698.66</v>
      </c>
      <c r="G140" s="54" t="s">
        <v>206</v>
      </c>
      <c r="H140" s="56" t="n">
        <f aca="false">VLOOKUP(E140,Treatment_Table!$B$5:$E$11,4,FALSE())</f>
        <v>0</v>
      </c>
      <c r="I140" s="57" t="n">
        <f aca="false">F140*H140</f>
        <v>0</v>
      </c>
      <c r="J140" s="57" t="n">
        <f aca="false">IF(D140="Income",F140,-F140)</f>
        <v>164698.66</v>
      </c>
    </row>
    <row r="141" customFormat="false" ht="15" hidden="false" customHeight="false" outlineLevel="0" collapsed="false">
      <c r="A141" s="54" t="s">
        <v>353</v>
      </c>
      <c r="B141" s="54" t="s">
        <v>230</v>
      </c>
      <c r="C141" s="54" t="s">
        <v>119</v>
      </c>
      <c r="D141" s="54" t="s">
        <v>183</v>
      </c>
      <c r="E141" s="54" t="s">
        <v>116</v>
      </c>
      <c r="F141" s="55" t="n">
        <v>170883.99</v>
      </c>
      <c r="G141" s="54" t="s">
        <v>206</v>
      </c>
      <c r="H141" s="56" t="n">
        <f aca="false">VLOOKUP(E141,Treatment_Table!$B$5:$E$11,4,FALSE())</f>
        <v>0</v>
      </c>
      <c r="I141" s="57" t="n">
        <f aca="false">F141*H141</f>
        <v>0</v>
      </c>
      <c r="J141" s="57" t="n">
        <f aca="false">IF(D141="Income",F141,-F141)</f>
        <v>170883.99</v>
      </c>
    </row>
    <row r="142" customFormat="false" ht="15" hidden="false" customHeight="false" outlineLevel="0" collapsed="false">
      <c r="A142" s="54" t="s">
        <v>354</v>
      </c>
      <c r="B142" s="54" t="s">
        <v>230</v>
      </c>
      <c r="C142" s="54" t="s">
        <v>118</v>
      </c>
      <c r="D142" s="54" t="s">
        <v>183</v>
      </c>
      <c r="E142" s="54" t="s">
        <v>116</v>
      </c>
      <c r="F142" s="55" t="n">
        <v>235758.68</v>
      </c>
      <c r="G142" s="54" t="s">
        <v>211</v>
      </c>
      <c r="H142" s="56" t="n">
        <f aca="false">VLOOKUP(E142,Treatment_Table!$B$5:$E$11,4,FALSE())</f>
        <v>0</v>
      </c>
      <c r="I142" s="57" t="n">
        <f aca="false">F142*H142</f>
        <v>0</v>
      </c>
      <c r="J142" s="57" t="n">
        <f aca="false">IF(D142="Income",F142,-F142)</f>
        <v>235758.68</v>
      </c>
    </row>
    <row r="143" customFormat="false" ht="15" hidden="false" customHeight="false" outlineLevel="0" collapsed="false">
      <c r="A143" s="54" t="s">
        <v>355</v>
      </c>
      <c r="B143" s="54" t="s">
        <v>247</v>
      </c>
      <c r="C143" s="54" t="s">
        <v>118</v>
      </c>
      <c r="D143" s="54" t="s">
        <v>183</v>
      </c>
      <c r="E143" s="54" t="s">
        <v>116</v>
      </c>
      <c r="F143" s="55" t="n">
        <v>311085.88</v>
      </c>
      <c r="G143" s="54" t="s">
        <v>211</v>
      </c>
      <c r="H143" s="56" t="n">
        <f aca="false">VLOOKUP(E143,Treatment_Table!$B$5:$E$11,4,FALSE())</f>
        <v>0</v>
      </c>
      <c r="I143" s="57" t="n">
        <f aca="false">F143*H143</f>
        <v>0</v>
      </c>
      <c r="J143" s="57" t="n">
        <f aca="false">IF(D143="Income",F143,-F143)</f>
        <v>311085.88</v>
      </c>
    </row>
    <row r="144" customFormat="false" ht="15" hidden="false" customHeight="false" outlineLevel="0" collapsed="false">
      <c r="A144" s="54" t="s">
        <v>356</v>
      </c>
      <c r="B144" s="54" t="s">
        <v>208</v>
      </c>
      <c r="C144" s="54" t="s">
        <v>119</v>
      </c>
      <c r="D144" s="54" t="s">
        <v>183</v>
      </c>
      <c r="E144" s="54" t="s">
        <v>116</v>
      </c>
      <c r="F144" s="55" t="n">
        <v>194774.01</v>
      </c>
      <c r="G144" s="54" t="s">
        <v>206</v>
      </c>
      <c r="H144" s="56" t="n">
        <f aca="false">VLOOKUP(E144,Treatment_Table!$B$5:$E$11,4,FALSE())</f>
        <v>0</v>
      </c>
      <c r="I144" s="57" t="n">
        <f aca="false">F144*H144</f>
        <v>0</v>
      </c>
      <c r="J144" s="57" t="n">
        <f aca="false">IF(D144="Income",F144,-F144)</f>
        <v>194774.01</v>
      </c>
    </row>
    <row r="145" customFormat="false" ht="15" hidden="false" customHeight="false" outlineLevel="0" collapsed="false">
      <c r="A145" s="54" t="s">
        <v>357</v>
      </c>
      <c r="B145" s="54" t="s">
        <v>214</v>
      </c>
      <c r="C145" s="54" t="s">
        <v>118</v>
      </c>
      <c r="D145" s="54" t="s">
        <v>183</v>
      </c>
      <c r="E145" s="54" t="s">
        <v>116</v>
      </c>
      <c r="F145" s="55" t="n">
        <v>548582.04</v>
      </c>
      <c r="G145" s="54" t="s">
        <v>211</v>
      </c>
      <c r="H145" s="56" t="n">
        <f aca="false">VLOOKUP(E145,Treatment_Table!$B$5:$E$11,4,FALSE())</f>
        <v>0</v>
      </c>
      <c r="I145" s="57" t="n">
        <f aca="false">F145*H145</f>
        <v>0</v>
      </c>
      <c r="J145" s="57" t="n">
        <f aca="false">IF(D145="Income",F145,-F145)</f>
        <v>548582.04</v>
      </c>
    </row>
    <row r="146" customFormat="false" ht="15" hidden="false" customHeight="false" outlineLevel="0" collapsed="false">
      <c r="A146" s="54" t="s">
        <v>358</v>
      </c>
      <c r="B146" s="54" t="s">
        <v>210</v>
      </c>
      <c r="C146" s="54" t="s">
        <v>119</v>
      </c>
      <c r="D146" s="54" t="s">
        <v>183</v>
      </c>
      <c r="E146" s="54" t="s">
        <v>116</v>
      </c>
      <c r="F146" s="55" t="n">
        <v>46213.27</v>
      </c>
      <c r="G146" s="54" t="s">
        <v>206</v>
      </c>
      <c r="H146" s="56" t="n">
        <f aca="false">VLOOKUP(E146,Treatment_Table!$B$5:$E$11,4,FALSE())</f>
        <v>0</v>
      </c>
      <c r="I146" s="57" t="n">
        <f aca="false">F146*H146</f>
        <v>0</v>
      </c>
      <c r="J146" s="57" t="n">
        <f aca="false">IF(D146="Income",F146,-F146)</f>
        <v>46213.27</v>
      </c>
    </row>
    <row r="147" customFormat="false" ht="15" hidden="false" customHeight="false" outlineLevel="0" collapsed="false">
      <c r="A147" s="54" t="s">
        <v>359</v>
      </c>
      <c r="B147" s="54" t="s">
        <v>205</v>
      </c>
      <c r="C147" s="54" t="s">
        <v>119</v>
      </c>
      <c r="D147" s="54" t="s">
        <v>183</v>
      </c>
      <c r="E147" s="54" t="s">
        <v>116</v>
      </c>
      <c r="F147" s="55" t="n">
        <v>75590.96</v>
      </c>
      <c r="G147" s="54" t="s">
        <v>206</v>
      </c>
      <c r="H147" s="56" t="n">
        <f aca="false">VLOOKUP(E147,Treatment_Table!$B$5:$E$11,4,FALSE())</f>
        <v>0</v>
      </c>
      <c r="I147" s="57" t="n">
        <f aca="false">F147*H147</f>
        <v>0</v>
      </c>
      <c r="J147" s="57" t="n">
        <f aca="false">IF(D147="Income",F147,-F147)</f>
        <v>75590.96</v>
      </c>
    </row>
    <row r="148" customFormat="false" ht="15" hidden="false" customHeight="false" outlineLevel="0" collapsed="false">
      <c r="A148" s="54" t="s">
        <v>360</v>
      </c>
      <c r="B148" s="54" t="s">
        <v>216</v>
      </c>
      <c r="C148" s="54" t="s">
        <v>118</v>
      </c>
      <c r="D148" s="54" t="s">
        <v>183</v>
      </c>
      <c r="E148" s="54" t="s">
        <v>116</v>
      </c>
      <c r="F148" s="55" t="n">
        <v>74346.91</v>
      </c>
      <c r="G148" s="54" t="s">
        <v>211</v>
      </c>
      <c r="H148" s="56" t="n">
        <f aca="false">VLOOKUP(E148,Treatment_Table!$B$5:$E$11,4,FALSE())</f>
        <v>0</v>
      </c>
      <c r="I148" s="57" t="n">
        <f aca="false">F148*H148</f>
        <v>0</v>
      </c>
      <c r="J148" s="57" t="n">
        <f aca="false">IF(D148="Income",F148,-F148)</f>
        <v>74346.91</v>
      </c>
    </row>
    <row r="149" customFormat="false" ht="15" hidden="false" customHeight="false" outlineLevel="0" collapsed="false">
      <c r="A149" s="54" t="s">
        <v>361</v>
      </c>
      <c r="B149" s="54" t="s">
        <v>235</v>
      </c>
      <c r="C149" s="54" t="s">
        <v>119</v>
      </c>
      <c r="D149" s="54" t="s">
        <v>183</v>
      </c>
      <c r="E149" s="54" t="s">
        <v>116</v>
      </c>
      <c r="F149" s="55" t="n">
        <v>74500.11</v>
      </c>
      <c r="G149" s="54" t="s">
        <v>206</v>
      </c>
      <c r="H149" s="56" t="n">
        <f aca="false">VLOOKUP(E149,Treatment_Table!$B$5:$E$11,4,FALSE())</f>
        <v>0</v>
      </c>
      <c r="I149" s="57" t="n">
        <f aca="false">F149*H149</f>
        <v>0</v>
      </c>
      <c r="J149" s="57" t="n">
        <f aca="false">IF(D149="Income",F149,-F149)</f>
        <v>74500.11</v>
      </c>
    </row>
    <row r="150" customFormat="false" ht="15" hidden="false" customHeight="false" outlineLevel="0" collapsed="false">
      <c r="A150" s="54" t="s">
        <v>362</v>
      </c>
      <c r="B150" s="54" t="s">
        <v>205</v>
      </c>
      <c r="C150" s="54" t="s">
        <v>119</v>
      </c>
      <c r="D150" s="54" t="s">
        <v>183</v>
      </c>
      <c r="E150" s="54" t="s">
        <v>116</v>
      </c>
      <c r="F150" s="55" t="n">
        <v>405949.81</v>
      </c>
      <c r="G150" s="54" t="s">
        <v>206</v>
      </c>
      <c r="H150" s="56" t="n">
        <f aca="false">VLOOKUP(E150,Treatment_Table!$B$5:$E$11,4,FALSE())</f>
        <v>0</v>
      </c>
      <c r="I150" s="57" t="n">
        <f aca="false">F150*H150</f>
        <v>0</v>
      </c>
      <c r="J150" s="57" t="n">
        <f aca="false">IF(D150="Income",F150,-F150)</f>
        <v>405949.81</v>
      </c>
    </row>
    <row r="151" customFormat="false" ht="15" hidden="false" customHeight="false" outlineLevel="0" collapsed="false">
      <c r="A151" s="54" t="s">
        <v>363</v>
      </c>
      <c r="B151" s="54" t="s">
        <v>230</v>
      </c>
      <c r="C151" s="54" t="s">
        <v>118</v>
      </c>
      <c r="D151" s="54" t="s">
        <v>183</v>
      </c>
      <c r="E151" s="54" t="s">
        <v>116</v>
      </c>
      <c r="F151" s="55" t="n">
        <v>146778.05</v>
      </c>
      <c r="G151" s="54" t="s">
        <v>211</v>
      </c>
      <c r="H151" s="56" t="n">
        <f aca="false">VLOOKUP(E151,Treatment_Table!$B$5:$E$11,4,FALSE())</f>
        <v>0</v>
      </c>
      <c r="I151" s="57" t="n">
        <f aca="false">F151*H151</f>
        <v>0</v>
      </c>
      <c r="J151" s="57" t="n">
        <f aca="false">IF(D151="Income",F151,-F151)</f>
        <v>146778.05</v>
      </c>
    </row>
    <row r="152" customFormat="false" ht="15" hidden="false" customHeight="false" outlineLevel="0" collapsed="false">
      <c r="A152" s="54" t="s">
        <v>364</v>
      </c>
      <c r="B152" s="54" t="s">
        <v>214</v>
      </c>
      <c r="C152" s="54" t="s">
        <v>119</v>
      </c>
      <c r="D152" s="54" t="s">
        <v>183</v>
      </c>
      <c r="E152" s="54" t="s">
        <v>116</v>
      </c>
      <c r="F152" s="55" t="n">
        <v>103432.82</v>
      </c>
      <c r="G152" s="54" t="s">
        <v>206</v>
      </c>
      <c r="H152" s="56" t="n">
        <f aca="false">VLOOKUP(E152,Treatment_Table!$B$5:$E$11,4,FALSE())</f>
        <v>0</v>
      </c>
      <c r="I152" s="57" t="n">
        <f aca="false">F152*H152</f>
        <v>0</v>
      </c>
      <c r="J152" s="57" t="n">
        <f aca="false">IF(D152="Income",F152,-F152)</f>
        <v>103432.82</v>
      </c>
    </row>
    <row r="153" customFormat="false" ht="15" hidden="false" customHeight="false" outlineLevel="0" collapsed="false">
      <c r="A153" s="54" t="s">
        <v>365</v>
      </c>
      <c r="B153" s="54" t="s">
        <v>218</v>
      </c>
      <c r="C153" s="54" t="s">
        <v>119</v>
      </c>
      <c r="D153" s="54" t="s">
        <v>183</v>
      </c>
      <c r="E153" s="54" t="s">
        <v>116</v>
      </c>
      <c r="F153" s="55" t="n">
        <v>25999.29</v>
      </c>
      <c r="G153" s="54" t="s">
        <v>206</v>
      </c>
      <c r="H153" s="56" t="n">
        <f aca="false">VLOOKUP(E153,Treatment_Table!$B$5:$E$11,4,FALSE())</f>
        <v>0</v>
      </c>
      <c r="I153" s="57" t="n">
        <f aca="false">F153*H153</f>
        <v>0</v>
      </c>
      <c r="J153" s="57" t="n">
        <f aca="false">IF(D153="Income",F153,-F153)</f>
        <v>25999.29</v>
      </c>
    </row>
    <row r="154" customFormat="false" ht="15" hidden="false" customHeight="false" outlineLevel="0" collapsed="false">
      <c r="A154" s="54" t="s">
        <v>366</v>
      </c>
      <c r="B154" s="54" t="s">
        <v>218</v>
      </c>
      <c r="C154" s="54" t="s">
        <v>119</v>
      </c>
      <c r="D154" s="54" t="s">
        <v>183</v>
      </c>
      <c r="E154" s="54" t="s">
        <v>116</v>
      </c>
      <c r="F154" s="55" t="n">
        <v>365227.26</v>
      </c>
      <c r="G154" s="54" t="s">
        <v>206</v>
      </c>
      <c r="H154" s="56" t="n">
        <f aca="false">VLOOKUP(E154,Treatment_Table!$B$5:$E$11,4,FALSE())</f>
        <v>0</v>
      </c>
      <c r="I154" s="57" t="n">
        <f aca="false">F154*H154</f>
        <v>0</v>
      </c>
      <c r="J154" s="57" t="n">
        <f aca="false">IF(D154="Income",F154,-F154)</f>
        <v>365227.26</v>
      </c>
    </row>
    <row r="155" customFormat="false" ht="15" hidden="false" customHeight="false" outlineLevel="0" collapsed="false">
      <c r="A155" s="54" t="s">
        <v>367</v>
      </c>
      <c r="B155" s="54" t="s">
        <v>223</v>
      </c>
      <c r="C155" s="54" t="s">
        <v>119</v>
      </c>
      <c r="D155" s="54" t="s">
        <v>183</v>
      </c>
      <c r="E155" s="54" t="s">
        <v>116</v>
      </c>
      <c r="F155" s="55" t="n">
        <v>47285</v>
      </c>
      <c r="G155" s="54" t="s">
        <v>206</v>
      </c>
      <c r="H155" s="56" t="n">
        <f aca="false">VLOOKUP(E155,Treatment_Table!$B$5:$E$11,4,FALSE())</f>
        <v>0</v>
      </c>
      <c r="I155" s="57" t="n">
        <f aca="false">F155*H155</f>
        <v>0</v>
      </c>
      <c r="J155" s="57" t="n">
        <f aca="false">IF(D155="Income",F155,-F155)</f>
        <v>47285</v>
      </c>
    </row>
    <row r="156" customFormat="false" ht="15" hidden="false" customHeight="false" outlineLevel="0" collapsed="false">
      <c r="A156" s="54" t="s">
        <v>368</v>
      </c>
      <c r="B156" s="54" t="s">
        <v>230</v>
      </c>
      <c r="C156" s="54" t="s">
        <v>119</v>
      </c>
      <c r="D156" s="54" t="s">
        <v>183</v>
      </c>
      <c r="E156" s="54" t="s">
        <v>116</v>
      </c>
      <c r="F156" s="55" t="n">
        <v>67670.59</v>
      </c>
      <c r="G156" s="54" t="s">
        <v>206</v>
      </c>
      <c r="H156" s="56" t="n">
        <f aca="false">VLOOKUP(E156,Treatment_Table!$B$5:$E$11,4,FALSE())</f>
        <v>0</v>
      </c>
      <c r="I156" s="57" t="n">
        <f aca="false">F156*H156</f>
        <v>0</v>
      </c>
      <c r="J156" s="57" t="n">
        <f aca="false">IF(D156="Income",F156,-F156)</f>
        <v>67670.59</v>
      </c>
    </row>
    <row r="157" customFormat="false" ht="15" hidden="false" customHeight="false" outlineLevel="0" collapsed="false">
      <c r="A157" s="54" t="s">
        <v>369</v>
      </c>
      <c r="B157" s="54" t="s">
        <v>216</v>
      </c>
      <c r="C157" s="54" t="s">
        <v>118</v>
      </c>
      <c r="D157" s="54" t="s">
        <v>183</v>
      </c>
      <c r="E157" s="54" t="s">
        <v>116</v>
      </c>
      <c r="F157" s="55" t="n">
        <v>80205.53</v>
      </c>
      <c r="G157" s="54" t="s">
        <v>211</v>
      </c>
      <c r="H157" s="56" t="n">
        <f aca="false">VLOOKUP(E157,Treatment_Table!$B$5:$E$11,4,FALSE())</f>
        <v>0</v>
      </c>
      <c r="I157" s="57" t="n">
        <f aca="false">F157*H157</f>
        <v>0</v>
      </c>
      <c r="J157" s="57" t="n">
        <f aca="false">IF(D157="Income",F157,-F157)</f>
        <v>80205.53</v>
      </c>
    </row>
    <row r="158" customFormat="false" ht="15" hidden="false" customHeight="false" outlineLevel="0" collapsed="false">
      <c r="A158" s="54" t="s">
        <v>370</v>
      </c>
      <c r="B158" s="54" t="s">
        <v>223</v>
      </c>
      <c r="C158" s="54" t="s">
        <v>119</v>
      </c>
      <c r="D158" s="54" t="s">
        <v>183</v>
      </c>
      <c r="E158" s="54" t="s">
        <v>116</v>
      </c>
      <c r="F158" s="55" t="n">
        <v>337679.45</v>
      </c>
      <c r="G158" s="54" t="s">
        <v>206</v>
      </c>
      <c r="H158" s="56" t="n">
        <f aca="false">VLOOKUP(E158,Treatment_Table!$B$5:$E$11,4,FALSE())</f>
        <v>0</v>
      </c>
      <c r="I158" s="57" t="n">
        <f aca="false">F158*H158</f>
        <v>0</v>
      </c>
      <c r="J158" s="57" t="n">
        <f aca="false">IF(D158="Income",F158,-F158)</f>
        <v>337679.45</v>
      </c>
    </row>
    <row r="159" customFormat="false" ht="15" hidden="false" customHeight="false" outlineLevel="0" collapsed="false">
      <c r="A159" s="54" t="s">
        <v>371</v>
      </c>
      <c r="B159" s="54" t="s">
        <v>243</v>
      </c>
      <c r="C159" s="54" t="s">
        <v>118</v>
      </c>
      <c r="D159" s="54" t="s">
        <v>183</v>
      </c>
      <c r="E159" s="54" t="s">
        <v>116</v>
      </c>
      <c r="F159" s="55" t="n">
        <v>498102.23</v>
      </c>
      <c r="G159" s="54" t="s">
        <v>211</v>
      </c>
      <c r="H159" s="56" t="n">
        <f aca="false">VLOOKUP(E159,Treatment_Table!$B$5:$E$11,4,FALSE())</f>
        <v>0</v>
      </c>
      <c r="I159" s="57" t="n">
        <f aca="false">F159*H159</f>
        <v>0</v>
      </c>
      <c r="J159" s="57" t="n">
        <f aca="false">IF(D159="Income",F159,-F159)</f>
        <v>498102.23</v>
      </c>
    </row>
    <row r="160" customFormat="false" ht="15" hidden="false" customHeight="false" outlineLevel="0" collapsed="false">
      <c r="A160" s="54" t="s">
        <v>372</v>
      </c>
      <c r="B160" s="54" t="s">
        <v>214</v>
      </c>
      <c r="C160" s="54" t="s">
        <v>119</v>
      </c>
      <c r="D160" s="54" t="s">
        <v>183</v>
      </c>
      <c r="E160" s="54" t="s">
        <v>116</v>
      </c>
      <c r="F160" s="55" t="n">
        <v>110645.64</v>
      </c>
      <c r="G160" s="54" t="s">
        <v>206</v>
      </c>
      <c r="H160" s="56" t="n">
        <f aca="false">VLOOKUP(E160,Treatment_Table!$B$5:$E$11,4,FALSE())</f>
        <v>0</v>
      </c>
      <c r="I160" s="57" t="n">
        <f aca="false">F160*H160</f>
        <v>0</v>
      </c>
      <c r="J160" s="57" t="n">
        <f aca="false">IF(D160="Income",F160,-F160)</f>
        <v>110645.64</v>
      </c>
    </row>
    <row r="161" customFormat="false" ht="15" hidden="false" customHeight="false" outlineLevel="0" collapsed="false">
      <c r="A161" s="54" t="s">
        <v>373</v>
      </c>
      <c r="B161" s="54" t="s">
        <v>223</v>
      </c>
      <c r="C161" s="54" t="s">
        <v>119</v>
      </c>
      <c r="D161" s="54" t="s">
        <v>183</v>
      </c>
      <c r="E161" s="54" t="s">
        <v>116</v>
      </c>
      <c r="F161" s="55" t="n">
        <v>117991.88</v>
      </c>
      <c r="G161" s="54" t="s">
        <v>206</v>
      </c>
      <c r="H161" s="56" t="n">
        <f aca="false">VLOOKUP(E161,Treatment_Table!$B$5:$E$11,4,FALSE())</f>
        <v>0</v>
      </c>
      <c r="I161" s="57" t="n">
        <f aca="false">F161*H161</f>
        <v>0</v>
      </c>
      <c r="J161" s="57" t="n">
        <f aca="false">IF(D161="Income",F161,-F161)</f>
        <v>117991.88</v>
      </c>
    </row>
    <row r="162" customFormat="false" ht="15" hidden="false" customHeight="false" outlineLevel="0" collapsed="false">
      <c r="A162" s="54" t="s">
        <v>374</v>
      </c>
      <c r="B162" s="54" t="s">
        <v>205</v>
      </c>
      <c r="C162" s="54" t="s">
        <v>119</v>
      </c>
      <c r="D162" s="54" t="s">
        <v>183</v>
      </c>
      <c r="E162" s="54" t="s">
        <v>116</v>
      </c>
      <c r="F162" s="55" t="n">
        <v>37165.87</v>
      </c>
      <c r="G162" s="54" t="s">
        <v>206</v>
      </c>
      <c r="H162" s="56" t="n">
        <f aca="false">VLOOKUP(E162,Treatment_Table!$B$5:$E$11,4,FALSE())</f>
        <v>0</v>
      </c>
      <c r="I162" s="57" t="n">
        <f aca="false">F162*H162</f>
        <v>0</v>
      </c>
      <c r="J162" s="57" t="n">
        <f aca="false">IF(D162="Income",F162,-F162)</f>
        <v>37165.87</v>
      </c>
    </row>
    <row r="163" customFormat="false" ht="15" hidden="false" customHeight="false" outlineLevel="0" collapsed="false">
      <c r="A163" s="54" t="s">
        <v>375</v>
      </c>
      <c r="B163" s="54" t="s">
        <v>216</v>
      </c>
      <c r="C163" s="54" t="s">
        <v>119</v>
      </c>
      <c r="D163" s="54" t="s">
        <v>183</v>
      </c>
      <c r="E163" s="54" t="s">
        <v>116</v>
      </c>
      <c r="F163" s="55" t="n">
        <v>320661.46</v>
      </c>
      <c r="G163" s="54" t="s">
        <v>206</v>
      </c>
      <c r="H163" s="56" t="n">
        <f aca="false">VLOOKUP(E163,Treatment_Table!$B$5:$E$11,4,FALSE())</f>
        <v>0</v>
      </c>
      <c r="I163" s="57" t="n">
        <f aca="false">F163*H163</f>
        <v>0</v>
      </c>
      <c r="J163" s="57" t="n">
        <f aca="false">IF(D163="Income",F163,-F163)</f>
        <v>320661.46</v>
      </c>
    </row>
    <row r="164" customFormat="false" ht="15" hidden="false" customHeight="false" outlineLevel="0" collapsed="false">
      <c r="A164" s="54" t="s">
        <v>376</v>
      </c>
      <c r="B164" s="54" t="s">
        <v>228</v>
      </c>
      <c r="C164" s="54" t="s">
        <v>119</v>
      </c>
      <c r="D164" s="54" t="s">
        <v>183</v>
      </c>
      <c r="E164" s="54" t="s">
        <v>116</v>
      </c>
      <c r="F164" s="55" t="n">
        <v>837808.84</v>
      </c>
      <c r="G164" s="54" t="s">
        <v>206</v>
      </c>
      <c r="H164" s="56" t="n">
        <f aca="false">VLOOKUP(E164,Treatment_Table!$B$5:$E$11,4,FALSE())</f>
        <v>0</v>
      </c>
      <c r="I164" s="57" t="n">
        <f aca="false">F164*H164</f>
        <v>0</v>
      </c>
      <c r="J164" s="57" t="n">
        <f aca="false">IF(D164="Income",F164,-F164)</f>
        <v>837808.84</v>
      </c>
    </row>
    <row r="165" customFormat="false" ht="15" hidden="false" customHeight="false" outlineLevel="0" collapsed="false">
      <c r="A165" s="54" t="s">
        <v>377</v>
      </c>
      <c r="B165" s="54" t="s">
        <v>228</v>
      </c>
      <c r="C165" s="54" t="s">
        <v>118</v>
      </c>
      <c r="D165" s="54" t="s">
        <v>183</v>
      </c>
      <c r="E165" s="54" t="s">
        <v>116</v>
      </c>
      <c r="F165" s="55" t="n">
        <v>981655.87</v>
      </c>
      <c r="G165" s="54" t="s">
        <v>211</v>
      </c>
      <c r="H165" s="56" t="n">
        <f aca="false">VLOOKUP(E165,Treatment_Table!$B$5:$E$11,4,FALSE())</f>
        <v>0</v>
      </c>
      <c r="I165" s="57" t="n">
        <f aca="false">F165*H165</f>
        <v>0</v>
      </c>
      <c r="J165" s="57" t="n">
        <f aca="false">IF(D165="Income",F165,-F165)</f>
        <v>981655.87</v>
      </c>
    </row>
    <row r="166" customFormat="false" ht="15" hidden="false" customHeight="false" outlineLevel="0" collapsed="false">
      <c r="A166" s="54" t="s">
        <v>378</v>
      </c>
      <c r="B166" s="54" t="s">
        <v>218</v>
      </c>
      <c r="C166" s="54" t="s">
        <v>119</v>
      </c>
      <c r="D166" s="54" t="s">
        <v>183</v>
      </c>
      <c r="E166" s="54" t="s">
        <v>116</v>
      </c>
      <c r="F166" s="55" t="n">
        <v>151534.17</v>
      </c>
      <c r="G166" s="54" t="s">
        <v>206</v>
      </c>
      <c r="H166" s="56" t="n">
        <f aca="false">VLOOKUP(E166,Treatment_Table!$B$5:$E$11,4,FALSE())</f>
        <v>0</v>
      </c>
      <c r="I166" s="57" t="n">
        <f aca="false">F166*H166</f>
        <v>0</v>
      </c>
      <c r="J166" s="57" t="n">
        <f aca="false">IF(D166="Income",F166,-F166)</f>
        <v>151534.17</v>
      </c>
    </row>
    <row r="167" customFormat="false" ht="15" hidden="false" customHeight="false" outlineLevel="0" collapsed="false">
      <c r="A167" s="54" t="s">
        <v>379</v>
      </c>
      <c r="B167" s="54" t="s">
        <v>247</v>
      </c>
      <c r="C167" s="54" t="s">
        <v>119</v>
      </c>
      <c r="D167" s="54" t="s">
        <v>183</v>
      </c>
      <c r="E167" s="54" t="s">
        <v>116</v>
      </c>
      <c r="F167" s="55" t="n">
        <v>76150.11</v>
      </c>
      <c r="G167" s="54" t="s">
        <v>206</v>
      </c>
      <c r="H167" s="56" t="n">
        <f aca="false">VLOOKUP(E167,Treatment_Table!$B$5:$E$11,4,FALSE())</f>
        <v>0</v>
      </c>
      <c r="I167" s="57" t="n">
        <f aca="false">F167*H167</f>
        <v>0</v>
      </c>
      <c r="J167" s="57" t="n">
        <f aca="false">IF(D167="Income",F167,-F167)</f>
        <v>76150.11</v>
      </c>
    </row>
    <row r="168" customFormat="false" ht="15" hidden="false" customHeight="false" outlineLevel="0" collapsed="false">
      <c r="A168" s="54" t="s">
        <v>380</v>
      </c>
      <c r="B168" s="54" t="s">
        <v>205</v>
      </c>
      <c r="C168" s="54" t="s">
        <v>119</v>
      </c>
      <c r="D168" s="54" t="s">
        <v>183</v>
      </c>
      <c r="E168" s="54" t="s">
        <v>116</v>
      </c>
      <c r="F168" s="55" t="n">
        <v>163638.25</v>
      </c>
      <c r="G168" s="54" t="s">
        <v>206</v>
      </c>
      <c r="H168" s="56" t="n">
        <f aca="false">VLOOKUP(E168,Treatment_Table!$B$5:$E$11,4,FALSE())</f>
        <v>0</v>
      </c>
      <c r="I168" s="57" t="n">
        <f aca="false">F168*H168</f>
        <v>0</v>
      </c>
      <c r="J168" s="57" t="n">
        <f aca="false">IF(D168="Income",F168,-F168)</f>
        <v>163638.25</v>
      </c>
    </row>
    <row r="169" customFormat="false" ht="15" hidden="false" customHeight="false" outlineLevel="0" collapsed="false">
      <c r="A169" s="54" t="s">
        <v>381</v>
      </c>
      <c r="B169" s="54" t="s">
        <v>205</v>
      </c>
      <c r="C169" s="54" t="s">
        <v>119</v>
      </c>
      <c r="D169" s="54" t="s">
        <v>183</v>
      </c>
      <c r="E169" s="54" t="s">
        <v>116</v>
      </c>
      <c r="F169" s="55" t="n">
        <v>79509.17</v>
      </c>
      <c r="G169" s="54" t="s">
        <v>206</v>
      </c>
      <c r="H169" s="56" t="n">
        <f aca="false">VLOOKUP(E169,Treatment_Table!$B$5:$E$11,4,FALSE())</f>
        <v>0</v>
      </c>
      <c r="I169" s="57" t="n">
        <f aca="false">F169*H169</f>
        <v>0</v>
      </c>
      <c r="J169" s="57" t="n">
        <f aca="false">IF(D169="Income",F169,-F169)</f>
        <v>79509.17</v>
      </c>
    </row>
    <row r="170" customFormat="false" ht="15" hidden="false" customHeight="false" outlineLevel="0" collapsed="false">
      <c r="A170" s="54" t="s">
        <v>382</v>
      </c>
      <c r="B170" s="54" t="s">
        <v>228</v>
      </c>
      <c r="C170" s="54" t="s">
        <v>118</v>
      </c>
      <c r="D170" s="54" t="s">
        <v>183</v>
      </c>
      <c r="E170" s="54" t="s">
        <v>116</v>
      </c>
      <c r="F170" s="55" t="n">
        <v>447562.48</v>
      </c>
      <c r="G170" s="54" t="s">
        <v>211</v>
      </c>
      <c r="H170" s="56" t="n">
        <f aca="false">VLOOKUP(E170,Treatment_Table!$B$5:$E$11,4,FALSE())</f>
        <v>0</v>
      </c>
      <c r="I170" s="57" t="n">
        <f aca="false">F170*H170</f>
        <v>0</v>
      </c>
      <c r="J170" s="57" t="n">
        <f aca="false">IF(D170="Income",F170,-F170)</f>
        <v>447562.48</v>
      </c>
    </row>
    <row r="171" customFormat="false" ht="15" hidden="false" customHeight="false" outlineLevel="0" collapsed="false">
      <c r="A171" s="54" t="s">
        <v>383</v>
      </c>
      <c r="B171" s="54" t="s">
        <v>235</v>
      </c>
      <c r="C171" s="54" t="s">
        <v>119</v>
      </c>
      <c r="D171" s="54" t="s">
        <v>183</v>
      </c>
      <c r="E171" s="54" t="s">
        <v>116</v>
      </c>
      <c r="F171" s="55" t="n">
        <v>1153615.58</v>
      </c>
      <c r="G171" s="54" t="s">
        <v>206</v>
      </c>
      <c r="H171" s="56" t="n">
        <f aca="false">VLOOKUP(E171,Treatment_Table!$B$5:$E$11,4,FALSE())</f>
        <v>0</v>
      </c>
      <c r="I171" s="57" t="n">
        <f aca="false">F171*H171</f>
        <v>0</v>
      </c>
      <c r="J171" s="57" t="n">
        <f aca="false">IF(D171="Income",F171,-F171)</f>
        <v>1153615.58</v>
      </c>
    </row>
    <row r="172" customFormat="false" ht="15" hidden="false" customHeight="false" outlineLevel="0" collapsed="false">
      <c r="A172" s="54" t="s">
        <v>384</v>
      </c>
      <c r="B172" s="54" t="s">
        <v>230</v>
      </c>
      <c r="C172" s="54" t="s">
        <v>119</v>
      </c>
      <c r="D172" s="54" t="s">
        <v>183</v>
      </c>
      <c r="E172" s="54" t="s">
        <v>116</v>
      </c>
      <c r="F172" s="55" t="n">
        <v>121067.65</v>
      </c>
      <c r="G172" s="54" t="s">
        <v>206</v>
      </c>
      <c r="H172" s="56" t="n">
        <f aca="false">VLOOKUP(E172,Treatment_Table!$B$5:$E$11,4,FALSE())</f>
        <v>0</v>
      </c>
      <c r="I172" s="57" t="n">
        <f aca="false">F172*H172</f>
        <v>0</v>
      </c>
      <c r="J172" s="57" t="n">
        <f aca="false">IF(D172="Income",F172,-F172)</f>
        <v>121067.65</v>
      </c>
    </row>
    <row r="173" customFormat="false" ht="15" hidden="false" customHeight="false" outlineLevel="0" collapsed="false">
      <c r="A173" s="54" t="s">
        <v>385</v>
      </c>
      <c r="B173" s="54" t="s">
        <v>223</v>
      </c>
      <c r="C173" s="54" t="s">
        <v>119</v>
      </c>
      <c r="D173" s="54" t="s">
        <v>183</v>
      </c>
      <c r="E173" s="54" t="s">
        <v>116</v>
      </c>
      <c r="F173" s="55" t="n">
        <v>207882.53</v>
      </c>
      <c r="G173" s="54" t="s">
        <v>206</v>
      </c>
      <c r="H173" s="56" t="n">
        <f aca="false">VLOOKUP(E173,Treatment_Table!$B$5:$E$11,4,FALSE())</f>
        <v>0</v>
      </c>
      <c r="I173" s="57" t="n">
        <f aca="false">F173*H173</f>
        <v>0</v>
      </c>
      <c r="J173" s="57" t="n">
        <f aca="false">IF(D173="Income",F173,-F173)</f>
        <v>207882.53</v>
      </c>
    </row>
    <row r="174" customFormat="false" ht="15" hidden="false" customHeight="false" outlineLevel="0" collapsed="false">
      <c r="A174" s="54" t="s">
        <v>386</v>
      </c>
      <c r="B174" s="54" t="s">
        <v>247</v>
      </c>
      <c r="C174" s="54" t="s">
        <v>119</v>
      </c>
      <c r="D174" s="54" t="s">
        <v>183</v>
      </c>
      <c r="E174" s="54" t="s">
        <v>116</v>
      </c>
      <c r="F174" s="55" t="n">
        <v>57680.37</v>
      </c>
      <c r="G174" s="54" t="s">
        <v>206</v>
      </c>
      <c r="H174" s="56" t="n">
        <f aca="false">VLOOKUP(E174,Treatment_Table!$B$5:$E$11,4,FALSE())</f>
        <v>0</v>
      </c>
      <c r="I174" s="57" t="n">
        <f aca="false">F174*H174</f>
        <v>0</v>
      </c>
      <c r="J174" s="57" t="n">
        <f aca="false">IF(D174="Income",F174,-F174)</f>
        <v>57680.37</v>
      </c>
    </row>
    <row r="175" customFormat="false" ht="15" hidden="false" customHeight="false" outlineLevel="0" collapsed="false">
      <c r="A175" s="54" t="s">
        <v>387</v>
      </c>
      <c r="B175" s="54" t="s">
        <v>218</v>
      </c>
      <c r="C175" s="54" t="s">
        <v>118</v>
      </c>
      <c r="D175" s="54" t="s">
        <v>183</v>
      </c>
      <c r="E175" s="54" t="s">
        <v>116</v>
      </c>
      <c r="F175" s="55" t="n">
        <v>245801.16</v>
      </c>
      <c r="G175" s="54" t="s">
        <v>211</v>
      </c>
      <c r="H175" s="56" t="n">
        <f aca="false">VLOOKUP(E175,Treatment_Table!$B$5:$E$11,4,FALSE())</f>
        <v>0</v>
      </c>
      <c r="I175" s="57" t="n">
        <f aca="false">F175*H175</f>
        <v>0</v>
      </c>
      <c r="J175" s="57" t="n">
        <f aca="false">IF(D175="Income",F175,-F175)</f>
        <v>245801.16</v>
      </c>
    </row>
    <row r="176" customFormat="false" ht="15" hidden="false" customHeight="false" outlineLevel="0" collapsed="false">
      <c r="A176" s="54" t="s">
        <v>388</v>
      </c>
      <c r="B176" s="54" t="s">
        <v>216</v>
      </c>
      <c r="C176" s="54" t="s">
        <v>119</v>
      </c>
      <c r="D176" s="54" t="s">
        <v>183</v>
      </c>
      <c r="E176" s="54" t="s">
        <v>116</v>
      </c>
      <c r="F176" s="55" t="n">
        <v>197256.86</v>
      </c>
      <c r="G176" s="54" t="s">
        <v>206</v>
      </c>
      <c r="H176" s="56" t="n">
        <f aca="false">VLOOKUP(E176,Treatment_Table!$B$5:$E$11,4,FALSE())</f>
        <v>0</v>
      </c>
      <c r="I176" s="57" t="n">
        <f aca="false">F176*H176</f>
        <v>0</v>
      </c>
      <c r="J176" s="57" t="n">
        <f aca="false">IF(D176="Income",F176,-F176)</f>
        <v>197256.86</v>
      </c>
    </row>
    <row r="177" customFormat="false" ht="15" hidden="false" customHeight="false" outlineLevel="0" collapsed="false">
      <c r="A177" s="54" t="s">
        <v>389</v>
      </c>
      <c r="B177" s="54" t="s">
        <v>216</v>
      </c>
      <c r="C177" s="54" t="s">
        <v>119</v>
      </c>
      <c r="D177" s="54" t="s">
        <v>183</v>
      </c>
      <c r="E177" s="54" t="s">
        <v>116</v>
      </c>
      <c r="F177" s="55" t="n">
        <v>251750.92</v>
      </c>
      <c r="G177" s="54" t="s">
        <v>206</v>
      </c>
      <c r="H177" s="56" t="n">
        <f aca="false">VLOOKUP(E177,Treatment_Table!$B$5:$E$11,4,FALSE())</f>
        <v>0</v>
      </c>
      <c r="I177" s="57" t="n">
        <f aca="false">F177*H177</f>
        <v>0</v>
      </c>
      <c r="J177" s="57" t="n">
        <f aca="false">IF(D177="Income",F177,-F177)</f>
        <v>251750.92</v>
      </c>
    </row>
    <row r="178" customFormat="false" ht="15" hidden="false" customHeight="false" outlineLevel="0" collapsed="false">
      <c r="A178" s="54" t="s">
        <v>390</v>
      </c>
      <c r="B178" s="54" t="s">
        <v>205</v>
      </c>
      <c r="C178" s="54" t="s">
        <v>118</v>
      </c>
      <c r="D178" s="54" t="s">
        <v>183</v>
      </c>
      <c r="E178" s="54" t="s">
        <v>116</v>
      </c>
      <c r="F178" s="55" t="n">
        <v>185097.8</v>
      </c>
      <c r="G178" s="54" t="s">
        <v>211</v>
      </c>
      <c r="H178" s="56" t="n">
        <f aca="false">VLOOKUP(E178,Treatment_Table!$B$5:$E$11,4,FALSE())</f>
        <v>0</v>
      </c>
      <c r="I178" s="57" t="n">
        <f aca="false">F178*H178</f>
        <v>0</v>
      </c>
      <c r="J178" s="57" t="n">
        <f aca="false">IF(D178="Income",F178,-F178)</f>
        <v>185097.8</v>
      </c>
    </row>
    <row r="179" customFormat="false" ht="15" hidden="false" customHeight="false" outlineLevel="0" collapsed="false">
      <c r="A179" s="54" t="s">
        <v>391</v>
      </c>
      <c r="B179" s="54" t="s">
        <v>216</v>
      </c>
      <c r="C179" s="54" t="s">
        <v>119</v>
      </c>
      <c r="D179" s="54" t="s">
        <v>183</v>
      </c>
      <c r="E179" s="54" t="s">
        <v>116</v>
      </c>
      <c r="F179" s="55" t="n">
        <v>106474.33</v>
      </c>
      <c r="G179" s="54" t="s">
        <v>206</v>
      </c>
      <c r="H179" s="56" t="n">
        <f aca="false">VLOOKUP(E179,Treatment_Table!$B$5:$E$11,4,FALSE())</f>
        <v>0</v>
      </c>
      <c r="I179" s="57" t="n">
        <f aca="false">F179*H179</f>
        <v>0</v>
      </c>
      <c r="J179" s="57" t="n">
        <f aca="false">IF(D179="Income",F179,-F179)</f>
        <v>106474.33</v>
      </c>
    </row>
    <row r="180" customFormat="false" ht="15" hidden="false" customHeight="false" outlineLevel="0" collapsed="false">
      <c r="A180" s="54" t="s">
        <v>392</v>
      </c>
      <c r="B180" s="54" t="s">
        <v>218</v>
      </c>
      <c r="C180" s="54" t="s">
        <v>119</v>
      </c>
      <c r="D180" s="54" t="s">
        <v>183</v>
      </c>
      <c r="E180" s="54" t="s">
        <v>116</v>
      </c>
      <c r="F180" s="55" t="n">
        <v>202807.33</v>
      </c>
      <c r="G180" s="54" t="s">
        <v>206</v>
      </c>
      <c r="H180" s="56" t="n">
        <f aca="false">VLOOKUP(E180,Treatment_Table!$B$5:$E$11,4,FALSE())</f>
        <v>0</v>
      </c>
      <c r="I180" s="57" t="n">
        <f aca="false">F180*H180</f>
        <v>0</v>
      </c>
      <c r="J180" s="57" t="n">
        <f aca="false">IF(D180="Income",F180,-F180)</f>
        <v>202807.33</v>
      </c>
    </row>
    <row r="181" customFormat="false" ht="15" hidden="false" customHeight="false" outlineLevel="0" collapsed="false">
      <c r="A181" s="54" t="s">
        <v>393</v>
      </c>
      <c r="B181" s="54" t="s">
        <v>214</v>
      </c>
      <c r="C181" s="54" t="s">
        <v>119</v>
      </c>
      <c r="D181" s="54" t="s">
        <v>183</v>
      </c>
      <c r="E181" s="54" t="s">
        <v>116</v>
      </c>
      <c r="F181" s="55" t="n">
        <v>162991.61</v>
      </c>
      <c r="G181" s="54" t="s">
        <v>206</v>
      </c>
      <c r="H181" s="56" t="n">
        <f aca="false">VLOOKUP(E181,Treatment_Table!$B$5:$E$11,4,FALSE())</f>
        <v>0</v>
      </c>
      <c r="I181" s="57" t="n">
        <f aca="false">F181*H181</f>
        <v>0</v>
      </c>
      <c r="J181" s="57" t="n">
        <f aca="false">IF(D181="Income",F181,-F181)</f>
        <v>162991.61</v>
      </c>
    </row>
    <row r="182" customFormat="false" ht="15" hidden="false" customHeight="false" outlineLevel="0" collapsed="false">
      <c r="A182" s="54" t="s">
        <v>394</v>
      </c>
      <c r="B182" s="54" t="s">
        <v>230</v>
      </c>
      <c r="C182" s="54" t="s">
        <v>119</v>
      </c>
      <c r="D182" s="54" t="s">
        <v>183</v>
      </c>
      <c r="E182" s="54" t="s">
        <v>116</v>
      </c>
      <c r="F182" s="55" t="n">
        <v>269086.31</v>
      </c>
      <c r="G182" s="54" t="s">
        <v>206</v>
      </c>
      <c r="H182" s="56" t="n">
        <f aca="false">VLOOKUP(E182,Treatment_Table!$B$5:$E$11,4,FALSE())</f>
        <v>0</v>
      </c>
      <c r="I182" s="57" t="n">
        <f aca="false">F182*H182</f>
        <v>0</v>
      </c>
      <c r="J182" s="57" t="n">
        <f aca="false">IF(D182="Income",F182,-F182)</f>
        <v>269086.31</v>
      </c>
    </row>
    <row r="183" customFormat="false" ht="15" hidden="false" customHeight="false" outlineLevel="0" collapsed="false">
      <c r="A183" s="54" t="s">
        <v>395</v>
      </c>
      <c r="B183" s="54" t="s">
        <v>223</v>
      </c>
      <c r="C183" s="54" t="s">
        <v>119</v>
      </c>
      <c r="D183" s="54" t="s">
        <v>183</v>
      </c>
      <c r="E183" s="54" t="s">
        <v>116</v>
      </c>
      <c r="F183" s="55" t="n">
        <v>82640.87</v>
      </c>
      <c r="G183" s="54" t="s">
        <v>206</v>
      </c>
      <c r="H183" s="56" t="n">
        <f aca="false">VLOOKUP(E183,Treatment_Table!$B$5:$E$11,4,FALSE())</f>
        <v>0</v>
      </c>
      <c r="I183" s="57" t="n">
        <f aca="false">F183*H183</f>
        <v>0</v>
      </c>
      <c r="J183" s="57" t="n">
        <f aca="false">IF(D183="Income",F183,-F183)</f>
        <v>82640.87</v>
      </c>
    </row>
    <row r="184" customFormat="false" ht="15" hidden="false" customHeight="false" outlineLevel="0" collapsed="false">
      <c r="A184" s="54" t="s">
        <v>396</v>
      </c>
      <c r="B184" s="54" t="s">
        <v>208</v>
      </c>
      <c r="C184" s="54" t="s">
        <v>119</v>
      </c>
      <c r="D184" s="54" t="s">
        <v>183</v>
      </c>
      <c r="E184" s="54" t="s">
        <v>116</v>
      </c>
      <c r="F184" s="55" t="n">
        <v>66973.26</v>
      </c>
      <c r="G184" s="54" t="s">
        <v>206</v>
      </c>
      <c r="H184" s="56" t="n">
        <f aca="false">VLOOKUP(E184,Treatment_Table!$B$5:$E$11,4,FALSE())</f>
        <v>0</v>
      </c>
      <c r="I184" s="57" t="n">
        <f aca="false">F184*H184</f>
        <v>0</v>
      </c>
      <c r="J184" s="57" t="n">
        <f aca="false">IF(D184="Income",F184,-F184)</f>
        <v>66973.26</v>
      </c>
    </row>
    <row r="185" customFormat="false" ht="15" hidden="false" customHeight="false" outlineLevel="0" collapsed="false">
      <c r="A185" s="54" t="s">
        <v>397</v>
      </c>
      <c r="B185" s="54" t="s">
        <v>205</v>
      </c>
      <c r="C185" s="54" t="s">
        <v>119</v>
      </c>
      <c r="D185" s="54" t="s">
        <v>183</v>
      </c>
      <c r="E185" s="54" t="s">
        <v>116</v>
      </c>
      <c r="F185" s="55" t="n">
        <v>18546.33</v>
      </c>
      <c r="G185" s="54" t="s">
        <v>206</v>
      </c>
      <c r="H185" s="56" t="n">
        <f aca="false">VLOOKUP(E185,Treatment_Table!$B$5:$E$11,4,FALSE())</f>
        <v>0</v>
      </c>
      <c r="I185" s="57" t="n">
        <f aca="false">F185*H185</f>
        <v>0</v>
      </c>
      <c r="J185" s="57" t="n">
        <f aca="false">IF(D185="Income",F185,-F185)</f>
        <v>18546.33</v>
      </c>
    </row>
    <row r="186" customFormat="false" ht="15" hidden="false" customHeight="false" outlineLevel="0" collapsed="false">
      <c r="A186" s="54" t="s">
        <v>398</v>
      </c>
      <c r="B186" s="54" t="s">
        <v>230</v>
      </c>
      <c r="C186" s="54" t="s">
        <v>119</v>
      </c>
      <c r="D186" s="54" t="s">
        <v>183</v>
      </c>
      <c r="E186" s="54" t="s">
        <v>116</v>
      </c>
      <c r="F186" s="55" t="n">
        <v>68798.07</v>
      </c>
      <c r="G186" s="54" t="s">
        <v>206</v>
      </c>
      <c r="H186" s="56" t="n">
        <f aca="false">VLOOKUP(E186,Treatment_Table!$B$5:$E$11,4,FALSE())</f>
        <v>0</v>
      </c>
      <c r="I186" s="57" t="n">
        <f aca="false">F186*H186</f>
        <v>0</v>
      </c>
      <c r="J186" s="57" t="n">
        <f aca="false">IF(D186="Income",F186,-F186)</f>
        <v>68798.07</v>
      </c>
    </row>
    <row r="187" customFormat="false" ht="15" hidden="false" customHeight="false" outlineLevel="0" collapsed="false">
      <c r="A187" s="54" t="s">
        <v>399</v>
      </c>
      <c r="B187" s="54" t="s">
        <v>216</v>
      </c>
      <c r="C187" s="54" t="s">
        <v>119</v>
      </c>
      <c r="D187" s="54" t="s">
        <v>183</v>
      </c>
      <c r="E187" s="54" t="s">
        <v>116</v>
      </c>
      <c r="F187" s="55" t="n">
        <v>113092.51</v>
      </c>
      <c r="G187" s="54" t="s">
        <v>206</v>
      </c>
      <c r="H187" s="56" t="n">
        <f aca="false">VLOOKUP(E187,Treatment_Table!$B$5:$E$11,4,FALSE())</f>
        <v>0</v>
      </c>
      <c r="I187" s="57" t="n">
        <f aca="false">F187*H187</f>
        <v>0</v>
      </c>
      <c r="J187" s="57" t="n">
        <f aca="false">IF(D187="Income",F187,-F187)</f>
        <v>113092.51</v>
      </c>
    </row>
    <row r="188" customFormat="false" ht="15" hidden="false" customHeight="false" outlineLevel="0" collapsed="false">
      <c r="A188" s="54" t="s">
        <v>400</v>
      </c>
      <c r="B188" s="54" t="s">
        <v>205</v>
      </c>
      <c r="C188" s="54" t="s">
        <v>119</v>
      </c>
      <c r="D188" s="54" t="s">
        <v>183</v>
      </c>
      <c r="E188" s="54" t="s">
        <v>116</v>
      </c>
      <c r="F188" s="55" t="n">
        <v>30688.92</v>
      </c>
      <c r="G188" s="54" t="s">
        <v>206</v>
      </c>
      <c r="H188" s="56" t="n">
        <f aca="false">VLOOKUP(E188,Treatment_Table!$B$5:$E$11,4,FALSE())</f>
        <v>0</v>
      </c>
      <c r="I188" s="57" t="n">
        <f aca="false">F188*H188</f>
        <v>0</v>
      </c>
      <c r="J188" s="57" t="n">
        <f aca="false">IF(D188="Income",F188,-F188)</f>
        <v>30688.92</v>
      </c>
    </row>
    <row r="189" customFormat="false" ht="15" hidden="false" customHeight="false" outlineLevel="0" collapsed="false">
      <c r="A189" s="54" t="s">
        <v>401</v>
      </c>
      <c r="B189" s="54" t="s">
        <v>230</v>
      </c>
      <c r="C189" s="54" t="s">
        <v>119</v>
      </c>
      <c r="D189" s="54" t="s">
        <v>183</v>
      </c>
      <c r="E189" s="54" t="s">
        <v>116</v>
      </c>
      <c r="F189" s="55" t="n">
        <v>31569.56</v>
      </c>
      <c r="G189" s="54" t="s">
        <v>206</v>
      </c>
      <c r="H189" s="56" t="n">
        <f aca="false">VLOOKUP(E189,Treatment_Table!$B$5:$E$11,4,FALSE())</f>
        <v>0</v>
      </c>
      <c r="I189" s="57" t="n">
        <f aca="false">F189*H189</f>
        <v>0</v>
      </c>
      <c r="J189" s="57" t="n">
        <f aca="false">IF(D189="Income",F189,-F189)</f>
        <v>31569.56</v>
      </c>
    </row>
    <row r="190" customFormat="false" ht="15" hidden="false" customHeight="false" outlineLevel="0" collapsed="false">
      <c r="A190" s="54" t="s">
        <v>402</v>
      </c>
      <c r="B190" s="54" t="s">
        <v>235</v>
      </c>
      <c r="C190" s="54" t="s">
        <v>118</v>
      </c>
      <c r="D190" s="54" t="s">
        <v>183</v>
      </c>
      <c r="E190" s="54" t="s">
        <v>116</v>
      </c>
      <c r="F190" s="55" t="n">
        <v>36241.73</v>
      </c>
      <c r="G190" s="54" t="s">
        <v>211</v>
      </c>
      <c r="H190" s="56" t="n">
        <f aca="false">VLOOKUP(E190,Treatment_Table!$B$5:$E$11,4,FALSE())</f>
        <v>0</v>
      </c>
      <c r="I190" s="57" t="n">
        <f aca="false">F190*H190</f>
        <v>0</v>
      </c>
      <c r="J190" s="57" t="n">
        <f aca="false">IF(D190="Income",F190,-F190)</f>
        <v>36241.73</v>
      </c>
    </row>
    <row r="191" customFormat="false" ht="15" hidden="false" customHeight="false" outlineLevel="0" collapsed="false">
      <c r="A191" s="54" t="s">
        <v>403</v>
      </c>
      <c r="B191" s="54" t="s">
        <v>228</v>
      </c>
      <c r="C191" s="54" t="s">
        <v>118</v>
      </c>
      <c r="D191" s="54" t="s">
        <v>183</v>
      </c>
      <c r="E191" s="54" t="s">
        <v>116</v>
      </c>
      <c r="F191" s="55" t="n">
        <v>260669.04</v>
      </c>
      <c r="G191" s="54" t="s">
        <v>211</v>
      </c>
      <c r="H191" s="56" t="n">
        <f aca="false">VLOOKUP(E191,Treatment_Table!$B$5:$E$11,4,FALSE())</f>
        <v>0</v>
      </c>
      <c r="I191" s="57" t="n">
        <f aca="false">F191*H191</f>
        <v>0</v>
      </c>
      <c r="J191" s="57" t="n">
        <f aca="false">IF(D191="Income",F191,-F191)</f>
        <v>260669.04</v>
      </c>
    </row>
    <row r="192" customFormat="false" ht="15" hidden="false" customHeight="false" outlineLevel="0" collapsed="false">
      <c r="A192" s="54" t="s">
        <v>404</v>
      </c>
      <c r="B192" s="54" t="s">
        <v>205</v>
      </c>
      <c r="C192" s="54" t="s">
        <v>118</v>
      </c>
      <c r="D192" s="54" t="s">
        <v>183</v>
      </c>
      <c r="E192" s="54" t="s">
        <v>116</v>
      </c>
      <c r="F192" s="55" t="n">
        <v>9810.19</v>
      </c>
      <c r="G192" s="54" t="s">
        <v>211</v>
      </c>
      <c r="H192" s="56" t="n">
        <f aca="false">VLOOKUP(E192,Treatment_Table!$B$5:$E$11,4,FALSE())</f>
        <v>0</v>
      </c>
      <c r="I192" s="57" t="n">
        <f aca="false">F192*H192</f>
        <v>0</v>
      </c>
      <c r="J192" s="57" t="n">
        <f aca="false">IF(D192="Income",F192,-F192)</f>
        <v>9810.19</v>
      </c>
    </row>
    <row r="193" customFormat="false" ht="15" hidden="false" customHeight="false" outlineLevel="0" collapsed="false">
      <c r="A193" s="54" t="s">
        <v>405</v>
      </c>
      <c r="B193" s="54" t="s">
        <v>210</v>
      </c>
      <c r="C193" s="54" t="s">
        <v>119</v>
      </c>
      <c r="D193" s="54" t="s">
        <v>183</v>
      </c>
      <c r="E193" s="54" t="s">
        <v>116</v>
      </c>
      <c r="F193" s="55" t="n">
        <v>83050.26</v>
      </c>
      <c r="G193" s="54" t="s">
        <v>206</v>
      </c>
      <c r="H193" s="56" t="n">
        <f aca="false">VLOOKUP(E193,Treatment_Table!$B$5:$E$11,4,FALSE())</f>
        <v>0</v>
      </c>
      <c r="I193" s="57" t="n">
        <f aca="false">F193*H193</f>
        <v>0</v>
      </c>
      <c r="J193" s="57" t="n">
        <f aca="false">IF(D193="Income",F193,-F193)</f>
        <v>83050.26</v>
      </c>
    </row>
    <row r="194" customFormat="false" ht="15" hidden="false" customHeight="false" outlineLevel="0" collapsed="false">
      <c r="A194" s="54" t="s">
        <v>406</v>
      </c>
      <c r="B194" s="54" t="s">
        <v>247</v>
      </c>
      <c r="C194" s="54" t="s">
        <v>119</v>
      </c>
      <c r="D194" s="54" t="s">
        <v>183</v>
      </c>
      <c r="E194" s="54" t="s">
        <v>116</v>
      </c>
      <c r="F194" s="55" t="n">
        <v>34160.79</v>
      </c>
      <c r="G194" s="54" t="s">
        <v>206</v>
      </c>
      <c r="H194" s="56" t="n">
        <f aca="false">VLOOKUP(E194,Treatment_Table!$B$5:$E$11,4,FALSE())</f>
        <v>0</v>
      </c>
      <c r="I194" s="57" t="n">
        <f aca="false">F194*H194</f>
        <v>0</v>
      </c>
      <c r="J194" s="57" t="n">
        <f aca="false">IF(D194="Income",F194,-F194)</f>
        <v>34160.79</v>
      </c>
    </row>
    <row r="195" customFormat="false" ht="15" hidden="false" customHeight="false" outlineLevel="0" collapsed="false">
      <c r="A195" s="54" t="s">
        <v>407</v>
      </c>
      <c r="B195" s="54" t="s">
        <v>214</v>
      </c>
      <c r="C195" s="54" t="s">
        <v>119</v>
      </c>
      <c r="D195" s="54" t="s">
        <v>183</v>
      </c>
      <c r="E195" s="54" t="s">
        <v>116</v>
      </c>
      <c r="F195" s="55" t="n">
        <v>76814.28</v>
      </c>
      <c r="G195" s="54" t="s">
        <v>206</v>
      </c>
      <c r="H195" s="56" t="n">
        <f aca="false">VLOOKUP(E195,Treatment_Table!$B$5:$E$11,4,FALSE())</f>
        <v>0</v>
      </c>
      <c r="I195" s="57" t="n">
        <f aca="false">F195*H195</f>
        <v>0</v>
      </c>
      <c r="J195" s="57" t="n">
        <f aca="false">IF(D195="Income",F195,-F195)</f>
        <v>76814.28</v>
      </c>
    </row>
    <row r="196" customFormat="false" ht="15" hidden="false" customHeight="false" outlineLevel="0" collapsed="false">
      <c r="A196" s="54" t="s">
        <v>408</v>
      </c>
      <c r="B196" s="54" t="s">
        <v>247</v>
      </c>
      <c r="C196" s="54" t="s">
        <v>119</v>
      </c>
      <c r="D196" s="54" t="s">
        <v>183</v>
      </c>
      <c r="E196" s="54" t="s">
        <v>116</v>
      </c>
      <c r="F196" s="55" t="n">
        <v>43650.55</v>
      </c>
      <c r="G196" s="54" t="s">
        <v>206</v>
      </c>
      <c r="H196" s="56" t="n">
        <f aca="false">VLOOKUP(E196,Treatment_Table!$B$5:$E$11,4,FALSE())</f>
        <v>0</v>
      </c>
      <c r="I196" s="57" t="n">
        <f aca="false">F196*H196</f>
        <v>0</v>
      </c>
      <c r="J196" s="57" t="n">
        <f aca="false">IF(D196="Income",F196,-F196)</f>
        <v>43650.55</v>
      </c>
    </row>
    <row r="197" customFormat="false" ht="15" hidden="false" customHeight="false" outlineLevel="0" collapsed="false">
      <c r="A197" s="54" t="s">
        <v>409</v>
      </c>
      <c r="B197" s="54" t="s">
        <v>243</v>
      </c>
      <c r="C197" s="54" t="s">
        <v>119</v>
      </c>
      <c r="D197" s="54" t="s">
        <v>183</v>
      </c>
      <c r="E197" s="54" t="s">
        <v>116</v>
      </c>
      <c r="F197" s="55" t="n">
        <v>48221.58</v>
      </c>
      <c r="G197" s="54" t="s">
        <v>206</v>
      </c>
      <c r="H197" s="56" t="n">
        <f aca="false">VLOOKUP(E197,Treatment_Table!$B$5:$E$11,4,FALSE())</f>
        <v>0</v>
      </c>
      <c r="I197" s="57" t="n">
        <f aca="false">F197*H197</f>
        <v>0</v>
      </c>
      <c r="J197" s="57" t="n">
        <f aca="false">IF(D197="Income",F197,-F197)</f>
        <v>48221.58</v>
      </c>
    </row>
    <row r="198" customFormat="false" ht="15" hidden="false" customHeight="false" outlineLevel="0" collapsed="false">
      <c r="A198" s="54" t="s">
        <v>410</v>
      </c>
      <c r="B198" s="54" t="s">
        <v>214</v>
      </c>
      <c r="C198" s="54" t="s">
        <v>119</v>
      </c>
      <c r="D198" s="54" t="s">
        <v>183</v>
      </c>
      <c r="E198" s="54" t="s">
        <v>116</v>
      </c>
      <c r="F198" s="55" t="n">
        <v>273789.82</v>
      </c>
      <c r="G198" s="54" t="s">
        <v>206</v>
      </c>
      <c r="H198" s="56" t="n">
        <f aca="false">VLOOKUP(E198,Treatment_Table!$B$5:$E$11,4,FALSE())</f>
        <v>0</v>
      </c>
      <c r="I198" s="57" t="n">
        <f aca="false">F198*H198</f>
        <v>0</v>
      </c>
      <c r="J198" s="57" t="n">
        <f aca="false">IF(D198="Income",F198,-F198)</f>
        <v>273789.82</v>
      </c>
    </row>
    <row r="199" customFormat="false" ht="15" hidden="false" customHeight="false" outlineLevel="0" collapsed="false">
      <c r="A199" s="54" t="s">
        <v>411</v>
      </c>
      <c r="B199" s="54" t="s">
        <v>247</v>
      </c>
      <c r="C199" s="54" t="s">
        <v>118</v>
      </c>
      <c r="D199" s="54" t="s">
        <v>183</v>
      </c>
      <c r="E199" s="54" t="s">
        <v>116</v>
      </c>
      <c r="F199" s="55" t="n">
        <v>132096.37</v>
      </c>
      <c r="G199" s="54" t="s">
        <v>211</v>
      </c>
      <c r="H199" s="56" t="n">
        <f aca="false">VLOOKUP(E199,Treatment_Table!$B$5:$E$11,4,FALSE())</f>
        <v>0</v>
      </c>
      <c r="I199" s="57" t="n">
        <f aca="false">F199*H199</f>
        <v>0</v>
      </c>
      <c r="J199" s="57" t="n">
        <f aca="false">IF(D199="Income",F199,-F199)</f>
        <v>132096.37</v>
      </c>
    </row>
    <row r="200" customFormat="false" ht="15" hidden="false" customHeight="false" outlineLevel="0" collapsed="false">
      <c r="A200" s="54" t="s">
        <v>412</v>
      </c>
      <c r="B200" s="54" t="s">
        <v>235</v>
      </c>
      <c r="C200" s="54" t="s">
        <v>118</v>
      </c>
      <c r="D200" s="54" t="s">
        <v>183</v>
      </c>
      <c r="E200" s="54" t="s">
        <v>116</v>
      </c>
      <c r="F200" s="55" t="n">
        <v>161600.88</v>
      </c>
      <c r="G200" s="54" t="s">
        <v>211</v>
      </c>
      <c r="H200" s="56" t="n">
        <f aca="false">VLOOKUP(E200,Treatment_Table!$B$5:$E$11,4,FALSE())</f>
        <v>0</v>
      </c>
      <c r="I200" s="57" t="n">
        <f aca="false">F200*H200</f>
        <v>0</v>
      </c>
      <c r="J200" s="57" t="n">
        <f aca="false">IF(D200="Income",F200,-F200)</f>
        <v>161600.88</v>
      </c>
    </row>
    <row r="201" customFormat="false" ht="15" hidden="false" customHeight="false" outlineLevel="0" collapsed="false">
      <c r="A201" s="54" t="s">
        <v>413</v>
      </c>
      <c r="B201" s="54" t="s">
        <v>235</v>
      </c>
      <c r="C201" s="54" t="s">
        <v>119</v>
      </c>
      <c r="D201" s="54" t="s">
        <v>183</v>
      </c>
      <c r="E201" s="54" t="s">
        <v>116</v>
      </c>
      <c r="F201" s="55" t="n">
        <v>126561.92</v>
      </c>
      <c r="G201" s="54" t="s">
        <v>206</v>
      </c>
      <c r="H201" s="56" t="n">
        <f aca="false">VLOOKUP(E201,Treatment_Table!$B$5:$E$11,4,FALSE())</f>
        <v>0</v>
      </c>
      <c r="I201" s="57" t="n">
        <f aca="false">F201*H201</f>
        <v>0</v>
      </c>
      <c r="J201" s="57" t="n">
        <f aca="false">IF(D201="Income",F201,-F201)</f>
        <v>126561.92</v>
      </c>
    </row>
    <row r="202" customFormat="false" ht="15" hidden="false" customHeight="false" outlineLevel="0" collapsed="false">
      <c r="A202" s="54" t="s">
        <v>414</v>
      </c>
      <c r="B202" s="54" t="s">
        <v>210</v>
      </c>
      <c r="C202" s="54" t="s">
        <v>119</v>
      </c>
      <c r="D202" s="54" t="s">
        <v>183</v>
      </c>
      <c r="E202" s="54" t="s">
        <v>116</v>
      </c>
      <c r="F202" s="55" t="n">
        <v>39664</v>
      </c>
      <c r="G202" s="54" t="s">
        <v>206</v>
      </c>
      <c r="H202" s="56" t="n">
        <f aca="false">VLOOKUP(E202,Treatment_Table!$B$5:$E$11,4,FALSE())</f>
        <v>0</v>
      </c>
      <c r="I202" s="57" t="n">
        <f aca="false">F202*H202</f>
        <v>0</v>
      </c>
      <c r="J202" s="57" t="n">
        <f aca="false">IF(D202="Income",F202,-F202)</f>
        <v>39664</v>
      </c>
    </row>
    <row r="203" customFormat="false" ht="15" hidden="false" customHeight="false" outlineLevel="0" collapsed="false">
      <c r="A203" s="54" t="s">
        <v>415</v>
      </c>
      <c r="B203" s="54" t="s">
        <v>218</v>
      </c>
      <c r="C203" s="54" t="s">
        <v>119</v>
      </c>
      <c r="D203" s="54" t="s">
        <v>183</v>
      </c>
      <c r="E203" s="54" t="s">
        <v>116</v>
      </c>
      <c r="F203" s="55" t="n">
        <v>1645113.54</v>
      </c>
      <c r="G203" s="54" t="s">
        <v>206</v>
      </c>
      <c r="H203" s="56" t="n">
        <f aca="false">VLOOKUP(E203,Treatment_Table!$B$5:$E$11,4,FALSE())</f>
        <v>0</v>
      </c>
      <c r="I203" s="57" t="n">
        <f aca="false">F203*H203</f>
        <v>0</v>
      </c>
      <c r="J203" s="57" t="n">
        <f aca="false">IF(D203="Income",F203,-F203)</f>
        <v>1645113.54</v>
      </c>
    </row>
    <row r="204" customFormat="false" ht="15" hidden="false" customHeight="false" outlineLevel="0" collapsed="false">
      <c r="A204" s="54" t="s">
        <v>416</v>
      </c>
      <c r="B204" s="54" t="s">
        <v>228</v>
      </c>
      <c r="C204" s="54" t="s">
        <v>119</v>
      </c>
      <c r="D204" s="54" t="s">
        <v>183</v>
      </c>
      <c r="E204" s="54" t="s">
        <v>116</v>
      </c>
      <c r="F204" s="55" t="n">
        <v>55304.16</v>
      </c>
      <c r="G204" s="54" t="s">
        <v>206</v>
      </c>
      <c r="H204" s="56" t="n">
        <f aca="false">VLOOKUP(E204,Treatment_Table!$B$5:$E$11,4,FALSE())</f>
        <v>0</v>
      </c>
      <c r="I204" s="57" t="n">
        <f aca="false">F204*H204</f>
        <v>0</v>
      </c>
      <c r="J204" s="57" t="n">
        <f aca="false">IF(D204="Income",F204,-F204)</f>
        <v>55304.16</v>
      </c>
    </row>
    <row r="205" customFormat="false" ht="15" hidden="false" customHeight="false" outlineLevel="0" collapsed="false">
      <c r="A205" s="54" t="s">
        <v>417</v>
      </c>
      <c r="B205" s="54" t="s">
        <v>235</v>
      </c>
      <c r="C205" s="54" t="s">
        <v>119</v>
      </c>
      <c r="D205" s="54" t="s">
        <v>183</v>
      </c>
      <c r="E205" s="54" t="s">
        <v>116</v>
      </c>
      <c r="F205" s="55" t="n">
        <v>65982.13</v>
      </c>
      <c r="G205" s="54" t="s">
        <v>206</v>
      </c>
      <c r="H205" s="56" t="n">
        <f aca="false">VLOOKUP(E205,Treatment_Table!$B$5:$E$11,4,FALSE())</f>
        <v>0</v>
      </c>
      <c r="I205" s="57" t="n">
        <f aca="false">F205*H205</f>
        <v>0</v>
      </c>
      <c r="J205" s="57" t="n">
        <f aca="false">IF(D205="Income",F205,-F205)</f>
        <v>65982.13</v>
      </c>
    </row>
    <row r="206" customFormat="false" ht="15" hidden="false" customHeight="false" outlineLevel="0" collapsed="false">
      <c r="A206" s="54" t="s">
        <v>418</v>
      </c>
      <c r="B206" s="54" t="s">
        <v>205</v>
      </c>
      <c r="C206" s="54" t="s">
        <v>119</v>
      </c>
      <c r="D206" s="54" t="s">
        <v>183</v>
      </c>
      <c r="E206" s="54" t="s">
        <v>116</v>
      </c>
      <c r="F206" s="55" t="n">
        <v>45866.98</v>
      </c>
      <c r="G206" s="54" t="s">
        <v>206</v>
      </c>
      <c r="H206" s="56" t="n">
        <f aca="false">VLOOKUP(E206,Treatment_Table!$B$5:$E$11,4,FALSE())</f>
        <v>0</v>
      </c>
      <c r="I206" s="57" t="n">
        <f aca="false">F206*H206</f>
        <v>0</v>
      </c>
      <c r="J206" s="57" t="n">
        <f aca="false">IF(D206="Income",F206,-F206)</f>
        <v>45866.98</v>
      </c>
    </row>
    <row r="207" customFormat="false" ht="15" hidden="false" customHeight="false" outlineLevel="0" collapsed="false">
      <c r="A207" s="54" t="s">
        <v>419</v>
      </c>
      <c r="B207" s="54" t="s">
        <v>230</v>
      </c>
      <c r="C207" s="54" t="s">
        <v>118</v>
      </c>
      <c r="D207" s="54" t="s">
        <v>183</v>
      </c>
      <c r="E207" s="54" t="s">
        <v>116</v>
      </c>
      <c r="F207" s="55" t="n">
        <v>906884.52</v>
      </c>
      <c r="G207" s="54" t="s">
        <v>211</v>
      </c>
      <c r="H207" s="56" t="n">
        <f aca="false">VLOOKUP(E207,Treatment_Table!$B$5:$E$11,4,FALSE())</f>
        <v>0</v>
      </c>
      <c r="I207" s="57" t="n">
        <f aca="false">F207*H207</f>
        <v>0</v>
      </c>
      <c r="J207" s="57" t="n">
        <f aca="false">IF(D207="Income",F207,-F207)</f>
        <v>906884.52</v>
      </c>
    </row>
    <row r="208" customFormat="false" ht="15" hidden="false" customHeight="false" outlineLevel="0" collapsed="false">
      <c r="A208" s="54" t="s">
        <v>420</v>
      </c>
      <c r="B208" s="54" t="s">
        <v>228</v>
      </c>
      <c r="C208" s="54" t="s">
        <v>119</v>
      </c>
      <c r="D208" s="54" t="s">
        <v>183</v>
      </c>
      <c r="E208" s="54" t="s">
        <v>116</v>
      </c>
      <c r="F208" s="55" t="n">
        <v>67724.83</v>
      </c>
      <c r="G208" s="54" t="s">
        <v>206</v>
      </c>
      <c r="H208" s="56" t="n">
        <f aca="false">VLOOKUP(E208,Treatment_Table!$B$5:$E$11,4,FALSE())</f>
        <v>0</v>
      </c>
      <c r="I208" s="57" t="n">
        <f aca="false">F208*H208</f>
        <v>0</v>
      </c>
      <c r="J208" s="57" t="n">
        <f aca="false">IF(D208="Income",F208,-F208)</f>
        <v>67724.83</v>
      </c>
    </row>
    <row r="209" customFormat="false" ht="15" hidden="false" customHeight="false" outlineLevel="0" collapsed="false">
      <c r="A209" s="54" t="s">
        <v>421</v>
      </c>
      <c r="B209" s="54" t="s">
        <v>223</v>
      </c>
      <c r="C209" s="54" t="s">
        <v>118</v>
      </c>
      <c r="D209" s="54" t="s">
        <v>183</v>
      </c>
      <c r="E209" s="54" t="s">
        <v>116</v>
      </c>
      <c r="F209" s="55" t="n">
        <v>112295.19</v>
      </c>
      <c r="G209" s="54" t="s">
        <v>211</v>
      </c>
      <c r="H209" s="56" t="n">
        <f aca="false">VLOOKUP(E209,Treatment_Table!$B$5:$E$11,4,FALSE())</f>
        <v>0</v>
      </c>
      <c r="I209" s="57" t="n">
        <f aca="false">F209*H209</f>
        <v>0</v>
      </c>
      <c r="J209" s="57" t="n">
        <f aca="false">IF(D209="Income",F209,-F209)</f>
        <v>112295.19</v>
      </c>
    </row>
    <row r="210" customFormat="false" ht="15" hidden="false" customHeight="false" outlineLevel="0" collapsed="false">
      <c r="A210" s="54" t="s">
        <v>422</v>
      </c>
      <c r="B210" s="54" t="s">
        <v>216</v>
      </c>
      <c r="C210" s="54" t="s">
        <v>119</v>
      </c>
      <c r="D210" s="54" t="s">
        <v>183</v>
      </c>
      <c r="E210" s="54" t="s">
        <v>116</v>
      </c>
      <c r="F210" s="55" t="n">
        <v>131350.13</v>
      </c>
      <c r="G210" s="54" t="s">
        <v>206</v>
      </c>
      <c r="H210" s="56" t="n">
        <f aca="false">VLOOKUP(E210,Treatment_Table!$B$5:$E$11,4,FALSE())</f>
        <v>0</v>
      </c>
      <c r="I210" s="57" t="n">
        <f aca="false">F210*H210</f>
        <v>0</v>
      </c>
      <c r="J210" s="57" t="n">
        <f aca="false">IF(D210="Income",F210,-F210)</f>
        <v>131350.13</v>
      </c>
    </row>
    <row r="211" customFormat="false" ht="15" hidden="false" customHeight="false" outlineLevel="0" collapsed="false">
      <c r="A211" s="54" t="s">
        <v>423</v>
      </c>
      <c r="B211" s="54" t="s">
        <v>247</v>
      </c>
      <c r="C211" s="54" t="s">
        <v>119</v>
      </c>
      <c r="D211" s="54" t="s">
        <v>183</v>
      </c>
      <c r="E211" s="54" t="s">
        <v>116</v>
      </c>
      <c r="F211" s="55" t="n">
        <v>129023.77</v>
      </c>
      <c r="G211" s="54" t="s">
        <v>206</v>
      </c>
      <c r="H211" s="56" t="n">
        <f aca="false">VLOOKUP(E211,Treatment_Table!$B$5:$E$11,4,FALSE())</f>
        <v>0</v>
      </c>
      <c r="I211" s="57" t="n">
        <f aca="false">F211*H211</f>
        <v>0</v>
      </c>
      <c r="J211" s="57" t="n">
        <f aca="false">IF(D211="Income",F211,-F211)</f>
        <v>129023.77</v>
      </c>
    </row>
    <row r="212" customFormat="false" ht="15" hidden="false" customHeight="false" outlineLevel="0" collapsed="false">
      <c r="A212" s="54" t="s">
        <v>424</v>
      </c>
      <c r="B212" s="54" t="s">
        <v>228</v>
      </c>
      <c r="C212" s="54" t="s">
        <v>119</v>
      </c>
      <c r="D212" s="54" t="s">
        <v>183</v>
      </c>
      <c r="E212" s="54" t="s">
        <v>116</v>
      </c>
      <c r="F212" s="55" t="n">
        <v>58742.52</v>
      </c>
      <c r="G212" s="54" t="s">
        <v>206</v>
      </c>
      <c r="H212" s="56" t="n">
        <f aca="false">VLOOKUP(E212,Treatment_Table!$B$5:$E$11,4,FALSE())</f>
        <v>0</v>
      </c>
      <c r="I212" s="57" t="n">
        <f aca="false">F212*H212</f>
        <v>0</v>
      </c>
      <c r="J212" s="57" t="n">
        <f aca="false">IF(D212="Income",F212,-F212)</f>
        <v>58742.52</v>
      </c>
    </row>
    <row r="213" customFormat="false" ht="15" hidden="false" customHeight="false" outlineLevel="0" collapsed="false">
      <c r="A213" s="54" t="s">
        <v>425</v>
      </c>
      <c r="B213" s="54" t="s">
        <v>230</v>
      </c>
      <c r="C213" s="54" t="s">
        <v>119</v>
      </c>
      <c r="D213" s="54" t="s">
        <v>183</v>
      </c>
      <c r="E213" s="54" t="s">
        <v>116</v>
      </c>
      <c r="F213" s="55" t="n">
        <v>129769.79</v>
      </c>
      <c r="G213" s="54" t="s">
        <v>206</v>
      </c>
      <c r="H213" s="56" t="n">
        <f aca="false">VLOOKUP(E213,Treatment_Table!$B$5:$E$11,4,FALSE())</f>
        <v>0</v>
      </c>
      <c r="I213" s="57" t="n">
        <f aca="false">F213*H213</f>
        <v>0</v>
      </c>
      <c r="J213" s="57" t="n">
        <f aca="false">IF(D213="Income",F213,-F213)</f>
        <v>129769.79</v>
      </c>
    </row>
    <row r="214" customFormat="false" ht="15" hidden="false" customHeight="false" outlineLevel="0" collapsed="false">
      <c r="A214" s="54" t="s">
        <v>426</v>
      </c>
      <c r="B214" s="54" t="s">
        <v>243</v>
      </c>
      <c r="C214" s="54" t="s">
        <v>119</v>
      </c>
      <c r="D214" s="54" t="s">
        <v>183</v>
      </c>
      <c r="E214" s="54" t="s">
        <v>116</v>
      </c>
      <c r="F214" s="55" t="n">
        <v>570134.67</v>
      </c>
      <c r="G214" s="54" t="s">
        <v>206</v>
      </c>
      <c r="H214" s="56" t="n">
        <f aca="false">VLOOKUP(E214,Treatment_Table!$B$5:$E$11,4,FALSE())</f>
        <v>0</v>
      </c>
      <c r="I214" s="57" t="n">
        <f aca="false">F214*H214</f>
        <v>0</v>
      </c>
      <c r="J214" s="57" t="n">
        <f aca="false">IF(D214="Income",F214,-F214)</f>
        <v>570134.67</v>
      </c>
    </row>
    <row r="215" customFormat="false" ht="15" hidden="false" customHeight="false" outlineLevel="0" collapsed="false">
      <c r="A215" s="54" t="s">
        <v>427</v>
      </c>
      <c r="B215" s="54" t="s">
        <v>223</v>
      </c>
      <c r="C215" s="54" t="s">
        <v>118</v>
      </c>
      <c r="D215" s="54" t="s">
        <v>183</v>
      </c>
      <c r="E215" s="54" t="s">
        <v>116</v>
      </c>
      <c r="F215" s="55" t="n">
        <v>207822.55</v>
      </c>
      <c r="G215" s="54" t="s">
        <v>211</v>
      </c>
      <c r="H215" s="56" t="n">
        <f aca="false">VLOOKUP(E215,Treatment_Table!$B$5:$E$11,4,FALSE())</f>
        <v>0</v>
      </c>
      <c r="I215" s="57" t="n">
        <f aca="false">F215*H215</f>
        <v>0</v>
      </c>
      <c r="J215" s="57" t="n">
        <f aca="false">IF(D215="Income",F215,-F215)</f>
        <v>207822.55</v>
      </c>
    </row>
    <row r="216" customFormat="false" ht="15" hidden="false" customHeight="false" outlineLevel="0" collapsed="false">
      <c r="A216" s="54" t="s">
        <v>428</v>
      </c>
      <c r="B216" s="54" t="s">
        <v>228</v>
      </c>
      <c r="C216" s="54" t="s">
        <v>118</v>
      </c>
      <c r="D216" s="54" t="s">
        <v>183</v>
      </c>
      <c r="E216" s="54" t="s">
        <v>116</v>
      </c>
      <c r="F216" s="55" t="n">
        <v>130165.64</v>
      </c>
      <c r="G216" s="54" t="s">
        <v>211</v>
      </c>
      <c r="H216" s="56" t="n">
        <f aca="false">VLOOKUP(E216,Treatment_Table!$B$5:$E$11,4,FALSE())</f>
        <v>0</v>
      </c>
      <c r="I216" s="57" t="n">
        <f aca="false">F216*H216</f>
        <v>0</v>
      </c>
      <c r="J216" s="57" t="n">
        <f aca="false">IF(D216="Income",F216,-F216)</f>
        <v>130165.64</v>
      </c>
    </row>
    <row r="217" customFormat="false" ht="15" hidden="false" customHeight="false" outlineLevel="0" collapsed="false">
      <c r="A217" s="54" t="s">
        <v>429</v>
      </c>
      <c r="B217" s="54" t="s">
        <v>230</v>
      </c>
      <c r="C217" s="54" t="s">
        <v>119</v>
      </c>
      <c r="D217" s="54" t="s">
        <v>183</v>
      </c>
      <c r="E217" s="54" t="s">
        <v>116</v>
      </c>
      <c r="F217" s="55" t="n">
        <v>150597.35</v>
      </c>
      <c r="G217" s="54" t="s">
        <v>206</v>
      </c>
      <c r="H217" s="56" t="n">
        <f aca="false">VLOOKUP(E217,Treatment_Table!$B$5:$E$11,4,FALSE())</f>
        <v>0</v>
      </c>
      <c r="I217" s="57" t="n">
        <f aca="false">F217*H217</f>
        <v>0</v>
      </c>
      <c r="J217" s="57" t="n">
        <f aca="false">IF(D217="Income",F217,-F217)</f>
        <v>150597.35</v>
      </c>
    </row>
    <row r="218" customFormat="false" ht="15" hidden="false" customHeight="false" outlineLevel="0" collapsed="false">
      <c r="A218" s="54" t="s">
        <v>430</v>
      </c>
      <c r="B218" s="54" t="s">
        <v>218</v>
      </c>
      <c r="C218" s="54" t="s">
        <v>118</v>
      </c>
      <c r="D218" s="54" t="s">
        <v>183</v>
      </c>
      <c r="E218" s="54" t="s">
        <v>116</v>
      </c>
      <c r="F218" s="55" t="n">
        <v>322915.4</v>
      </c>
      <c r="G218" s="54" t="s">
        <v>211</v>
      </c>
      <c r="H218" s="56" t="n">
        <f aca="false">VLOOKUP(E218,Treatment_Table!$B$5:$E$11,4,FALSE())</f>
        <v>0</v>
      </c>
      <c r="I218" s="57" t="n">
        <f aca="false">F218*H218</f>
        <v>0</v>
      </c>
      <c r="J218" s="57" t="n">
        <f aca="false">IF(D218="Income",F218,-F218)</f>
        <v>322915.4</v>
      </c>
    </row>
    <row r="219" customFormat="false" ht="15" hidden="false" customHeight="false" outlineLevel="0" collapsed="false">
      <c r="A219" s="54" t="s">
        <v>431</v>
      </c>
      <c r="B219" s="54" t="s">
        <v>205</v>
      </c>
      <c r="C219" s="54" t="s">
        <v>119</v>
      </c>
      <c r="D219" s="54" t="s">
        <v>183</v>
      </c>
      <c r="E219" s="54" t="s">
        <v>116</v>
      </c>
      <c r="F219" s="55" t="n">
        <v>134407.28</v>
      </c>
      <c r="G219" s="54" t="s">
        <v>206</v>
      </c>
      <c r="H219" s="56" t="n">
        <f aca="false">VLOOKUP(E219,Treatment_Table!$B$5:$E$11,4,FALSE())</f>
        <v>0</v>
      </c>
      <c r="I219" s="57" t="n">
        <f aca="false">F219*H219</f>
        <v>0</v>
      </c>
      <c r="J219" s="57" t="n">
        <f aca="false">IF(D219="Income",F219,-F219)</f>
        <v>134407.28</v>
      </c>
    </row>
    <row r="220" customFormat="false" ht="15" hidden="false" customHeight="false" outlineLevel="0" collapsed="false">
      <c r="A220" s="54" t="s">
        <v>432</v>
      </c>
      <c r="B220" s="54" t="s">
        <v>235</v>
      </c>
      <c r="C220" s="54" t="s">
        <v>118</v>
      </c>
      <c r="D220" s="54" t="s">
        <v>183</v>
      </c>
      <c r="E220" s="54" t="s">
        <v>116</v>
      </c>
      <c r="F220" s="55" t="n">
        <v>62449.97</v>
      </c>
      <c r="G220" s="54" t="s">
        <v>211</v>
      </c>
      <c r="H220" s="56" t="n">
        <f aca="false">VLOOKUP(E220,Treatment_Table!$B$5:$E$11,4,FALSE())</f>
        <v>0</v>
      </c>
      <c r="I220" s="57" t="n">
        <f aca="false">F220*H220</f>
        <v>0</v>
      </c>
      <c r="J220" s="57" t="n">
        <f aca="false">IF(D220="Income",F220,-F220)</f>
        <v>62449.97</v>
      </c>
    </row>
    <row r="221" customFormat="false" ht="15" hidden="false" customHeight="false" outlineLevel="0" collapsed="false">
      <c r="A221" s="54" t="s">
        <v>433</v>
      </c>
      <c r="B221" s="54" t="s">
        <v>208</v>
      </c>
      <c r="C221" s="54" t="s">
        <v>118</v>
      </c>
      <c r="D221" s="54" t="s">
        <v>183</v>
      </c>
      <c r="E221" s="54" t="s">
        <v>116</v>
      </c>
      <c r="F221" s="55" t="n">
        <v>402865.13</v>
      </c>
      <c r="G221" s="54" t="s">
        <v>211</v>
      </c>
      <c r="H221" s="56" t="n">
        <f aca="false">VLOOKUP(E221,Treatment_Table!$B$5:$E$11,4,FALSE())</f>
        <v>0</v>
      </c>
      <c r="I221" s="57" t="n">
        <f aca="false">F221*H221</f>
        <v>0</v>
      </c>
      <c r="J221" s="57" t="n">
        <f aca="false">IF(D221="Income",F221,-F221)</f>
        <v>402865.13</v>
      </c>
    </row>
    <row r="222" customFormat="false" ht="15" hidden="false" customHeight="false" outlineLevel="0" collapsed="false">
      <c r="A222" s="54" t="s">
        <v>434</v>
      </c>
      <c r="B222" s="54" t="s">
        <v>214</v>
      </c>
      <c r="C222" s="54" t="s">
        <v>119</v>
      </c>
      <c r="D222" s="54" t="s">
        <v>183</v>
      </c>
      <c r="E222" s="54" t="s">
        <v>116</v>
      </c>
      <c r="F222" s="55" t="n">
        <v>449593.05</v>
      </c>
      <c r="G222" s="54" t="s">
        <v>206</v>
      </c>
      <c r="H222" s="56" t="n">
        <f aca="false">VLOOKUP(E222,Treatment_Table!$B$5:$E$11,4,FALSE())</f>
        <v>0</v>
      </c>
      <c r="I222" s="57" t="n">
        <f aca="false">F222*H222</f>
        <v>0</v>
      </c>
      <c r="J222" s="57" t="n">
        <f aca="false">IF(D222="Income",F222,-F222)</f>
        <v>449593.05</v>
      </c>
    </row>
    <row r="223" customFormat="false" ht="15" hidden="false" customHeight="false" outlineLevel="0" collapsed="false">
      <c r="A223" s="54" t="s">
        <v>435</v>
      </c>
      <c r="B223" s="54" t="s">
        <v>230</v>
      </c>
      <c r="C223" s="54" t="s">
        <v>119</v>
      </c>
      <c r="D223" s="54" t="s">
        <v>183</v>
      </c>
      <c r="E223" s="54" t="s">
        <v>116</v>
      </c>
      <c r="F223" s="55" t="n">
        <v>28040.04</v>
      </c>
      <c r="G223" s="54" t="s">
        <v>206</v>
      </c>
      <c r="H223" s="56" t="n">
        <f aca="false">VLOOKUP(E223,Treatment_Table!$B$5:$E$11,4,FALSE())</f>
        <v>0</v>
      </c>
      <c r="I223" s="57" t="n">
        <f aca="false">F223*H223</f>
        <v>0</v>
      </c>
      <c r="J223" s="57" t="n">
        <f aca="false">IF(D223="Income",F223,-F223)</f>
        <v>28040.04</v>
      </c>
    </row>
    <row r="224" customFormat="false" ht="15" hidden="false" customHeight="false" outlineLevel="0" collapsed="false">
      <c r="A224" s="54" t="s">
        <v>436</v>
      </c>
      <c r="B224" s="54" t="s">
        <v>214</v>
      </c>
      <c r="C224" s="54" t="s">
        <v>118</v>
      </c>
      <c r="D224" s="54" t="s">
        <v>183</v>
      </c>
      <c r="E224" s="54" t="s">
        <v>116</v>
      </c>
      <c r="F224" s="55" t="n">
        <v>35150.65</v>
      </c>
      <c r="G224" s="54" t="s">
        <v>211</v>
      </c>
      <c r="H224" s="56" t="n">
        <f aca="false">VLOOKUP(E224,Treatment_Table!$B$5:$E$11,4,FALSE())</f>
        <v>0</v>
      </c>
      <c r="I224" s="57" t="n">
        <f aca="false">F224*H224</f>
        <v>0</v>
      </c>
      <c r="J224" s="57" t="n">
        <f aca="false">IF(D224="Income",F224,-F224)</f>
        <v>35150.65</v>
      </c>
    </row>
    <row r="225" customFormat="false" ht="15" hidden="false" customHeight="false" outlineLevel="0" collapsed="false">
      <c r="A225" s="54" t="s">
        <v>437</v>
      </c>
      <c r="B225" s="54" t="s">
        <v>205</v>
      </c>
      <c r="C225" s="54" t="s">
        <v>119</v>
      </c>
      <c r="D225" s="54" t="s">
        <v>183</v>
      </c>
      <c r="E225" s="54" t="s">
        <v>116</v>
      </c>
      <c r="F225" s="55" t="n">
        <v>28078.25</v>
      </c>
      <c r="G225" s="54" t="s">
        <v>206</v>
      </c>
      <c r="H225" s="56" t="n">
        <f aca="false">VLOOKUP(E225,Treatment_Table!$B$5:$E$11,4,FALSE())</f>
        <v>0</v>
      </c>
      <c r="I225" s="57" t="n">
        <f aca="false">F225*H225</f>
        <v>0</v>
      </c>
      <c r="J225" s="57" t="n">
        <f aca="false">IF(D225="Income",F225,-F225)</f>
        <v>28078.25</v>
      </c>
    </row>
    <row r="226" customFormat="false" ht="15" hidden="false" customHeight="false" outlineLevel="0" collapsed="false">
      <c r="A226" s="54" t="s">
        <v>438</v>
      </c>
      <c r="B226" s="54" t="s">
        <v>243</v>
      </c>
      <c r="C226" s="54" t="s">
        <v>119</v>
      </c>
      <c r="D226" s="54" t="s">
        <v>183</v>
      </c>
      <c r="E226" s="54" t="s">
        <v>116</v>
      </c>
      <c r="F226" s="55" t="n">
        <v>165928.85</v>
      </c>
      <c r="G226" s="54" t="s">
        <v>206</v>
      </c>
      <c r="H226" s="56" t="n">
        <f aca="false">VLOOKUP(E226,Treatment_Table!$B$5:$E$11,4,FALSE())</f>
        <v>0</v>
      </c>
      <c r="I226" s="57" t="n">
        <f aca="false">F226*H226</f>
        <v>0</v>
      </c>
      <c r="J226" s="57" t="n">
        <f aca="false">IF(D226="Income",F226,-F226)</f>
        <v>165928.85</v>
      </c>
    </row>
    <row r="227" customFormat="false" ht="15" hidden="false" customHeight="false" outlineLevel="0" collapsed="false">
      <c r="A227" s="54" t="s">
        <v>439</v>
      </c>
      <c r="B227" s="54" t="s">
        <v>210</v>
      </c>
      <c r="C227" s="54" t="s">
        <v>119</v>
      </c>
      <c r="D227" s="54" t="s">
        <v>183</v>
      </c>
      <c r="E227" s="54" t="s">
        <v>116</v>
      </c>
      <c r="F227" s="55" t="n">
        <v>649906.92</v>
      </c>
      <c r="G227" s="54" t="s">
        <v>206</v>
      </c>
      <c r="H227" s="56" t="n">
        <f aca="false">VLOOKUP(E227,Treatment_Table!$B$5:$E$11,4,FALSE())</f>
        <v>0</v>
      </c>
      <c r="I227" s="57" t="n">
        <f aca="false">F227*H227</f>
        <v>0</v>
      </c>
      <c r="J227" s="57" t="n">
        <f aca="false">IF(D227="Income",F227,-F227)</f>
        <v>649906.92</v>
      </c>
    </row>
    <row r="228" customFormat="false" ht="15" hidden="false" customHeight="false" outlineLevel="0" collapsed="false">
      <c r="A228" s="54" t="s">
        <v>440</v>
      </c>
      <c r="B228" s="54" t="s">
        <v>205</v>
      </c>
      <c r="C228" s="54" t="s">
        <v>119</v>
      </c>
      <c r="D228" s="54" t="s">
        <v>183</v>
      </c>
      <c r="E228" s="54" t="s">
        <v>116</v>
      </c>
      <c r="F228" s="55" t="n">
        <v>279029.55</v>
      </c>
      <c r="G228" s="54" t="s">
        <v>206</v>
      </c>
      <c r="H228" s="56" t="n">
        <f aca="false">VLOOKUP(E228,Treatment_Table!$B$5:$E$11,4,FALSE())</f>
        <v>0</v>
      </c>
      <c r="I228" s="57" t="n">
        <f aca="false">F228*H228</f>
        <v>0</v>
      </c>
      <c r="J228" s="57" t="n">
        <f aca="false">IF(D228="Income",F228,-F228)</f>
        <v>279029.55</v>
      </c>
    </row>
    <row r="229" customFormat="false" ht="15" hidden="false" customHeight="false" outlineLevel="0" collapsed="false">
      <c r="A229" s="54" t="s">
        <v>441</v>
      </c>
      <c r="B229" s="54" t="s">
        <v>228</v>
      </c>
      <c r="C229" s="54" t="s">
        <v>119</v>
      </c>
      <c r="D229" s="54" t="s">
        <v>183</v>
      </c>
      <c r="E229" s="54" t="s">
        <v>116</v>
      </c>
      <c r="F229" s="55" t="n">
        <v>452898.19</v>
      </c>
      <c r="G229" s="54" t="s">
        <v>206</v>
      </c>
      <c r="H229" s="56" t="n">
        <f aca="false">VLOOKUP(E229,Treatment_Table!$B$5:$E$11,4,FALSE())</f>
        <v>0</v>
      </c>
      <c r="I229" s="57" t="n">
        <f aca="false">F229*H229</f>
        <v>0</v>
      </c>
      <c r="J229" s="57" t="n">
        <f aca="false">IF(D229="Income",F229,-F229)</f>
        <v>452898.19</v>
      </c>
    </row>
    <row r="230" customFormat="false" ht="15" hidden="false" customHeight="false" outlineLevel="0" collapsed="false">
      <c r="A230" s="54" t="s">
        <v>442</v>
      </c>
      <c r="B230" s="54" t="s">
        <v>208</v>
      </c>
      <c r="C230" s="54" t="s">
        <v>119</v>
      </c>
      <c r="D230" s="54" t="s">
        <v>183</v>
      </c>
      <c r="E230" s="54" t="s">
        <v>116</v>
      </c>
      <c r="F230" s="55" t="n">
        <v>236456.38</v>
      </c>
      <c r="G230" s="54" t="s">
        <v>206</v>
      </c>
      <c r="H230" s="56" t="n">
        <f aca="false">VLOOKUP(E230,Treatment_Table!$B$5:$E$11,4,FALSE())</f>
        <v>0</v>
      </c>
      <c r="I230" s="57" t="n">
        <f aca="false">F230*H230</f>
        <v>0</v>
      </c>
      <c r="J230" s="57" t="n">
        <f aca="false">IF(D230="Income",F230,-F230)</f>
        <v>236456.38</v>
      </c>
    </row>
    <row r="231" customFormat="false" ht="15" hidden="false" customHeight="false" outlineLevel="0" collapsed="false">
      <c r="A231" s="54" t="s">
        <v>443</v>
      </c>
      <c r="B231" s="54" t="s">
        <v>235</v>
      </c>
      <c r="C231" s="54" t="s">
        <v>119</v>
      </c>
      <c r="D231" s="54" t="s">
        <v>183</v>
      </c>
      <c r="E231" s="54" t="s">
        <v>116</v>
      </c>
      <c r="F231" s="55" t="n">
        <v>146180.48</v>
      </c>
      <c r="G231" s="54" t="s">
        <v>206</v>
      </c>
      <c r="H231" s="56" t="n">
        <f aca="false">VLOOKUP(E231,Treatment_Table!$B$5:$E$11,4,FALSE())</f>
        <v>0</v>
      </c>
      <c r="I231" s="57" t="n">
        <f aca="false">F231*H231</f>
        <v>0</v>
      </c>
      <c r="J231" s="57" t="n">
        <f aca="false">IF(D231="Income",F231,-F231)</f>
        <v>146180.48</v>
      </c>
    </row>
    <row r="232" customFormat="false" ht="15" hidden="false" customHeight="false" outlineLevel="0" collapsed="false">
      <c r="A232" s="54" t="s">
        <v>444</v>
      </c>
      <c r="B232" s="54" t="s">
        <v>235</v>
      </c>
      <c r="C232" s="54" t="s">
        <v>119</v>
      </c>
      <c r="D232" s="54" t="s">
        <v>183</v>
      </c>
      <c r="E232" s="54" t="s">
        <v>116</v>
      </c>
      <c r="F232" s="55" t="n">
        <v>122442.64</v>
      </c>
      <c r="G232" s="54" t="s">
        <v>206</v>
      </c>
      <c r="H232" s="56" t="n">
        <f aca="false">VLOOKUP(E232,Treatment_Table!$B$5:$E$11,4,FALSE())</f>
        <v>0</v>
      </c>
      <c r="I232" s="57" t="n">
        <f aca="false">F232*H232</f>
        <v>0</v>
      </c>
      <c r="J232" s="57" t="n">
        <f aca="false">IF(D232="Income",F232,-F232)</f>
        <v>122442.64</v>
      </c>
    </row>
    <row r="233" customFormat="false" ht="15" hidden="false" customHeight="false" outlineLevel="0" collapsed="false">
      <c r="A233" s="54" t="s">
        <v>445</v>
      </c>
      <c r="B233" s="54" t="s">
        <v>218</v>
      </c>
      <c r="C233" s="54" t="s">
        <v>119</v>
      </c>
      <c r="D233" s="54" t="s">
        <v>183</v>
      </c>
      <c r="E233" s="54" t="s">
        <v>116</v>
      </c>
      <c r="F233" s="55" t="n">
        <v>54242.88</v>
      </c>
      <c r="G233" s="54" t="s">
        <v>206</v>
      </c>
      <c r="H233" s="56" t="n">
        <f aca="false">VLOOKUP(E233,Treatment_Table!$B$5:$E$11,4,FALSE())</f>
        <v>0</v>
      </c>
      <c r="I233" s="57" t="n">
        <f aca="false">F233*H233</f>
        <v>0</v>
      </c>
      <c r="J233" s="57" t="n">
        <f aca="false">IF(D233="Income",F233,-F233)</f>
        <v>54242.88</v>
      </c>
    </row>
    <row r="234" customFormat="false" ht="15" hidden="false" customHeight="false" outlineLevel="0" collapsed="false">
      <c r="A234" s="54" t="s">
        <v>446</v>
      </c>
      <c r="B234" s="54" t="s">
        <v>214</v>
      </c>
      <c r="C234" s="54" t="s">
        <v>119</v>
      </c>
      <c r="D234" s="54" t="s">
        <v>183</v>
      </c>
      <c r="E234" s="54" t="s">
        <v>116</v>
      </c>
      <c r="F234" s="55" t="n">
        <v>297786.2</v>
      </c>
      <c r="G234" s="54" t="s">
        <v>206</v>
      </c>
      <c r="H234" s="56" t="n">
        <f aca="false">VLOOKUP(E234,Treatment_Table!$B$5:$E$11,4,FALSE())</f>
        <v>0</v>
      </c>
      <c r="I234" s="57" t="n">
        <f aca="false">F234*H234</f>
        <v>0</v>
      </c>
      <c r="J234" s="57" t="n">
        <f aca="false">IF(D234="Income",F234,-F234)</f>
        <v>297786.2</v>
      </c>
    </row>
    <row r="235" customFormat="false" ht="15" hidden="false" customHeight="false" outlineLevel="0" collapsed="false">
      <c r="A235" s="54" t="s">
        <v>447</v>
      </c>
      <c r="B235" s="54" t="s">
        <v>228</v>
      </c>
      <c r="C235" s="54" t="s">
        <v>119</v>
      </c>
      <c r="D235" s="54" t="s">
        <v>183</v>
      </c>
      <c r="E235" s="54" t="s">
        <v>116</v>
      </c>
      <c r="F235" s="55" t="n">
        <v>309072.33</v>
      </c>
      <c r="G235" s="54" t="s">
        <v>206</v>
      </c>
      <c r="H235" s="56" t="n">
        <f aca="false">VLOOKUP(E235,Treatment_Table!$B$5:$E$11,4,FALSE())</f>
        <v>0</v>
      </c>
      <c r="I235" s="57" t="n">
        <f aca="false">F235*H235</f>
        <v>0</v>
      </c>
      <c r="J235" s="57" t="n">
        <f aca="false">IF(D235="Income",F235,-F235)</f>
        <v>309072.33</v>
      </c>
    </row>
    <row r="236" customFormat="false" ht="15" hidden="false" customHeight="false" outlineLevel="0" collapsed="false">
      <c r="A236" s="54" t="s">
        <v>448</v>
      </c>
      <c r="B236" s="54" t="s">
        <v>218</v>
      </c>
      <c r="C236" s="54" t="s">
        <v>119</v>
      </c>
      <c r="D236" s="54" t="s">
        <v>183</v>
      </c>
      <c r="E236" s="54" t="s">
        <v>116</v>
      </c>
      <c r="F236" s="55" t="n">
        <v>320188.75</v>
      </c>
      <c r="G236" s="54" t="s">
        <v>206</v>
      </c>
      <c r="H236" s="56" t="n">
        <f aca="false">VLOOKUP(E236,Treatment_Table!$B$5:$E$11,4,FALSE())</f>
        <v>0</v>
      </c>
      <c r="I236" s="57" t="n">
        <f aca="false">F236*H236</f>
        <v>0</v>
      </c>
      <c r="J236" s="57" t="n">
        <f aca="false">IF(D236="Income",F236,-F236)</f>
        <v>320188.75</v>
      </c>
    </row>
    <row r="237" customFormat="false" ht="15" hidden="false" customHeight="false" outlineLevel="0" collapsed="false">
      <c r="A237" s="54" t="s">
        <v>449</v>
      </c>
      <c r="B237" s="54" t="s">
        <v>214</v>
      </c>
      <c r="C237" s="54" t="s">
        <v>119</v>
      </c>
      <c r="D237" s="54" t="s">
        <v>183</v>
      </c>
      <c r="E237" s="54" t="s">
        <v>116</v>
      </c>
      <c r="F237" s="55" t="n">
        <v>42382.6</v>
      </c>
      <c r="G237" s="54" t="s">
        <v>206</v>
      </c>
      <c r="H237" s="56" t="n">
        <f aca="false">VLOOKUP(E237,Treatment_Table!$B$5:$E$11,4,FALSE())</f>
        <v>0</v>
      </c>
      <c r="I237" s="57" t="n">
        <f aca="false">F237*H237</f>
        <v>0</v>
      </c>
      <c r="J237" s="57" t="n">
        <f aca="false">IF(D237="Income",F237,-F237)</f>
        <v>42382.6</v>
      </c>
    </row>
    <row r="238" customFormat="false" ht="15" hidden="false" customHeight="false" outlineLevel="0" collapsed="false">
      <c r="A238" s="54" t="s">
        <v>450</v>
      </c>
      <c r="B238" s="54" t="s">
        <v>228</v>
      </c>
      <c r="C238" s="54" t="s">
        <v>118</v>
      </c>
      <c r="D238" s="54" t="s">
        <v>183</v>
      </c>
      <c r="E238" s="54" t="s">
        <v>116</v>
      </c>
      <c r="F238" s="55" t="n">
        <v>172522.9</v>
      </c>
      <c r="G238" s="54" t="s">
        <v>211</v>
      </c>
      <c r="H238" s="56" t="n">
        <f aca="false">VLOOKUP(E238,Treatment_Table!$B$5:$E$11,4,FALSE())</f>
        <v>0</v>
      </c>
      <c r="I238" s="57" t="n">
        <f aca="false">F238*H238</f>
        <v>0</v>
      </c>
      <c r="J238" s="57" t="n">
        <f aca="false">IF(D238="Income",F238,-F238)</f>
        <v>172522.9</v>
      </c>
    </row>
    <row r="239" customFormat="false" ht="15" hidden="false" customHeight="false" outlineLevel="0" collapsed="false">
      <c r="A239" s="54" t="s">
        <v>451</v>
      </c>
      <c r="B239" s="54" t="s">
        <v>247</v>
      </c>
      <c r="C239" s="54" t="s">
        <v>119</v>
      </c>
      <c r="D239" s="54" t="s">
        <v>183</v>
      </c>
      <c r="E239" s="54" t="s">
        <v>116</v>
      </c>
      <c r="F239" s="55" t="n">
        <v>461401.51</v>
      </c>
      <c r="G239" s="54" t="s">
        <v>206</v>
      </c>
      <c r="H239" s="56" t="n">
        <f aca="false">VLOOKUP(E239,Treatment_Table!$B$5:$E$11,4,FALSE())</f>
        <v>0</v>
      </c>
      <c r="I239" s="57" t="n">
        <f aca="false">F239*H239</f>
        <v>0</v>
      </c>
      <c r="J239" s="57" t="n">
        <f aca="false">IF(D239="Income",F239,-F239)</f>
        <v>461401.51</v>
      </c>
    </row>
    <row r="240" customFormat="false" ht="15" hidden="false" customHeight="false" outlineLevel="0" collapsed="false">
      <c r="A240" s="54" t="s">
        <v>452</v>
      </c>
      <c r="B240" s="54" t="s">
        <v>243</v>
      </c>
      <c r="C240" s="54" t="s">
        <v>119</v>
      </c>
      <c r="D240" s="54" t="s">
        <v>183</v>
      </c>
      <c r="E240" s="54" t="s">
        <v>116</v>
      </c>
      <c r="F240" s="55" t="n">
        <v>351858.6</v>
      </c>
      <c r="G240" s="54" t="s">
        <v>206</v>
      </c>
      <c r="H240" s="56" t="n">
        <f aca="false">VLOOKUP(E240,Treatment_Table!$B$5:$E$11,4,FALSE())</f>
        <v>0</v>
      </c>
      <c r="I240" s="57" t="n">
        <f aca="false">F240*H240</f>
        <v>0</v>
      </c>
      <c r="J240" s="57" t="n">
        <f aca="false">IF(D240="Income",F240,-F240)</f>
        <v>351858.6</v>
      </c>
    </row>
    <row r="241" customFormat="false" ht="15" hidden="false" customHeight="false" outlineLevel="0" collapsed="false">
      <c r="A241" s="54" t="s">
        <v>453</v>
      </c>
      <c r="B241" s="54" t="s">
        <v>230</v>
      </c>
      <c r="C241" s="54" t="s">
        <v>119</v>
      </c>
      <c r="D241" s="54" t="s">
        <v>183</v>
      </c>
      <c r="E241" s="54" t="s">
        <v>116</v>
      </c>
      <c r="F241" s="55" t="n">
        <v>34151.25</v>
      </c>
      <c r="G241" s="54" t="s">
        <v>206</v>
      </c>
      <c r="H241" s="56" t="n">
        <f aca="false">VLOOKUP(E241,Treatment_Table!$B$5:$E$11,4,FALSE())</f>
        <v>0</v>
      </c>
      <c r="I241" s="57" t="n">
        <f aca="false">F241*H241</f>
        <v>0</v>
      </c>
      <c r="J241" s="57" t="n">
        <f aca="false">IF(D241="Income",F241,-F241)</f>
        <v>34151.25</v>
      </c>
    </row>
    <row r="242" customFormat="false" ht="15" hidden="false" customHeight="false" outlineLevel="0" collapsed="false">
      <c r="A242" s="54" t="s">
        <v>454</v>
      </c>
      <c r="B242" s="54" t="s">
        <v>205</v>
      </c>
      <c r="C242" s="54" t="s">
        <v>118</v>
      </c>
      <c r="D242" s="54" t="s">
        <v>183</v>
      </c>
      <c r="E242" s="54" t="s">
        <v>116</v>
      </c>
      <c r="F242" s="55" t="n">
        <v>21429.76</v>
      </c>
      <c r="G242" s="54" t="s">
        <v>211</v>
      </c>
      <c r="H242" s="56" t="n">
        <f aca="false">VLOOKUP(E242,Treatment_Table!$B$5:$E$11,4,FALSE())</f>
        <v>0</v>
      </c>
      <c r="I242" s="57" t="n">
        <f aca="false">F242*H242</f>
        <v>0</v>
      </c>
      <c r="J242" s="57" t="n">
        <f aca="false">IF(D242="Income",F242,-F242)</f>
        <v>21429.76</v>
      </c>
    </row>
    <row r="243" customFormat="false" ht="15" hidden="false" customHeight="false" outlineLevel="0" collapsed="false">
      <c r="A243" s="54" t="s">
        <v>455</v>
      </c>
      <c r="B243" s="54" t="s">
        <v>214</v>
      </c>
      <c r="C243" s="54" t="s">
        <v>119</v>
      </c>
      <c r="D243" s="54" t="s">
        <v>183</v>
      </c>
      <c r="E243" s="54" t="s">
        <v>116</v>
      </c>
      <c r="F243" s="55" t="n">
        <v>192912.75</v>
      </c>
      <c r="G243" s="54" t="s">
        <v>206</v>
      </c>
      <c r="H243" s="56" t="n">
        <f aca="false">VLOOKUP(E243,Treatment_Table!$B$5:$E$11,4,FALSE())</f>
        <v>0</v>
      </c>
      <c r="I243" s="57" t="n">
        <f aca="false">F243*H243</f>
        <v>0</v>
      </c>
      <c r="J243" s="57" t="n">
        <f aca="false">IF(D243="Income",F243,-F243)</f>
        <v>192912.75</v>
      </c>
    </row>
    <row r="244" customFormat="false" ht="15" hidden="false" customHeight="false" outlineLevel="0" collapsed="false">
      <c r="A244" s="54" t="s">
        <v>456</v>
      </c>
      <c r="B244" s="54" t="s">
        <v>235</v>
      </c>
      <c r="C244" s="54" t="s">
        <v>119</v>
      </c>
      <c r="D244" s="54" t="s">
        <v>183</v>
      </c>
      <c r="E244" s="54" t="s">
        <v>116</v>
      </c>
      <c r="F244" s="55" t="n">
        <v>154380.41</v>
      </c>
      <c r="G244" s="54" t="s">
        <v>206</v>
      </c>
      <c r="H244" s="56" t="n">
        <f aca="false">VLOOKUP(E244,Treatment_Table!$B$5:$E$11,4,FALSE())</f>
        <v>0</v>
      </c>
      <c r="I244" s="57" t="n">
        <f aca="false">F244*H244</f>
        <v>0</v>
      </c>
      <c r="J244" s="57" t="n">
        <f aca="false">IF(D244="Income",F244,-F244)</f>
        <v>154380.41</v>
      </c>
    </row>
    <row r="245" customFormat="false" ht="15" hidden="false" customHeight="false" outlineLevel="0" collapsed="false">
      <c r="A245" s="54" t="s">
        <v>457</v>
      </c>
      <c r="B245" s="54" t="s">
        <v>218</v>
      </c>
      <c r="C245" s="54" t="s">
        <v>119</v>
      </c>
      <c r="D245" s="54" t="s">
        <v>183</v>
      </c>
      <c r="E245" s="54" t="s">
        <v>116</v>
      </c>
      <c r="F245" s="55" t="n">
        <v>110847.92</v>
      </c>
      <c r="G245" s="54" t="s">
        <v>206</v>
      </c>
      <c r="H245" s="56" t="n">
        <f aca="false">VLOOKUP(E245,Treatment_Table!$B$5:$E$11,4,FALSE())</f>
        <v>0</v>
      </c>
      <c r="I245" s="57" t="n">
        <f aca="false">F245*H245</f>
        <v>0</v>
      </c>
      <c r="J245" s="57" t="n">
        <f aca="false">IF(D245="Income",F245,-F245)</f>
        <v>110847.92</v>
      </c>
    </row>
    <row r="246" customFormat="false" ht="15" hidden="false" customHeight="false" outlineLevel="0" collapsed="false">
      <c r="A246" s="54" t="s">
        <v>458</v>
      </c>
      <c r="B246" s="54" t="s">
        <v>223</v>
      </c>
      <c r="C246" s="54" t="s">
        <v>118</v>
      </c>
      <c r="D246" s="54" t="s">
        <v>183</v>
      </c>
      <c r="E246" s="54" t="s">
        <v>116</v>
      </c>
      <c r="F246" s="55" t="n">
        <v>32726.66</v>
      </c>
      <c r="G246" s="54" t="s">
        <v>211</v>
      </c>
      <c r="H246" s="56" t="n">
        <f aca="false">VLOOKUP(E246,Treatment_Table!$B$5:$E$11,4,FALSE())</f>
        <v>0</v>
      </c>
      <c r="I246" s="57" t="n">
        <f aca="false">F246*H246</f>
        <v>0</v>
      </c>
      <c r="J246" s="57" t="n">
        <f aca="false">IF(D246="Income",F246,-F246)</f>
        <v>32726.66</v>
      </c>
    </row>
    <row r="247" customFormat="false" ht="15" hidden="false" customHeight="false" outlineLevel="0" collapsed="false">
      <c r="A247" s="54" t="s">
        <v>459</v>
      </c>
      <c r="B247" s="54" t="s">
        <v>235</v>
      </c>
      <c r="C247" s="54" t="s">
        <v>119</v>
      </c>
      <c r="D247" s="54" t="s">
        <v>183</v>
      </c>
      <c r="E247" s="54" t="s">
        <v>116</v>
      </c>
      <c r="F247" s="55" t="n">
        <v>305692.72</v>
      </c>
      <c r="G247" s="54" t="s">
        <v>206</v>
      </c>
      <c r="H247" s="56" t="n">
        <f aca="false">VLOOKUP(E247,Treatment_Table!$B$5:$E$11,4,FALSE())</f>
        <v>0</v>
      </c>
      <c r="I247" s="57" t="n">
        <f aca="false">F247*H247</f>
        <v>0</v>
      </c>
      <c r="J247" s="57" t="n">
        <f aca="false">IF(D247="Income",F247,-F247)</f>
        <v>305692.72</v>
      </c>
    </row>
    <row r="248" customFormat="false" ht="15" hidden="false" customHeight="false" outlineLevel="0" collapsed="false">
      <c r="A248" s="54" t="s">
        <v>460</v>
      </c>
      <c r="B248" s="54" t="s">
        <v>247</v>
      </c>
      <c r="C248" s="54" t="s">
        <v>119</v>
      </c>
      <c r="D248" s="54" t="s">
        <v>183</v>
      </c>
      <c r="E248" s="54" t="s">
        <v>116</v>
      </c>
      <c r="F248" s="55" t="n">
        <v>41303.79</v>
      </c>
      <c r="G248" s="54" t="s">
        <v>206</v>
      </c>
      <c r="H248" s="56" t="n">
        <f aca="false">VLOOKUP(E248,Treatment_Table!$B$5:$E$11,4,FALSE())</f>
        <v>0</v>
      </c>
      <c r="I248" s="57" t="n">
        <f aca="false">F248*H248</f>
        <v>0</v>
      </c>
      <c r="J248" s="57" t="n">
        <f aca="false">IF(D248="Income",F248,-F248)</f>
        <v>41303.79</v>
      </c>
    </row>
    <row r="249" customFormat="false" ht="15" hidden="false" customHeight="false" outlineLevel="0" collapsed="false">
      <c r="A249" s="54" t="s">
        <v>461</v>
      </c>
      <c r="B249" s="54" t="s">
        <v>208</v>
      </c>
      <c r="C249" s="54" t="s">
        <v>118</v>
      </c>
      <c r="D249" s="54" t="s">
        <v>183</v>
      </c>
      <c r="E249" s="54" t="s">
        <v>116</v>
      </c>
      <c r="F249" s="55" t="n">
        <v>104047.8</v>
      </c>
      <c r="G249" s="54" t="s">
        <v>211</v>
      </c>
      <c r="H249" s="56" t="n">
        <f aca="false">VLOOKUP(E249,Treatment_Table!$B$5:$E$11,4,FALSE())</f>
        <v>0</v>
      </c>
      <c r="I249" s="57" t="n">
        <f aca="false">F249*H249</f>
        <v>0</v>
      </c>
      <c r="J249" s="57" t="n">
        <f aca="false">IF(D249="Income",F249,-F249)</f>
        <v>104047.8</v>
      </c>
    </row>
    <row r="250" customFormat="false" ht="15" hidden="false" customHeight="false" outlineLevel="0" collapsed="false">
      <c r="A250" s="54" t="s">
        <v>462</v>
      </c>
      <c r="B250" s="54" t="s">
        <v>210</v>
      </c>
      <c r="C250" s="54" t="s">
        <v>118</v>
      </c>
      <c r="D250" s="54" t="s">
        <v>183</v>
      </c>
      <c r="E250" s="54" t="s">
        <v>116</v>
      </c>
      <c r="F250" s="55" t="n">
        <v>48937.33</v>
      </c>
      <c r="G250" s="54" t="s">
        <v>211</v>
      </c>
      <c r="H250" s="56" t="n">
        <f aca="false">VLOOKUP(E250,Treatment_Table!$B$5:$E$11,4,FALSE())</f>
        <v>0</v>
      </c>
      <c r="I250" s="57" t="n">
        <f aca="false">F250*H250</f>
        <v>0</v>
      </c>
      <c r="J250" s="57" t="n">
        <f aca="false">IF(D250="Income",F250,-F250)</f>
        <v>48937.33</v>
      </c>
    </row>
    <row r="251" customFormat="false" ht="15" hidden="false" customHeight="false" outlineLevel="0" collapsed="false">
      <c r="A251" s="54" t="s">
        <v>463</v>
      </c>
      <c r="B251" s="54" t="s">
        <v>223</v>
      </c>
      <c r="C251" s="54" t="s">
        <v>119</v>
      </c>
      <c r="D251" s="54" t="s">
        <v>183</v>
      </c>
      <c r="E251" s="54" t="s">
        <v>116</v>
      </c>
      <c r="F251" s="55" t="n">
        <v>131760.43</v>
      </c>
      <c r="G251" s="54" t="s">
        <v>206</v>
      </c>
      <c r="H251" s="56" t="n">
        <f aca="false">VLOOKUP(E251,Treatment_Table!$B$5:$E$11,4,FALSE())</f>
        <v>0</v>
      </c>
      <c r="I251" s="57" t="n">
        <f aca="false">F251*H251</f>
        <v>0</v>
      </c>
      <c r="J251" s="57" t="n">
        <f aca="false">IF(D251="Income",F251,-F251)</f>
        <v>131760.43</v>
      </c>
    </row>
    <row r="252" customFormat="false" ht="15" hidden="false" customHeight="false" outlineLevel="0" collapsed="false">
      <c r="A252" s="54" t="s">
        <v>464</v>
      </c>
      <c r="B252" s="54" t="s">
        <v>243</v>
      </c>
      <c r="C252" s="54" t="s">
        <v>119</v>
      </c>
      <c r="D252" s="54" t="s">
        <v>183</v>
      </c>
      <c r="E252" s="54" t="s">
        <v>116</v>
      </c>
      <c r="F252" s="55" t="n">
        <v>137788.28</v>
      </c>
      <c r="G252" s="54" t="s">
        <v>206</v>
      </c>
      <c r="H252" s="56" t="n">
        <f aca="false">VLOOKUP(E252,Treatment_Table!$B$5:$E$11,4,FALSE())</f>
        <v>0</v>
      </c>
      <c r="I252" s="57" t="n">
        <f aca="false">F252*H252</f>
        <v>0</v>
      </c>
      <c r="J252" s="57" t="n">
        <f aca="false">IF(D252="Income",F252,-F252)</f>
        <v>137788.28</v>
      </c>
    </row>
    <row r="253" customFormat="false" ht="15" hidden="false" customHeight="false" outlineLevel="0" collapsed="false">
      <c r="A253" s="54" t="s">
        <v>465</v>
      </c>
      <c r="B253" s="54" t="s">
        <v>216</v>
      </c>
      <c r="C253" s="54" t="s">
        <v>118</v>
      </c>
      <c r="D253" s="54" t="s">
        <v>183</v>
      </c>
      <c r="E253" s="54" t="s">
        <v>116</v>
      </c>
      <c r="F253" s="55" t="n">
        <v>883025.77</v>
      </c>
      <c r="G253" s="54" t="s">
        <v>211</v>
      </c>
      <c r="H253" s="56" t="n">
        <f aca="false">VLOOKUP(E253,Treatment_Table!$B$5:$E$11,4,FALSE())</f>
        <v>0</v>
      </c>
      <c r="I253" s="57" t="n">
        <f aca="false">F253*H253</f>
        <v>0</v>
      </c>
      <c r="J253" s="57" t="n">
        <f aca="false">IF(D253="Income",F253,-F253)</f>
        <v>883025.77</v>
      </c>
    </row>
    <row r="254" customFormat="false" ht="15" hidden="false" customHeight="false" outlineLevel="0" collapsed="false">
      <c r="A254" s="54" t="s">
        <v>466</v>
      </c>
      <c r="B254" s="54" t="s">
        <v>214</v>
      </c>
      <c r="C254" s="54" t="s">
        <v>119</v>
      </c>
      <c r="D254" s="54" t="s">
        <v>183</v>
      </c>
      <c r="E254" s="54" t="s">
        <v>116</v>
      </c>
      <c r="F254" s="55" t="n">
        <v>122772.61</v>
      </c>
      <c r="G254" s="54" t="s">
        <v>206</v>
      </c>
      <c r="H254" s="56" t="n">
        <f aca="false">VLOOKUP(E254,Treatment_Table!$B$5:$E$11,4,FALSE())</f>
        <v>0</v>
      </c>
      <c r="I254" s="57" t="n">
        <f aca="false">F254*H254</f>
        <v>0</v>
      </c>
      <c r="J254" s="57" t="n">
        <f aca="false">IF(D254="Income",F254,-F254)</f>
        <v>122772.61</v>
      </c>
    </row>
    <row r="255" customFormat="false" ht="15" hidden="false" customHeight="false" outlineLevel="0" collapsed="false">
      <c r="A255" s="54" t="s">
        <v>467</v>
      </c>
      <c r="B255" s="54" t="s">
        <v>235</v>
      </c>
      <c r="C255" s="54" t="s">
        <v>119</v>
      </c>
      <c r="D255" s="54" t="s">
        <v>183</v>
      </c>
      <c r="E255" s="54" t="s">
        <v>116</v>
      </c>
      <c r="F255" s="55" t="n">
        <v>82810.59</v>
      </c>
      <c r="G255" s="54" t="s">
        <v>206</v>
      </c>
      <c r="H255" s="56" t="n">
        <f aca="false">VLOOKUP(E255,Treatment_Table!$B$5:$E$11,4,FALSE())</f>
        <v>0</v>
      </c>
      <c r="I255" s="57" t="n">
        <f aca="false">F255*H255</f>
        <v>0</v>
      </c>
      <c r="J255" s="57" t="n">
        <f aca="false">IF(D255="Income",F255,-F255)</f>
        <v>82810.59</v>
      </c>
    </row>
    <row r="256" customFormat="false" ht="15" hidden="false" customHeight="false" outlineLevel="0" collapsed="false">
      <c r="A256" s="54" t="s">
        <v>468</v>
      </c>
      <c r="B256" s="54" t="s">
        <v>247</v>
      </c>
      <c r="C256" s="54" t="s">
        <v>119</v>
      </c>
      <c r="D256" s="54" t="s">
        <v>183</v>
      </c>
      <c r="E256" s="54" t="s">
        <v>116</v>
      </c>
      <c r="F256" s="55" t="n">
        <v>318845.07</v>
      </c>
      <c r="G256" s="54" t="s">
        <v>206</v>
      </c>
      <c r="H256" s="56" t="n">
        <f aca="false">VLOOKUP(E256,Treatment_Table!$B$5:$E$11,4,FALSE())</f>
        <v>0</v>
      </c>
      <c r="I256" s="57" t="n">
        <f aca="false">F256*H256</f>
        <v>0</v>
      </c>
      <c r="J256" s="57" t="n">
        <f aca="false">IF(D256="Income",F256,-F256)</f>
        <v>318845.07</v>
      </c>
    </row>
    <row r="257" customFormat="false" ht="15" hidden="false" customHeight="false" outlineLevel="0" collapsed="false">
      <c r="A257" s="54" t="s">
        <v>469</v>
      </c>
      <c r="B257" s="54" t="s">
        <v>208</v>
      </c>
      <c r="C257" s="54" t="s">
        <v>118</v>
      </c>
      <c r="D257" s="54" t="s">
        <v>183</v>
      </c>
      <c r="E257" s="54" t="s">
        <v>116</v>
      </c>
      <c r="F257" s="55" t="n">
        <v>130037.77</v>
      </c>
      <c r="G257" s="54" t="s">
        <v>211</v>
      </c>
      <c r="H257" s="56" t="n">
        <f aca="false">VLOOKUP(E257,Treatment_Table!$B$5:$E$11,4,FALSE())</f>
        <v>0</v>
      </c>
      <c r="I257" s="57" t="n">
        <f aca="false">F257*H257</f>
        <v>0</v>
      </c>
      <c r="J257" s="57" t="n">
        <f aca="false">IF(D257="Income",F257,-F257)</f>
        <v>130037.77</v>
      </c>
    </row>
    <row r="258" customFormat="false" ht="15" hidden="false" customHeight="false" outlineLevel="0" collapsed="false">
      <c r="A258" s="54" t="s">
        <v>470</v>
      </c>
      <c r="B258" s="54" t="s">
        <v>208</v>
      </c>
      <c r="C258" s="54" t="s">
        <v>119</v>
      </c>
      <c r="D258" s="54" t="s">
        <v>183</v>
      </c>
      <c r="E258" s="54" t="s">
        <v>116</v>
      </c>
      <c r="F258" s="55" t="n">
        <v>279546</v>
      </c>
      <c r="G258" s="54" t="s">
        <v>206</v>
      </c>
      <c r="H258" s="56" t="n">
        <f aca="false">VLOOKUP(E258,Treatment_Table!$B$5:$E$11,4,FALSE())</f>
        <v>0</v>
      </c>
      <c r="I258" s="57" t="n">
        <f aca="false">F258*H258</f>
        <v>0</v>
      </c>
      <c r="J258" s="57" t="n">
        <f aca="false">IF(D258="Income",F258,-F258)</f>
        <v>279546</v>
      </c>
    </row>
    <row r="259" customFormat="false" ht="15" hidden="false" customHeight="false" outlineLevel="0" collapsed="false">
      <c r="A259" s="54" t="s">
        <v>471</v>
      </c>
      <c r="B259" s="54" t="s">
        <v>205</v>
      </c>
      <c r="C259" s="54" t="s">
        <v>119</v>
      </c>
      <c r="D259" s="54" t="s">
        <v>183</v>
      </c>
      <c r="E259" s="54" t="s">
        <v>116</v>
      </c>
      <c r="F259" s="55" t="n">
        <v>270267.86</v>
      </c>
      <c r="G259" s="54" t="s">
        <v>206</v>
      </c>
      <c r="H259" s="56" t="n">
        <f aca="false">VLOOKUP(E259,Treatment_Table!$B$5:$E$11,4,FALSE())</f>
        <v>0</v>
      </c>
      <c r="I259" s="57" t="n">
        <f aca="false">F259*H259</f>
        <v>0</v>
      </c>
      <c r="J259" s="57" t="n">
        <f aca="false">IF(D259="Income",F259,-F259)</f>
        <v>270267.86</v>
      </c>
    </row>
    <row r="260" customFormat="false" ht="15" hidden="false" customHeight="false" outlineLevel="0" collapsed="false">
      <c r="A260" s="54" t="s">
        <v>472</v>
      </c>
      <c r="B260" s="54" t="s">
        <v>208</v>
      </c>
      <c r="C260" s="54" t="s">
        <v>119</v>
      </c>
      <c r="D260" s="54" t="s">
        <v>183</v>
      </c>
      <c r="E260" s="54" t="s">
        <v>116</v>
      </c>
      <c r="F260" s="55" t="n">
        <v>189890.6</v>
      </c>
      <c r="G260" s="54" t="s">
        <v>206</v>
      </c>
      <c r="H260" s="56" t="n">
        <f aca="false">VLOOKUP(E260,Treatment_Table!$B$5:$E$11,4,FALSE())</f>
        <v>0</v>
      </c>
      <c r="I260" s="57" t="n">
        <f aca="false">F260*H260</f>
        <v>0</v>
      </c>
      <c r="J260" s="57" t="n">
        <f aca="false">IF(D260="Income",F260,-F260)</f>
        <v>189890.6</v>
      </c>
    </row>
    <row r="261" customFormat="false" ht="15" hidden="false" customHeight="false" outlineLevel="0" collapsed="false">
      <c r="A261" s="54" t="s">
        <v>473</v>
      </c>
      <c r="B261" s="54" t="s">
        <v>214</v>
      </c>
      <c r="C261" s="54" t="s">
        <v>119</v>
      </c>
      <c r="D261" s="54" t="s">
        <v>183</v>
      </c>
      <c r="E261" s="54" t="s">
        <v>116</v>
      </c>
      <c r="F261" s="55" t="n">
        <v>193810.05</v>
      </c>
      <c r="G261" s="54" t="s">
        <v>206</v>
      </c>
      <c r="H261" s="56" t="n">
        <f aca="false">VLOOKUP(E261,Treatment_Table!$B$5:$E$11,4,FALSE())</f>
        <v>0</v>
      </c>
      <c r="I261" s="57" t="n">
        <f aca="false">F261*H261</f>
        <v>0</v>
      </c>
      <c r="J261" s="57" t="n">
        <f aca="false">IF(D261="Income",F261,-F261)</f>
        <v>193810.05</v>
      </c>
    </row>
    <row r="262" customFormat="false" ht="15" hidden="false" customHeight="false" outlineLevel="0" collapsed="false">
      <c r="A262" s="54" t="s">
        <v>474</v>
      </c>
      <c r="B262" s="54" t="s">
        <v>223</v>
      </c>
      <c r="C262" s="54" t="s">
        <v>119</v>
      </c>
      <c r="D262" s="54" t="s">
        <v>183</v>
      </c>
      <c r="E262" s="54" t="s">
        <v>116</v>
      </c>
      <c r="F262" s="55" t="n">
        <v>1470979.66</v>
      </c>
      <c r="G262" s="54" t="s">
        <v>206</v>
      </c>
      <c r="H262" s="56" t="n">
        <f aca="false">VLOOKUP(E262,Treatment_Table!$B$5:$E$11,4,FALSE())</f>
        <v>0</v>
      </c>
      <c r="I262" s="57" t="n">
        <f aca="false">F262*H262</f>
        <v>0</v>
      </c>
      <c r="J262" s="57" t="n">
        <f aca="false">IF(D262="Income",F262,-F262)</f>
        <v>1470979.66</v>
      </c>
    </row>
    <row r="263" customFormat="false" ht="15" hidden="false" customHeight="false" outlineLevel="0" collapsed="false">
      <c r="A263" s="54" t="s">
        <v>475</v>
      </c>
      <c r="B263" s="54" t="s">
        <v>243</v>
      </c>
      <c r="C263" s="54" t="s">
        <v>119</v>
      </c>
      <c r="D263" s="54" t="s">
        <v>183</v>
      </c>
      <c r="E263" s="54" t="s">
        <v>116</v>
      </c>
      <c r="F263" s="55" t="n">
        <v>120382.76</v>
      </c>
      <c r="G263" s="54" t="s">
        <v>206</v>
      </c>
      <c r="H263" s="56" t="n">
        <f aca="false">VLOOKUP(E263,Treatment_Table!$B$5:$E$11,4,FALSE())</f>
        <v>0</v>
      </c>
      <c r="I263" s="57" t="n">
        <f aca="false">F263*H263</f>
        <v>0</v>
      </c>
      <c r="J263" s="57" t="n">
        <f aca="false">IF(D263="Income",F263,-F263)</f>
        <v>120382.76</v>
      </c>
    </row>
    <row r="264" customFormat="false" ht="15" hidden="false" customHeight="false" outlineLevel="0" collapsed="false">
      <c r="A264" s="54" t="s">
        <v>476</v>
      </c>
      <c r="B264" s="54" t="s">
        <v>235</v>
      </c>
      <c r="C264" s="54" t="s">
        <v>118</v>
      </c>
      <c r="D264" s="54" t="s">
        <v>183</v>
      </c>
      <c r="E264" s="54" t="s">
        <v>116</v>
      </c>
      <c r="F264" s="55" t="n">
        <v>58502.07</v>
      </c>
      <c r="G264" s="54" t="s">
        <v>211</v>
      </c>
      <c r="H264" s="56" t="n">
        <f aca="false">VLOOKUP(E264,Treatment_Table!$B$5:$E$11,4,FALSE())</f>
        <v>0</v>
      </c>
      <c r="I264" s="57" t="n">
        <f aca="false">F264*H264</f>
        <v>0</v>
      </c>
      <c r="J264" s="57" t="n">
        <f aca="false">IF(D264="Income",F264,-F264)</f>
        <v>58502.07</v>
      </c>
    </row>
    <row r="265" customFormat="false" ht="15" hidden="false" customHeight="false" outlineLevel="0" collapsed="false">
      <c r="A265" s="54" t="s">
        <v>477</v>
      </c>
      <c r="B265" s="54" t="s">
        <v>223</v>
      </c>
      <c r="C265" s="54" t="s">
        <v>118</v>
      </c>
      <c r="D265" s="54" t="s">
        <v>183</v>
      </c>
      <c r="E265" s="54" t="s">
        <v>116</v>
      </c>
      <c r="F265" s="55" t="n">
        <v>119602.27</v>
      </c>
      <c r="G265" s="54" t="s">
        <v>211</v>
      </c>
      <c r="H265" s="56" t="n">
        <f aca="false">VLOOKUP(E265,Treatment_Table!$B$5:$E$11,4,FALSE())</f>
        <v>0</v>
      </c>
      <c r="I265" s="57" t="n">
        <f aca="false">F265*H265</f>
        <v>0</v>
      </c>
      <c r="J265" s="57" t="n">
        <f aca="false">IF(D265="Income",F265,-F265)</f>
        <v>119602.27</v>
      </c>
    </row>
    <row r="266" customFormat="false" ht="15" hidden="false" customHeight="false" outlineLevel="0" collapsed="false">
      <c r="A266" s="54" t="s">
        <v>478</v>
      </c>
      <c r="B266" s="54" t="s">
        <v>214</v>
      </c>
      <c r="C266" s="54" t="s">
        <v>119</v>
      </c>
      <c r="D266" s="54" t="s">
        <v>183</v>
      </c>
      <c r="E266" s="54" t="s">
        <v>116</v>
      </c>
      <c r="F266" s="55" t="n">
        <v>794413.58</v>
      </c>
      <c r="G266" s="54" t="s">
        <v>206</v>
      </c>
      <c r="H266" s="56" t="n">
        <f aca="false">VLOOKUP(E266,Treatment_Table!$B$5:$E$11,4,FALSE())</f>
        <v>0</v>
      </c>
      <c r="I266" s="57" t="n">
        <f aca="false">F266*H266</f>
        <v>0</v>
      </c>
      <c r="J266" s="57" t="n">
        <f aca="false">IF(D266="Income",F266,-F266)</f>
        <v>794413.58</v>
      </c>
    </row>
    <row r="267" customFormat="false" ht="15" hidden="false" customHeight="false" outlineLevel="0" collapsed="false">
      <c r="A267" s="54" t="s">
        <v>479</v>
      </c>
      <c r="B267" s="54" t="s">
        <v>223</v>
      </c>
      <c r="C267" s="54" t="s">
        <v>119</v>
      </c>
      <c r="D267" s="54" t="s">
        <v>183</v>
      </c>
      <c r="E267" s="54" t="s">
        <v>116</v>
      </c>
      <c r="F267" s="55" t="n">
        <v>220821.38</v>
      </c>
      <c r="G267" s="54" t="s">
        <v>206</v>
      </c>
      <c r="H267" s="56" t="n">
        <f aca="false">VLOOKUP(E267,Treatment_Table!$B$5:$E$11,4,FALSE())</f>
        <v>0</v>
      </c>
      <c r="I267" s="57" t="n">
        <f aca="false">F267*H267</f>
        <v>0</v>
      </c>
      <c r="J267" s="57" t="n">
        <f aca="false">IF(D267="Income",F267,-F267)</f>
        <v>220821.38</v>
      </c>
    </row>
    <row r="268" customFormat="false" ht="15" hidden="false" customHeight="false" outlineLevel="0" collapsed="false">
      <c r="A268" s="54" t="s">
        <v>480</v>
      </c>
      <c r="B268" s="54" t="s">
        <v>218</v>
      </c>
      <c r="C268" s="54" t="s">
        <v>119</v>
      </c>
      <c r="D268" s="54" t="s">
        <v>183</v>
      </c>
      <c r="E268" s="54" t="s">
        <v>116</v>
      </c>
      <c r="F268" s="55" t="n">
        <v>115221.01</v>
      </c>
      <c r="G268" s="54" t="s">
        <v>206</v>
      </c>
      <c r="H268" s="56" t="n">
        <f aca="false">VLOOKUP(E268,Treatment_Table!$B$5:$E$11,4,FALSE())</f>
        <v>0</v>
      </c>
      <c r="I268" s="57" t="n">
        <f aca="false">F268*H268</f>
        <v>0</v>
      </c>
      <c r="J268" s="57" t="n">
        <f aca="false">IF(D268="Income",F268,-F268)</f>
        <v>115221.01</v>
      </c>
    </row>
    <row r="269" customFormat="false" ht="15" hidden="false" customHeight="false" outlineLevel="0" collapsed="false">
      <c r="A269" s="54" t="s">
        <v>481</v>
      </c>
      <c r="B269" s="54" t="s">
        <v>208</v>
      </c>
      <c r="C269" s="54" t="s">
        <v>118</v>
      </c>
      <c r="D269" s="54" t="s">
        <v>183</v>
      </c>
      <c r="E269" s="54" t="s">
        <v>116</v>
      </c>
      <c r="F269" s="55" t="n">
        <v>40075.02</v>
      </c>
      <c r="G269" s="54" t="s">
        <v>211</v>
      </c>
      <c r="H269" s="56" t="n">
        <f aca="false">VLOOKUP(E269,Treatment_Table!$B$5:$E$11,4,FALSE())</f>
        <v>0</v>
      </c>
      <c r="I269" s="57" t="n">
        <f aca="false">F269*H269</f>
        <v>0</v>
      </c>
      <c r="J269" s="57" t="n">
        <f aca="false">IF(D269="Income",F269,-F269)</f>
        <v>40075.02</v>
      </c>
    </row>
    <row r="270" customFormat="false" ht="15" hidden="false" customHeight="false" outlineLevel="0" collapsed="false">
      <c r="A270" s="54" t="s">
        <v>482</v>
      </c>
      <c r="B270" s="54" t="s">
        <v>230</v>
      </c>
      <c r="C270" s="54" t="s">
        <v>119</v>
      </c>
      <c r="D270" s="54" t="s">
        <v>183</v>
      </c>
      <c r="E270" s="54" t="s">
        <v>116</v>
      </c>
      <c r="F270" s="55" t="n">
        <v>25452.8</v>
      </c>
      <c r="G270" s="54" t="s">
        <v>206</v>
      </c>
      <c r="H270" s="56" t="n">
        <f aca="false">VLOOKUP(E270,Treatment_Table!$B$5:$E$11,4,FALSE())</f>
        <v>0</v>
      </c>
      <c r="I270" s="57" t="n">
        <f aca="false">F270*H270</f>
        <v>0</v>
      </c>
      <c r="J270" s="57" t="n">
        <f aca="false">IF(D270="Income",F270,-F270)</f>
        <v>25452.8</v>
      </c>
    </row>
    <row r="271" customFormat="false" ht="15" hidden="false" customHeight="false" outlineLevel="0" collapsed="false">
      <c r="A271" s="54" t="s">
        <v>483</v>
      </c>
      <c r="B271" s="54" t="s">
        <v>235</v>
      </c>
      <c r="C271" s="54" t="s">
        <v>119</v>
      </c>
      <c r="D271" s="54" t="s">
        <v>183</v>
      </c>
      <c r="E271" s="54" t="s">
        <v>116</v>
      </c>
      <c r="F271" s="55" t="n">
        <v>399765.67</v>
      </c>
      <c r="G271" s="54" t="s">
        <v>206</v>
      </c>
      <c r="H271" s="56" t="n">
        <f aca="false">VLOOKUP(E271,Treatment_Table!$B$5:$E$11,4,FALSE())</f>
        <v>0</v>
      </c>
      <c r="I271" s="57" t="n">
        <f aca="false">F271*H271</f>
        <v>0</v>
      </c>
      <c r="J271" s="57" t="n">
        <f aca="false">IF(D271="Income",F271,-F271)</f>
        <v>399765.67</v>
      </c>
    </row>
    <row r="272" customFormat="false" ht="15" hidden="false" customHeight="false" outlineLevel="0" collapsed="false">
      <c r="A272" s="54" t="s">
        <v>484</v>
      </c>
      <c r="B272" s="54" t="s">
        <v>243</v>
      </c>
      <c r="C272" s="54" t="s">
        <v>118</v>
      </c>
      <c r="D272" s="54" t="s">
        <v>183</v>
      </c>
      <c r="E272" s="54" t="s">
        <v>116</v>
      </c>
      <c r="F272" s="55" t="n">
        <v>46774.71</v>
      </c>
      <c r="G272" s="54" t="s">
        <v>211</v>
      </c>
      <c r="H272" s="56" t="n">
        <f aca="false">VLOOKUP(E272,Treatment_Table!$B$5:$E$11,4,FALSE())</f>
        <v>0</v>
      </c>
      <c r="I272" s="57" t="n">
        <f aca="false">F272*H272</f>
        <v>0</v>
      </c>
      <c r="J272" s="57" t="n">
        <f aca="false">IF(D272="Income",F272,-F272)</f>
        <v>46774.71</v>
      </c>
    </row>
    <row r="273" customFormat="false" ht="15" hidden="false" customHeight="false" outlineLevel="0" collapsed="false">
      <c r="A273" s="54" t="s">
        <v>485</v>
      </c>
      <c r="B273" s="54" t="s">
        <v>247</v>
      </c>
      <c r="C273" s="54" t="s">
        <v>118</v>
      </c>
      <c r="D273" s="54" t="s">
        <v>183</v>
      </c>
      <c r="E273" s="54" t="s">
        <v>116</v>
      </c>
      <c r="F273" s="55" t="n">
        <v>9266.24</v>
      </c>
      <c r="G273" s="54" t="s">
        <v>211</v>
      </c>
      <c r="H273" s="56" t="n">
        <f aca="false">VLOOKUP(E273,Treatment_Table!$B$5:$E$11,4,FALSE())</f>
        <v>0</v>
      </c>
      <c r="I273" s="57" t="n">
        <f aca="false">F273*H273</f>
        <v>0</v>
      </c>
      <c r="J273" s="57" t="n">
        <f aca="false">IF(D273="Income",F273,-F273)</f>
        <v>9266.24</v>
      </c>
    </row>
    <row r="274" customFormat="false" ht="15" hidden="false" customHeight="false" outlineLevel="0" collapsed="false">
      <c r="A274" s="54" t="s">
        <v>486</v>
      </c>
      <c r="B274" s="54" t="s">
        <v>247</v>
      </c>
      <c r="C274" s="54" t="s">
        <v>118</v>
      </c>
      <c r="D274" s="54" t="s">
        <v>183</v>
      </c>
      <c r="E274" s="54" t="s">
        <v>116</v>
      </c>
      <c r="F274" s="55" t="n">
        <v>56222.21</v>
      </c>
      <c r="G274" s="54" t="s">
        <v>211</v>
      </c>
      <c r="H274" s="56" t="n">
        <f aca="false">VLOOKUP(E274,Treatment_Table!$B$5:$E$11,4,FALSE())</f>
        <v>0</v>
      </c>
      <c r="I274" s="57" t="n">
        <f aca="false">F274*H274</f>
        <v>0</v>
      </c>
      <c r="J274" s="57" t="n">
        <f aca="false">IF(D274="Income",F274,-F274)</f>
        <v>56222.21</v>
      </c>
    </row>
    <row r="275" customFormat="false" ht="15" hidden="false" customHeight="false" outlineLevel="0" collapsed="false">
      <c r="A275" s="54" t="s">
        <v>487</v>
      </c>
      <c r="B275" s="54" t="s">
        <v>205</v>
      </c>
      <c r="C275" s="54" t="s">
        <v>119</v>
      </c>
      <c r="D275" s="54" t="s">
        <v>183</v>
      </c>
      <c r="E275" s="54" t="s">
        <v>116</v>
      </c>
      <c r="F275" s="55" t="n">
        <v>133884.33</v>
      </c>
      <c r="G275" s="54" t="s">
        <v>206</v>
      </c>
      <c r="H275" s="56" t="n">
        <f aca="false">VLOOKUP(E275,Treatment_Table!$B$5:$E$11,4,FALSE())</f>
        <v>0</v>
      </c>
      <c r="I275" s="57" t="n">
        <f aca="false">F275*H275</f>
        <v>0</v>
      </c>
      <c r="J275" s="57" t="n">
        <f aca="false">IF(D275="Income",F275,-F275)</f>
        <v>133884.33</v>
      </c>
    </row>
    <row r="276" customFormat="false" ht="15" hidden="false" customHeight="false" outlineLevel="0" collapsed="false">
      <c r="A276" s="54" t="s">
        <v>488</v>
      </c>
      <c r="B276" s="54" t="s">
        <v>216</v>
      </c>
      <c r="C276" s="54" t="s">
        <v>119</v>
      </c>
      <c r="D276" s="54" t="s">
        <v>183</v>
      </c>
      <c r="E276" s="54" t="s">
        <v>116</v>
      </c>
      <c r="F276" s="55" t="n">
        <v>149498.25</v>
      </c>
      <c r="G276" s="54" t="s">
        <v>206</v>
      </c>
      <c r="H276" s="56" t="n">
        <f aca="false">VLOOKUP(E276,Treatment_Table!$B$5:$E$11,4,FALSE())</f>
        <v>0</v>
      </c>
      <c r="I276" s="57" t="n">
        <f aca="false">F276*H276</f>
        <v>0</v>
      </c>
      <c r="J276" s="57" t="n">
        <f aca="false">IF(D276="Income",F276,-F276)</f>
        <v>149498.25</v>
      </c>
    </row>
    <row r="277" customFormat="false" ht="15" hidden="false" customHeight="false" outlineLevel="0" collapsed="false">
      <c r="A277" s="54" t="s">
        <v>489</v>
      </c>
      <c r="B277" s="54" t="s">
        <v>214</v>
      </c>
      <c r="C277" s="54" t="s">
        <v>119</v>
      </c>
      <c r="D277" s="54" t="s">
        <v>183</v>
      </c>
      <c r="E277" s="54" t="s">
        <v>116</v>
      </c>
      <c r="F277" s="55" t="n">
        <v>72493.78</v>
      </c>
      <c r="G277" s="54" t="s">
        <v>206</v>
      </c>
      <c r="H277" s="56" t="n">
        <f aca="false">VLOOKUP(E277,Treatment_Table!$B$5:$E$11,4,FALSE())</f>
        <v>0</v>
      </c>
      <c r="I277" s="57" t="n">
        <f aca="false">F277*H277</f>
        <v>0</v>
      </c>
      <c r="J277" s="57" t="n">
        <f aca="false">IF(D277="Income",F277,-F277)</f>
        <v>72493.78</v>
      </c>
    </row>
    <row r="278" customFormat="false" ht="15" hidden="false" customHeight="false" outlineLevel="0" collapsed="false">
      <c r="A278" s="54" t="s">
        <v>490</v>
      </c>
      <c r="B278" s="54" t="s">
        <v>228</v>
      </c>
      <c r="C278" s="54" t="s">
        <v>118</v>
      </c>
      <c r="D278" s="54" t="s">
        <v>183</v>
      </c>
      <c r="E278" s="54" t="s">
        <v>116</v>
      </c>
      <c r="F278" s="55" t="n">
        <v>190015.56</v>
      </c>
      <c r="G278" s="54" t="s">
        <v>211</v>
      </c>
      <c r="H278" s="56" t="n">
        <f aca="false">VLOOKUP(E278,Treatment_Table!$B$5:$E$11,4,FALSE())</f>
        <v>0</v>
      </c>
      <c r="I278" s="57" t="n">
        <f aca="false">F278*H278</f>
        <v>0</v>
      </c>
      <c r="J278" s="57" t="n">
        <f aca="false">IF(D278="Income",F278,-F278)</f>
        <v>190015.56</v>
      </c>
    </row>
    <row r="279" customFormat="false" ht="15" hidden="false" customHeight="false" outlineLevel="0" collapsed="false">
      <c r="A279" s="54" t="s">
        <v>491</v>
      </c>
      <c r="B279" s="54" t="s">
        <v>223</v>
      </c>
      <c r="C279" s="54" t="s">
        <v>119</v>
      </c>
      <c r="D279" s="54" t="s">
        <v>183</v>
      </c>
      <c r="E279" s="54" t="s">
        <v>116</v>
      </c>
      <c r="F279" s="55" t="n">
        <v>132068.58</v>
      </c>
      <c r="G279" s="54" t="s">
        <v>206</v>
      </c>
      <c r="H279" s="56" t="n">
        <f aca="false">VLOOKUP(E279,Treatment_Table!$B$5:$E$11,4,FALSE())</f>
        <v>0</v>
      </c>
      <c r="I279" s="57" t="n">
        <f aca="false">F279*H279</f>
        <v>0</v>
      </c>
      <c r="J279" s="57" t="n">
        <f aca="false">IF(D279="Income",F279,-F279)</f>
        <v>132068.58</v>
      </c>
    </row>
    <row r="280" customFormat="false" ht="15" hidden="false" customHeight="false" outlineLevel="0" collapsed="false">
      <c r="A280" s="54" t="s">
        <v>492</v>
      </c>
      <c r="B280" s="54" t="s">
        <v>230</v>
      </c>
      <c r="C280" s="54" t="s">
        <v>119</v>
      </c>
      <c r="D280" s="54" t="s">
        <v>183</v>
      </c>
      <c r="E280" s="54" t="s">
        <v>116</v>
      </c>
      <c r="F280" s="55" t="n">
        <v>493917.58</v>
      </c>
      <c r="G280" s="54" t="s">
        <v>206</v>
      </c>
      <c r="H280" s="56" t="n">
        <f aca="false">VLOOKUP(E280,Treatment_Table!$B$5:$E$11,4,FALSE())</f>
        <v>0</v>
      </c>
      <c r="I280" s="57" t="n">
        <f aca="false">F280*H280</f>
        <v>0</v>
      </c>
      <c r="J280" s="57" t="n">
        <f aca="false">IF(D280="Income",F280,-F280)</f>
        <v>493917.58</v>
      </c>
    </row>
    <row r="281" customFormat="false" ht="15" hidden="false" customHeight="false" outlineLevel="0" collapsed="false">
      <c r="A281" s="54" t="s">
        <v>493</v>
      </c>
      <c r="B281" s="54" t="s">
        <v>235</v>
      </c>
      <c r="C281" s="54" t="s">
        <v>119</v>
      </c>
      <c r="D281" s="54" t="s">
        <v>183</v>
      </c>
      <c r="E281" s="54" t="s">
        <v>116</v>
      </c>
      <c r="F281" s="55" t="n">
        <v>32108.42</v>
      </c>
      <c r="G281" s="54" t="s">
        <v>206</v>
      </c>
      <c r="H281" s="56" t="n">
        <f aca="false">VLOOKUP(E281,Treatment_Table!$B$5:$E$11,4,FALSE())</f>
        <v>0</v>
      </c>
      <c r="I281" s="57" t="n">
        <f aca="false">F281*H281</f>
        <v>0</v>
      </c>
      <c r="J281" s="57" t="n">
        <f aca="false">IF(D281="Income",F281,-F281)</f>
        <v>32108.42</v>
      </c>
    </row>
    <row r="282" customFormat="false" ht="15" hidden="false" customHeight="false" outlineLevel="0" collapsed="false">
      <c r="A282" s="54" t="s">
        <v>494</v>
      </c>
      <c r="B282" s="54" t="s">
        <v>208</v>
      </c>
      <c r="C282" s="54" t="s">
        <v>118</v>
      </c>
      <c r="D282" s="54" t="s">
        <v>183</v>
      </c>
      <c r="E282" s="54" t="s">
        <v>116</v>
      </c>
      <c r="F282" s="55" t="n">
        <v>206205.14</v>
      </c>
      <c r="G282" s="54" t="s">
        <v>211</v>
      </c>
      <c r="H282" s="56" t="n">
        <f aca="false">VLOOKUP(E282,Treatment_Table!$B$5:$E$11,4,FALSE())</f>
        <v>0</v>
      </c>
      <c r="I282" s="57" t="n">
        <f aca="false">F282*H282</f>
        <v>0</v>
      </c>
      <c r="J282" s="57" t="n">
        <f aca="false">IF(D282="Income",F282,-F282)</f>
        <v>206205.14</v>
      </c>
    </row>
    <row r="283" customFormat="false" ht="15" hidden="false" customHeight="false" outlineLevel="0" collapsed="false">
      <c r="A283" s="54" t="s">
        <v>495</v>
      </c>
      <c r="B283" s="54" t="s">
        <v>216</v>
      </c>
      <c r="C283" s="54" t="s">
        <v>119</v>
      </c>
      <c r="D283" s="54" t="s">
        <v>183</v>
      </c>
      <c r="E283" s="54" t="s">
        <v>116</v>
      </c>
      <c r="F283" s="55" t="n">
        <v>351783.38</v>
      </c>
      <c r="G283" s="54" t="s">
        <v>206</v>
      </c>
      <c r="H283" s="56" t="n">
        <f aca="false">VLOOKUP(E283,Treatment_Table!$B$5:$E$11,4,FALSE())</f>
        <v>0</v>
      </c>
      <c r="I283" s="57" t="n">
        <f aca="false">F283*H283</f>
        <v>0</v>
      </c>
      <c r="J283" s="57" t="n">
        <f aca="false">IF(D283="Income",F283,-F283)</f>
        <v>351783.38</v>
      </c>
    </row>
    <row r="284" customFormat="false" ht="15" hidden="false" customHeight="false" outlineLevel="0" collapsed="false">
      <c r="A284" s="54" t="s">
        <v>496</v>
      </c>
      <c r="B284" s="54" t="s">
        <v>208</v>
      </c>
      <c r="C284" s="54" t="s">
        <v>119</v>
      </c>
      <c r="D284" s="54" t="s">
        <v>183</v>
      </c>
      <c r="E284" s="54" t="s">
        <v>116</v>
      </c>
      <c r="F284" s="55" t="n">
        <v>117705.07</v>
      </c>
      <c r="G284" s="54" t="s">
        <v>206</v>
      </c>
      <c r="H284" s="56" t="n">
        <f aca="false">VLOOKUP(E284,Treatment_Table!$B$5:$E$11,4,FALSE())</f>
        <v>0</v>
      </c>
      <c r="I284" s="57" t="n">
        <f aca="false">F284*H284</f>
        <v>0</v>
      </c>
      <c r="J284" s="57" t="n">
        <f aca="false">IF(D284="Income",F284,-F284)</f>
        <v>117705.07</v>
      </c>
    </row>
    <row r="285" customFormat="false" ht="15" hidden="false" customHeight="false" outlineLevel="0" collapsed="false">
      <c r="A285" s="54" t="s">
        <v>497</v>
      </c>
      <c r="B285" s="54" t="s">
        <v>223</v>
      </c>
      <c r="C285" s="54" t="s">
        <v>118</v>
      </c>
      <c r="D285" s="54" t="s">
        <v>183</v>
      </c>
      <c r="E285" s="54" t="s">
        <v>116</v>
      </c>
      <c r="F285" s="55" t="n">
        <v>414486.7</v>
      </c>
      <c r="G285" s="54" t="s">
        <v>211</v>
      </c>
      <c r="H285" s="56" t="n">
        <f aca="false">VLOOKUP(E285,Treatment_Table!$B$5:$E$11,4,FALSE())</f>
        <v>0</v>
      </c>
      <c r="I285" s="57" t="n">
        <f aca="false">F285*H285</f>
        <v>0</v>
      </c>
      <c r="J285" s="57" t="n">
        <f aca="false">IF(D285="Income",F285,-F285)</f>
        <v>414486.7</v>
      </c>
    </row>
    <row r="286" customFormat="false" ht="15" hidden="false" customHeight="false" outlineLevel="0" collapsed="false">
      <c r="A286" s="54" t="s">
        <v>498</v>
      </c>
      <c r="B286" s="54" t="s">
        <v>235</v>
      </c>
      <c r="C286" s="54" t="s">
        <v>118</v>
      </c>
      <c r="D286" s="54" t="s">
        <v>183</v>
      </c>
      <c r="E286" s="54" t="s">
        <v>116</v>
      </c>
      <c r="F286" s="55" t="n">
        <v>1225535.96</v>
      </c>
      <c r="G286" s="54" t="s">
        <v>211</v>
      </c>
      <c r="H286" s="56" t="n">
        <f aca="false">VLOOKUP(E286,Treatment_Table!$B$5:$E$11,4,FALSE())</f>
        <v>0</v>
      </c>
      <c r="I286" s="57" t="n">
        <f aca="false">F286*H286</f>
        <v>0</v>
      </c>
      <c r="J286" s="57" t="n">
        <f aca="false">IF(D286="Income",F286,-F286)</f>
        <v>1225535.96</v>
      </c>
    </row>
    <row r="287" customFormat="false" ht="15" hidden="false" customHeight="false" outlineLevel="0" collapsed="false">
      <c r="A287" s="54" t="s">
        <v>499</v>
      </c>
      <c r="B287" s="54" t="s">
        <v>205</v>
      </c>
      <c r="C287" s="54" t="s">
        <v>119</v>
      </c>
      <c r="D287" s="54" t="s">
        <v>183</v>
      </c>
      <c r="E287" s="54" t="s">
        <v>116</v>
      </c>
      <c r="F287" s="55" t="n">
        <v>485855.89</v>
      </c>
      <c r="G287" s="54" t="s">
        <v>206</v>
      </c>
      <c r="H287" s="56" t="n">
        <f aca="false">VLOOKUP(E287,Treatment_Table!$B$5:$E$11,4,FALSE())</f>
        <v>0</v>
      </c>
      <c r="I287" s="57" t="n">
        <f aca="false">F287*H287</f>
        <v>0</v>
      </c>
      <c r="J287" s="57" t="n">
        <f aca="false">IF(D287="Income",F287,-F287)</f>
        <v>485855.89</v>
      </c>
    </row>
    <row r="288" customFormat="false" ht="15" hidden="false" customHeight="false" outlineLevel="0" collapsed="false">
      <c r="A288" s="54" t="s">
        <v>500</v>
      </c>
      <c r="B288" s="54" t="s">
        <v>235</v>
      </c>
      <c r="C288" s="54" t="s">
        <v>119</v>
      </c>
      <c r="D288" s="54" t="s">
        <v>183</v>
      </c>
      <c r="E288" s="54" t="s">
        <v>116</v>
      </c>
      <c r="F288" s="55" t="n">
        <v>211643.72</v>
      </c>
      <c r="G288" s="54" t="s">
        <v>206</v>
      </c>
      <c r="H288" s="56" t="n">
        <f aca="false">VLOOKUP(E288,Treatment_Table!$B$5:$E$11,4,FALSE())</f>
        <v>0</v>
      </c>
      <c r="I288" s="57" t="n">
        <f aca="false">F288*H288</f>
        <v>0</v>
      </c>
      <c r="J288" s="57" t="n">
        <f aca="false">IF(D288="Income",F288,-F288)</f>
        <v>211643.72</v>
      </c>
    </row>
    <row r="289" customFormat="false" ht="15" hidden="false" customHeight="false" outlineLevel="0" collapsed="false">
      <c r="A289" s="54" t="s">
        <v>501</v>
      </c>
      <c r="B289" s="54" t="s">
        <v>243</v>
      </c>
      <c r="C289" s="54" t="s">
        <v>119</v>
      </c>
      <c r="D289" s="54" t="s">
        <v>183</v>
      </c>
      <c r="E289" s="54" t="s">
        <v>116</v>
      </c>
      <c r="F289" s="55" t="n">
        <v>70230.89</v>
      </c>
      <c r="G289" s="54" t="s">
        <v>206</v>
      </c>
      <c r="H289" s="56" t="n">
        <f aca="false">VLOOKUP(E289,Treatment_Table!$B$5:$E$11,4,FALSE())</f>
        <v>0</v>
      </c>
      <c r="I289" s="57" t="n">
        <f aca="false">F289*H289</f>
        <v>0</v>
      </c>
      <c r="J289" s="57" t="n">
        <f aca="false">IF(D289="Income",F289,-F289)</f>
        <v>70230.89</v>
      </c>
    </row>
    <row r="290" customFormat="false" ht="15" hidden="false" customHeight="false" outlineLevel="0" collapsed="false">
      <c r="A290" s="54" t="s">
        <v>502</v>
      </c>
      <c r="B290" s="54" t="s">
        <v>205</v>
      </c>
      <c r="C290" s="54" t="s">
        <v>118</v>
      </c>
      <c r="D290" s="54" t="s">
        <v>183</v>
      </c>
      <c r="E290" s="54" t="s">
        <v>116</v>
      </c>
      <c r="F290" s="55" t="n">
        <v>160638.07</v>
      </c>
      <c r="G290" s="54" t="s">
        <v>211</v>
      </c>
      <c r="H290" s="56" t="n">
        <f aca="false">VLOOKUP(E290,Treatment_Table!$B$5:$E$11,4,FALSE())</f>
        <v>0</v>
      </c>
      <c r="I290" s="57" t="n">
        <f aca="false">F290*H290</f>
        <v>0</v>
      </c>
      <c r="J290" s="57" t="n">
        <f aca="false">IF(D290="Income",F290,-F290)</f>
        <v>160638.07</v>
      </c>
    </row>
    <row r="291" customFormat="false" ht="15" hidden="false" customHeight="false" outlineLevel="0" collapsed="false">
      <c r="A291" s="54" t="s">
        <v>503</v>
      </c>
      <c r="B291" s="54" t="s">
        <v>223</v>
      </c>
      <c r="C291" s="54" t="s">
        <v>119</v>
      </c>
      <c r="D291" s="54" t="s">
        <v>183</v>
      </c>
      <c r="E291" s="54" t="s">
        <v>116</v>
      </c>
      <c r="F291" s="55" t="n">
        <v>175723.13</v>
      </c>
      <c r="G291" s="54" t="s">
        <v>206</v>
      </c>
      <c r="H291" s="56" t="n">
        <f aca="false">VLOOKUP(E291,Treatment_Table!$B$5:$E$11,4,FALSE())</f>
        <v>0</v>
      </c>
      <c r="I291" s="57" t="n">
        <f aca="false">F291*H291</f>
        <v>0</v>
      </c>
      <c r="J291" s="57" t="n">
        <f aca="false">IF(D291="Income",F291,-F291)</f>
        <v>175723.13</v>
      </c>
    </row>
    <row r="292" customFormat="false" ht="15" hidden="false" customHeight="false" outlineLevel="0" collapsed="false">
      <c r="A292" s="54" t="s">
        <v>504</v>
      </c>
      <c r="B292" s="54" t="s">
        <v>214</v>
      </c>
      <c r="C292" s="54" t="s">
        <v>118</v>
      </c>
      <c r="D292" s="54" t="s">
        <v>183</v>
      </c>
      <c r="E292" s="54" t="s">
        <v>116</v>
      </c>
      <c r="F292" s="55" t="n">
        <v>231529.81</v>
      </c>
      <c r="G292" s="54" t="s">
        <v>211</v>
      </c>
      <c r="H292" s="56" t="n">
        <f aca="false">VLOOKUP(E292,Treatment_Table!$B$5:$E$11,4,FALSE())</f>
        <v>0</v>
      </c>
      <c r="I292" s="57" t="n">
        <f aca="false">F292*H292</f>
        <v>0</v>
      </c>
      <c r="J292" s="57" t="n">
        <f aca="false">IF(D292="Income",F292,-F292)</f>
        <v>231529.81</v>
      </c>
    </row>
    <row r="293" customFormat="false" ht="15" hidden="false" customHeight="false" outlineLevel="0" collapsed="false">
      <c r="A293" s="54" t="s">
        <v>505</v>
      </c>
      <c r="B293" s="54" t="s">
        <v>247</v>
      </c>
      <c r="C293" s="54" t="s">
        <v>119</v>
      </c>
      <c r="D293" s="54" t="s">
        <v>183</v>
      </c>
      <c r="E293" s="54" t="s">
        <v>116</v>
      </c>
      <c r="F293" s="55" t="n">
        <v>132907.68</v>
      </c>
      <c r="G293" s="54" t="s">
        <v>206</v>
      </c>
      <c r="H293" s="56" t="n">
        <f aca="false">VLOOKUP(E293,Treatment_Table!$B$5:$E$11,4,FALSE())</f>
        <v>0</v>
      </c>
      <c r="I293" s="57" t="n">
        <f aca="false">F293*H293</f>
        <v>0</v>
      </c>
      <c r="J293" s="57" t="n">
        <f aca="false">IF(D293="Income",F293,-F293)</f>
        <v>132907.68</v>
      </c>
    </row>
    <row r="294" customFormat="false" ht="15" hidden="false" customHeight="false" outlineLevel="0" collapsed="false">
      <c r="A294" s="54" t="s">
        <v>506</v>
      </c>
      <c r="B294" s="54" t="s">
        <v>218</v>
      </c>
      <c r="C294" s="54" t="s">
        <v>118</v>
      </c>
      <c r="D294" s="54" t="s">
        <v>183</v>
      </c>
      <c r="E294" s="54" t="s">
        <v>116</v>
      </c>
      <c r="F294" s="55" t="n">
        <v>155303.34</v>
      </c>
      <c r="G294" s="54" t="s">
        <v>211</v>
      </c>
      <c r="H294" s="56" t="n">
        <f aca="false">VLOOKUP(E294,Treatment_Table!$B$5:$E$11,4,FALSE())</f>
        <v>0</v>
      </c>
      <c r="I294" s="57" t="n">
        <f aca="false">F294*H294</f>
        <v>0</v>
      </c>
      <c r="J294" s="57" t="n">
        <f aca="false">IF(D294="Income",F294,-F294)</f>
        <v>155303.34</v>
      </c>
    </row>
    <row r="295" customFormat="false" ht="15" hidden="false" customHeight="false" outlineLevel="0" collapsed="false">
      <c r="A295" s="54" t="s">
        <v>507</v>
      </c>
      <c r="B295" s="54" t="s">
        <v>223</v>
      </c>
      <c r="C295" s="54" t="s">
        <v>119</v>
      </c>
      <c r="D295" s="54" t="s">
        <v>183</v>
      </c>
      <c r="E295" s="54" t="s">
        <v>116</v>
      </c>
      <c r="F295" s="55" t="n">
        <v>238965.05</v>
      </c>
      <c r="G295" s="54" t="s">
        <v>206</v>
      </c>
      <c r="H295" s="56" t="n">
        <f aca="false">VLOOKUP(E295,Treatment_Table!$B$5:$E$11,4,FALSE())</f>
        <v>0</v>
      </c>
      <c r="I295" s="57" t="n">
        <f aca="false">F295*H295</f>
        <v>0</v>
      </c>
      <c r="J295" s="57" t="n">
        <f aca="false">IF(D295="Income",F295,-F295)</f>
        <v>238965.05</v>
      </c>
    </row>
    <row r="296" customFormat="false" ht="15" hidden="false" customHeight="false" outlineLevel="0" collapsed="false">
      <c r="A296" s="54" t="s">
        <v>508</v>
      </c>
      <c r="B296" s="54" t="s">
        <v>223</v>
      </c>
      <c r="C296" s="54" t="s">
        <v>119</v>
      </c>
      <c r="D296" s="54" t="s">
        <v>183</v>
      </c>
      <c r="E296" s="54" t="s">
        <v>116</v>
      </c>
      <c r="F296" s="55" t="n">
        <v>279681.92</v>
      </c>
      <c r="G296" s="54" t="s">
        <v>206</v>
      </c>
      <c r="H296" s="56" t="n">
        <f aca="false">VLOOKUP(E296,Treatment_Table!$B$5:$E$11,4,FALSE())</f>
        <v>0</v>
      </c>
      <c r="I296" s="57" t="n">
        <f aca="false">F296*H296</f>
        <v>0</v>
      </c>
      <c r="J296" s="57" t="n">
        <f aca="false">IF(D296="Income",F296,-F296)</f>
        <v>279681.92</v>
      </c>
    </row>
    <row r="297" customFormat="false" ht="15" hidden="false" customHeight="false" outlineLevel="0" collapsed="false">
      <c r="A297" s="54" t="s">
        <v>509</v>
      </c>
      <c r="B297" s="54" t="s">
        <v>216</v>
      </c>
      <c r="C297" s="54" t="s">
        <v>119</v>
      </c>
      <c r="D297" s="54" t="s">
        <v>183</v>
      </c>
      <c r="E297" s="54" t="s">
        <v>116</v>
      </c>
      <c r="F297" s="55" t="n">
        <v>217499.45</v>
      </c>
      <c r="G297" s="54" t="s">
        <v>206</v>
      </c>
      <c r="H297" s="56" t="n">
        <f aca="false">VLOOKUP(E297,Treatment_Table!$B$5:$E$11,4,FALSE())</f>
        <v>0</v>
      </c>
      <c r="I297" s="57" t="n">
        <f aca="false">F297*H297</f>
        <v>0</v>
      </c>
      <c r="J297" s="57" t="n">
        <f aca="false">IF(D297="Income",F297,-F297)</f>
        <v>217499.45</v>
      </c>
    </row>
    <row r="298" customFormat="false" ht="15" hidden="false" customHeight="false" outlineLevel="0" collapsed="false">
      <c r="A298" s="54" t="s">
        <v>510</v>
      </c>
      <c r="B298" s="54" t="s">
        <v>214</v>
      </c>
      <c r="C298" s="54" t="s">
        <v>118</v>
      </c>
      <c r="D298" s="54" t="s">
        <v>183</v>
      </c>
      <c r="E298" s="54" t="s">
        <v>116</v>
      </c>
      <c r="F298" s="55" t="n">
        <v>129627.71</v>
      </c>
      <c r="G298" s="54" t="s">
        <v>211</v>
      </c>
      <c r="H298" s="56" t="n">
        <f aca="false">VLOOKUP(E298,Treatment_Table!$B$5:$E$11,4,FALSE())</f>
        <v>0</v>
      </c>
      <c r="I298" s="57" t="n">
        <f aca="false">F298*H298</f>
        <v>0</v>
      </c>
      <c r="J298" s="57" t="n">
        <f aca="false">IF(D298="Income",F298,-F298)</f>
        <v>129627.71</v>
      </c>
    </row>
    <row r="299" customFormat="false" ht="15" hidden="false" customHeight="false" outlineLevel="0" collapsed="false">
      <c r="A299" s="54" t="s">
        <v>511</v>
      </c>
      <c r="B299" s="54" t="s">
        <v>223</v>
      </c>
      <c r="C299" s="54" t="s">
        <v>118</v>
      </c>
      <c r="D299" s="54" t="s">
        <v>183</v>
      </c>
      <c r="E299" s="54" t="s">
        <v>116</v>
      </c>
      <c r="F299" s="55" t="n">
        <v>630605.2</v>
      </c>
      <c r="G299" s="54" t="s">
        <v>211</v>
      </c>
      <c r="H299" s="56" t="n">
        <f aca="false">VLOOKUP(E299,Treatment_Table!$B$5:$E$11,4,FALSE())</f>
        <v>0</v>
      </c>
      <c r="I299" s="57" t="n">
        <f aca="false">F299*H299</f>
        <v>0</v>
      </c>
      <c r="J299" s="57" t="n">
        <f aca="false">IF(D299="Income",F299,-F299)</f>
        <v>630605.2</v>
      </c>
    </row>
    <row r="300" customFormat="false" ht="15" hidden="false" customHeight="false" outlineLevel="0" collapsed="false">
      <c r="A300" s="54" t="s">
        <v>512</v>
      </c>
      <c r="B300" s="54" t="s">
        <v>210</v>
      </c>
      <c r="C300" s="54" t="s">
        <v>119</v>
      </c>
      <c r="D300" s="54" t="s">
        <v>183</v>
      </c>
      <c r="E300" s="54" t="s">
        <v>116</v>
      </c>
      <c r="F300" s="55" t="n">
        <v>108754.96</v>
      </c>
      <c r="G300" s="54" t="s">
        <v>206</v>
      </c>
      <c r="H300" s="56" t="n">
        <f aca="false">VLOOKUP(E300,Treatment_Table!$B$5:$E$11,4,FALSE())</f>
        <v>0</v>
      </c>
      <c r="I300" s="57" t="n">
        <f aca="false">F300*H300</f>
        <v>0</v>
      </c>
      <c r="J300" s="57" t="n">
        <f aca="false">IF(D300="Income",F300,-F300)</f>
        <v>108754.96</v>
      </c>
    </row>
    <row r="301" customFormat="false" ht="15" hidden="false" customHeight="false" outlineLevel="0" collapsed="false">
      <c r="A301" s="54" t="s">
        <v>513</v>
      </c>
      <c r="B301" s="54" t="s">
        <v>223</v>
      </c>
      <c r="C301" s="54" t="s">
        <v>119</v>
      </c>
      <c r="D301" s="54" t="s">
        <v>183</v>
      </c>
      <c r="E301" s="54" t="s">
        <v>116</v>
      </c>
      <c r="F301" s="55" t="n">
        <v>259623.57</v>
      </c>
      <c r="G301" s="54" t="s">
        <v>206</v>
      </c>
      <c r="H301" s="56" t="n">
        <f aca="false">VLOOKUP(E301,Treatment_Table!$B$5:$E$11,4,FALSE())</f>
        <v>0</v>
      </c>
      <c r="I301" s="57" t="n">
        <f aca="false">F301*H301</f>
        <v>0</v>
      </c>
      <c r="J301" s="57" t="n">
        <f aca="false">IF(D301="Income",F301,-F301)</f>
        <v>259623.57</v>
      </c>
    </row>
    <row r="302" customFormat="false" ht="15" hidden="false" customHeight="false" outlineLevel="0" collapsed="false">
      <c r="A302" s="54" t="s">
        <v>514</v>
      </c>
      <c r="B302" s="54" t="s">
        <v>218</v>
      </c>
      <c r="C302" s="54" t="s">
        <v>119</v>
      </c>
      <c r="D302" s="54" t="s">
        <v>183</v>
      </c>
      <c r="E302" s="54" t="s">
        <v>116</v>
      </c>
      <c r="F302" s="55" t="n">
        <v>110690.47</v>
      </c>
      <c r="G302" s="54" t="s">
        <v>206</v>
      </c>
      <c r="H302" s="56" t="n">
        <f aca="false">VLOOKUP(E302,Treatment_Table!$B$5:$E$11,4,FALSE())</f>
        <v>0</v>
      </c>
      <c r="I302" s="57" t="n">
        <f aca="false">F302*H302</f>
        <v>0</v>
      </c>
      <c r="J302" s="57" t="n">
        <f aca="false">IF(D302="Income",F302,-F302)</f>
        <v>110690.47</v>
      </c>
    </row>
    <row r="303" customFormat="false" ht="15" hidden="false" customHeight="false" outlineLevel="0" collapsed="false">
      <c r="A303" s="54" t="s">
        <v>515</v>
      </c>
      <c r="B303" s="54" t="s">
        <v>243</v>
      </c>
      <c r="C303" s="54" t="s">
        <v>118</v>
      </c>
      <c r="D303" s="54" t="s">
        <v>183</v>
      </c>
      <c r="E303" s="54" t="s">
        <v>116</v>
      </c>
      <c r="F303" s="55" t="n">
        <v>103861.62</v>
      </c>
      <c r="G303" s="54" t="s">
        <v>211</v>
      </c>
      <c r="H303" s="56" t="n">
        <f aca="false">VLOOKUP(E303,Treatment_Table!$B$5:$E$11,4,FALSE())</f>
        <v>0</v>
      </c>
      <c r="I303" s="57" t="n">
        <f aca="false">F303*H303</f>
        <v>0</v>
      </c>
      <c r="J303" s="57" t="n">
        <f aca="false">IF(D303="Income",F303,-F303)</f>
        <v>103861.62</v>
      </c>
    </row>
    <row r="304" customFormat="false" ht="15" hidden="false" customHeight="false" outlineLevel="0" collapsed="false">
      <c r="A304" s="54" t="s">
        <v>516</v>
      </c>
      <c r="B304" s="54" t="s">
        <v>230</v>
      </c>
      <c r="C304" s="54" t="s">
        <v>119</v>
      </c>
      <c r="D304" s="54" t="s">
        <v>183</v>
      </c>
      <c r="E304" s="54" t="s">
        <v>116</v>
      </c>
      <c r="F304" s="55" t="n">
        <v>154600.24</v>
      </c>
      <c r="G304" s="54" t="s">
        <v>206</v>
      </c>
      <c r="H304" s="56" t="n">
        <f aca="false">VLOOKUP(E304,Treatment_Table!$B$5:$E$11,4,FALSE())</f>
        <v>0</v>
      </c>
      <c r="I304" s="57" t="n">
        <f aca="false">F304*H304</f>
        <v>0</v>
      </c>
      <c r="J304" s="57" t="n">
        <f aca="false">IF(D304="Income",F304,-F304)</f>
        <v>154600.24</v>
      </c>
    </row>
    <row r="305" customFormat="false" ht="15" hidden="false" customHeight="false" outlineLevel="0" collapsed="false">
      <c r="A305" s="54" t="s">
        <v>517</v>
      </c>
      <c r="B305" s="54" t="s">
        <v>228</v>
      </c>
      <c r="C305" s="54" t="s">
        <v>118</v>
      </c>
      <c r="D305" s="54" t="s">
        <v>183</v>
      </c>
      <c r="E305" s="54" t="s">
        <v>116</v>
      </c>
      <c r="F305" s="55" t="n">
        <v>412520.1</v>
      </c>
      <c r="G305" s="54" t="s">
        <v>211</v>
      </c>
      <c r="H305" s="56" t="n">
        <f aca="false">VLOOKUP(E305,Treatment_Table!$B$5:$E$11,4,FALSE())</f>
        <v>0</v>
      </c>
      <c r="I305" s="57" t="n">
        <f aca="false">F305*H305</f>
        <v>0</v>
      </c>
      <c r="J305" s="57" t="n">
        <f aca="false">IF(D305="Income",F305,-F305)</f>
        <v>412520.1</v>
      </c>
    </row>
    <row r="306" customFormat="false" ht="15" hidden="false" customHeight="false" outlineLevel="0" collapsed="false">
      <c r="A306" s="54" t="s">
        <v>518</v>
      </c>
      <c r="B306" s="54" t="s">
        <v>230</v>
      </c>
      <c r="C306" s="54" t="s">
        <v>119</v>
      </c>
      <c r="D306" s="54" t="s">
        <v>183</v>
      </c>
      <c r="E306" s="54" t="s">
        <v>116</v>
      </c>
      <c r="F306" s="55" t="n">
        <v>72179.56</v>
      </c>
      <c r="G306" s="54" t="s">
        <v>206</v>
      </c>
      <c r="H306" s="56" t="n">
        <f aca="false">VLOOKUP(E306,Treatment_Table!$B$5:$E$11,4,FALSE())</f>
        <v>0</v>
      </c>
      <c r="I306" s="57" t="n">
        <f aca="false">F306*H306</f>
        <v>0</v>
      </c>
      <c r="J306" s="57" t="n">
        <f aca="false">IF(D306="Income",F306,-F306)</f>
        <v>72179.56</v>
      </c>
    </row>
    <row r="307" customFormat="false" ht="15" hidden="false" customHeight="false" outlineLevel="0" collapsed="false">
      <c r="A307" s="54" t="s">
        <v>519</v>
      </c>
      <c r="B307" s="54" t="s">
        <v>214</v>
      </c>
      <c r="C307" s="54" t="s">
        <v>119</v>
      </c>
      <c r="D307" s="54" t="s">
        <v>183</v>
      </c>
      <c r="E307" s="54" t="s">
        <v>116</v>
      </c>
      <c r="F307" s="55" t="n">
        <v>1534192.62</v>
      </c>
      <c r="G307" s="54" t="s">
        <v>206</v>
      </c>
      <c r="H307" s="56" t="n">
        <f aca="false">VLOOKUP(E307,Treatment_Table!$B$5:$E$11,4,FALSE())</f>
        <v>0</v>
      </c>
      <c r="I307" s="57" t="n">
        <f aca="false">F307*H307</f>
        <v>0</v>
      </c>
      <c r="J307" s="57" t="n">
        <f aca="false">IF(D307="Income",F307,-F307)</f>
        <v>1534192.62</v>
      </c>
    </row>
    <row r="308" customFormat="false" ht="15" hidden="false" customHeight="false" outlineLevel="0" collapsed="false">
      <c r="A308" s="54" t="s">
        <v>520</v>
      </c>
      <c r="B308" s="54" t="s">
        <v>218</v>
      </c>
      <c r="C308" s="54" t="s">
        <v>119</v>
      </c>
      <c r="D308" s="54" t="s">
        <v>183</v>
      </c>
      <c r="E308" s="54" t="s">
        <v>116</v>
      </c>
      <c r="F308" s="55" t="n">
        <v>33286.45</v>
      </c>
      <c r="G308" s="54" t="s">
        <v>206</v>
      </c>
      <c r="H308" s="56" t="n">
        <f aca="false">VLOOKUP(E308,Treatment_Table!$B$5:$E$11,4,FALSE())</f>
        <v>0</v>
      </c>
      <c r="I308" s="57" t="n">
        <f aca="false">F308*H308</f>
        <v>0</v>
      </c>
      <c r="J308" s="57" t="n">
        <f aca="false">IF(D308="Income",F308,-F308)</f>
        <v>33286.45</v>
      </c>
    </row>
    <row r="309" customFormat="false" ht="15" hidden="false" customHeight="false" outlineLevel="0" collapsed="false">
      <c r="A309" s="54" t="s">
        <v>521</v>
      </c>
      <c r="B309" s="54" t="s">
        <v>243</v>
      </c>
      <c r="C309" s="54" t="s">
        <v>119</v>
      </c>
      <c r="D309" s="54" t="s">
        <v>183</v>
      </c>
      <c r="E309" s="54" t="s">
        <v>116</v>
      </c>
      <c r="F309" s="55" t="n">
        <v>74061.87</v>
      </c>
      <c r="G309" s="54" t="s">
        <v>206</v>
      </c>
      <c r="H309" s="56" t="n">
        <f aca="false">VLOOKUP(E309,Treatment_Table!$B$5:$E$11,4,FALSE())</f>
        <v>0</v>
      </c>
      <c r="I309" s="57" t="n">
        <f aca="false">F309*H309</f>
        <v>0</v>
      </c>
      <c r="J309" s="57" t="n">
        <f aca="false">IF(D309="Income",F309,-F309)</f>
        <v>74061.87</v>
      </c>
    </row>
    <row r="310" customFormat="false" ht="15" hidden="false" customHeight="false" outlineLevel="0" collapsed="false">
      <c r="A310" s="54" t="s">
        <v>522</v>
      </c>
      <c r="B310" s="54" t="s">
        <v>230</v>
      </c>
      <c r="C310" s="54" t="s">
        <v>118</v>
      </c>
      <c r="D310" s="54" t="s">
        <v>183</v>
      </c>
      <c r="E310" s="54" t="s">
        <v>116</v>
      </c>
      <c r="F310" s="55" t="n">
        <v>136493.81</v>
      </c>
      <c r="G310" s="54" t="s">
        <v>211</v>
      </c>
      <c r="H310" s="56" t="n">
        <f aca="false">VLOOKUP(E310,Treatment_Table!$B$5:$E$11,4,FALSE())</f>
        <v>0</v>
      </c>
      <c r="I310" s="57" t="n">
        <f aca="false">F310*H310</f>
        <v>0</v>
      </c>
      <c r="J310" s="57" t="n">
        <f aca="false">IF(D310="Income",F310,-F310)</f>
        <v>136493.81</v>
      </c>
    </row>
    <row r="311" customFormat="false" ht="15" hidden="false" customHeight="false" outlineLevel="0" collapsed="false">
      <c r="A311" s="54" t="s">
        <v>523</v>
      </c>
      <c r="B311" s="54" t="s">
        <v>216</v>
      </c>
      <c r="C311" s="54" t="s">
        <v>119</v>
      </c>
      <c r="D311" s="54" t="s">
        <v>183</v>
      </c>
      <c r="E311" s="54" t="s">
        <v>116</v>
      </c>
      <c r="F311" s="55" t="n">
        <v>141700.37</v>
      </c>
      <c r="G311" s="54" t="s">
        <v>206</v>
      </c>
      <c r="H311" s="56" t="n">
        <f aca="false">VLOOKUP(E311,Treatment_Table!$B$5:$E$11,4,FALSE())</f>
        <v>0</v>
      </c>
      <c r="I311" s="57" t="n">
        <f aca="false">F311*H311</f>
        <v>0</v>
      </c>
      <c r="J311" s="57" t="n">
        <f aca="false">IF(D311="Income",F311,-F311)</f>
        <v>141700.37</v>
      </c>
    </row>
    <row r="312" customFormat="false" ht="15" hidden="false" customHeight="false" outlineLevel="0" collapsed="false">
      <c r="A312" s="54" t="s">
        <v>524</v>
      </c>
      <c r="B312" s="54" t="s">
        <v>205</v>
      </c>
      <c r="C312" s="54" t="s">
        <v>118</v>
      </c>
      <c r="D312" s="54" t="s">
        <v>183</v>
      </c>
      <c r="E312" s="54" t="s">
        <v>116</v>
      </c>
      <c r="F312" s="55" t="n">
        <v>366216.96</v>
      </c>
      <c r="G312" s="54" t="s">
        <v>211</v>
      </c>
      <c r="H312" s="56" t="n">
        <f aca="false">VLOOKUP(E312,Treatment_Table!$B$5:$E$11,4,FALSE())</f>
        <v>0</v>
      </c>
      <c r="I312" s="57" t="n">
        <f aca="false">F312*H312</f>
        <v>0</v>
      </c>
      <c r="J312" s="57" t="n">
        <f aca="false">IF(D312="Income",F312,-F312)</f>
        <v>366216.96</v>
      </c>
    </row>
    <row r="313" customFormat="false" ht="15" hidden="false" customHeight="false" outlineLevel="0" collapsed="false">
      <c r="A313" s="54" t="s">
        <v>525</v>
      </c>
      <c r="B313" s="54" t="s">
        <v>223</v>
      </c>
      <c r="C313" s="54" t="s">
        <v>119</v>
      </c>
      <c r="D313" s="54" t="s">
        <v>183</v>
      </c>
      <c r="E313" s="54" t="s">
        <v>116</v>
      </c>
      <c r="F313" s="55" t="n">
        <v>692244.87</v>
      </c>
      <c r="G313" s="54" t="s">
        <v>206</v>
      </c>
      <c r="H313" s="56" t="n">
        <f aca="false">VLOOKUP(E313,Treatment_Table!$B$5:$E$11,4,FALSE())</f>
        <v>0</v>
      </c>
      <c r="I313" s="57" t="n">
        <f aca="false">F313*H313</f>
        <v>0</v>
      </c>
      <c r="J313" s="57" t="n">
        <f aca="false">IF(D313="Income",F313,-F313)</f>
        <v>692244.87</v>
      </c>
    </row>
    <row r="314" customFormat="false" ht="15" hidden="false" customHeight="false" outlineLevel="0" collapsed="false">
      <c r="A314" s="54" t="s">
        <v>526</v>
      </c>
      <c r="B314" s="54" t="s">
        <v>214</v>
      </c>
      <c r="C314" s="54" t="s">
        <v>118</v>
      </c>
      <c r="D314" s="54" t="s">
        <v>183</v>
      </c>
      <c r="E314" s="54" t="s">
        <v>116</v>
      </c>
      <c r="F314" s="55" t="n">
        <v>72414.47</v>
      </c>
      <c r="G314" s="54" t="s">
        <v>211</v>
      </c>
      <c r="H314" s="56" t="n">
        <f aca="false">VLOOKUP(E314,Treatment_Table!$B$5:$E$11,4,FALSE())</f>
        <v>0</v>
      </c>
      <c r="I314" s="57" t="n">
        <f aca="false">F314*H314</f>
        <v>0</v>
      </c>
      <c r="J314" s="57" t="n">
        <f aca="false">IF(D314="Income",F314,-F314)</f>
        <v>72414.47</v>
      </c>
    </row>
    <row r="315" customFormat="false" ht="15" hidden="false" customHeight="false" outlineLevel="0" collapsed="false">
      <c r="A315" s="54" t="s">
        <v>527</v>
      </c>
      <c r="B315" s="54" t="s">
        <v>216</v>
      </c>
      <c r="C315" s="54" t="s">
        <v>118</v>
      </c>
      <c r="D315" s="54" t="s">
        <v>183</v>
      </c>
      <c r="E315" s="54" t="s">
        <v>116</v>
      </c>
      <c r="F315" s="55" t="n">
        <v>49035.37</v>
      </c>
      <c r="G315" s="54" t="s">
        <v>211</v>
      </c>
      <c r="H315" s="56" t="n">
        <f aca="false">VLOOKUP(E315,Treatment_Table!$B$5:$E$11,4,FALSE())</f>
        <v>0</v>
      </c>
      <c r="I315" s="57" t="n">
        <f aca="false">F315*H315</f>
        <v>0</v>
      </c>
      <c r="J315" s="57" t="n">
        <f aca="false">IF(D315="Income",F315,-F315)</f>
        <v>49035.37</v>
      </c>
    </row>
    <row r="316" customFormat="false" ht="15" hidden="false" customHeight="false" outlineLevel="0" collapsed="false">
      <c r="A316" s="54" t="s">
        <v>528</v>
      </c>
      <c r="B316" s="54" t="s">
        <v>247</v>
      </c>
      <c r="C316" s="54" t="s">
        <v>119</v>
      </c>
      <c r="D316" s="54" t="s">
        <v>183</v>
      </c>
      <c r="E316" s="54" t="s">
        <v>116</v>
      </c>
      <c r="F316" s="55" t="n">
        <v>68519.44</v>
      </c>
      <c r="G316" s="54" t="s">
        <v>206</v>
      </c>
      <c r="H316" s="56" t="n">
        <f aca="false">VLOOKUP(E316,Treatment_Table!$B$5:$E$11,4,FALSE())</f>
        <v>0</v>
      </c>
      <c r="I316" s="57" t="n">
        <f aca="false">F316*H316</f>
        <v>0</v>
      </c>
      <c r="J316" s="57" t="n">
        <f aca="false">IF(D316="Income",F316,-F316)</f>
        <v>68519.44</v>
      </c>
    </row>
    <row r="317" customFormat="false" ht="15" hidden="false" customHeight="false" outlineLevel="0" collapsed="false">
      <c r="A317" s="54" t="s">
        <v>529</v>
      </c>
      <c r="B317" s="54" t="s">
        <v>214</v>
      </c>
      <c r="C317" s="54" t="s">
        <v>119</v>
      </c>
      <c r="D317" s="54" t="s">
        <v>183</v>
      </c>
      <c r="E317" s="54" t="s">
        <v>116</v>
      </c>
      <c r="F317" s="55" t="n">
        <v>54764.89</v>
      </c>
      <c r="G317" s="54" t="s">
        <v>206</v>
      </c>
      <c r="H317" s="56" t="n">
        <f aca="false">VLOOKUP(E317,Treatment_Table!$B$5:$E$11,4,FALSE())</f>
        <v>0</v>
      </c>
      <c r="I317" s="57" t="n">
        <f aca="false">F317*H317</f>
        <v>0</v>
      </c>
      <c r="J317" s="57" t="n">
        <f aca="false">IF(D317="Income",F317,-F317)</f>
        <v>54764.89</v>
      </c>
    </row>
    <row r="318" customFormat="false" ht="15" hidden="false" customHeight="false" outlineLevel="0" collapsed="false">
      <c r="A318" s="54" t="s">
        <v>530</v>
      </c>
      <c r="B318" s="54" t="s">
        <v>210</v>
      </c>
      <c r="C318" s="54" t="s">
        <v>118</v>
      </c>
      <c r="D318" s="54" t="s">
        <v>183</v>
      </c>
      <c r="E318" s="54" t="s">
        <v>116</v>
      </c>
      <c r="F318" s="55" t="n">
        <v>613649.95</v>
      </c>
      <c r="G318" s="54" t="s">
        <v>211</v>
      </c>
      <c r="H318" s="56" t="n">
        <f aca="false">VLOOKUP(E318,Treatment_Table!$B$5:$E$11,4,FALSE())</f>
        <v>0</v>
      </c>
      <c r="I318" s="57" t="n">
        <f aca="false">F318*H318</f>
        <v>0</v>
      </c>
      <c r="J318" s="57" t="n">
        <f aca="false">IF(D318="Income",F318,-F318)</f>
        <v>613649.95</v>
      </c>
    </row>
    <row r="319" customFormat="false" ht="15" hidden="false" customHeight="false" outlineLevel="0" collapsed="false">
      <c r="A319" s="54" t="s">
        <v>531</v>
      </c>
      <c r="B319" s="54" t="s">
        <v>208</v>
      </c>
      <c r="C319" s="54" t="s">
        <v>118</v>
      </c>
      <c r="D319" s="54" t="s">
        <v>183</v>
      </c>
      <c r="E319" s="54" t="s">
        <v>116</v>
      </c>
      <c r="F319" s="55" t="n">
        <v>60620.95</v>
      </c>
      <c r="G319" s="54" t="s">
        <v>211</v>
      </c>
      <c r="H319" s="56" t="n">
        <f aca="false">VLOOKUP(E319,Treatment_Table!$B$5:$E$11,4,FALSE())</f>
        <v>0</v>
      </c>
      <c r="I319" s="57" t="n">
        <f aca="false">F319*H319</f>
        <v>0</v>
      </c>
      <c r="J319" s="57" t="n">
        <f aca="false">IF(D319="Income",F319,-F319)</f>
        <v>60620.95</v>
      </c>
    </row>
    <row r="320" customFormat="false" ht="15" hidden="false" customHeight="false" outlineLevel="0" collapsed="false">
      <c r="A320" s="54" t="s">
        <v>532</v>
      </c>
      <c r="B320" s="54" t="s">
        <v>205</v>
      </c>
      <c r="C320" s="54" t="s">
        <v>119</v>
      </c>
      <c r="D320" s="54" t="s">
        <v>183</v>
      </c>
      <c r="E320" s="54" t="s">
        <v>116</v>
      </c>
      <c r="F320" s="55" t="n">
        <v>146154.66</v>
      </c>
      <c r="G320" s="54" t="s">
        <v>206</v>
      </c>
      <c r="H320" s="56" t="n">
        <f aca="false">VLOOKUP(E320,Treatment_Table!$B$5:$E$11,4,FALSE())</f>
        <v>0</v>
      </c>
      <c r="I320" s="57" t="n">
        <f aca="false">F320*H320</f>
        <v>0</v>
      </c>
      <c r="J320" s="57" t="n">
        <f aca="false">IF(D320="Income",F320,-F320)</f>
        <v>146154.66</v>
      </c>
    </row>
    <row r="321" customFormat="false" ht="15" hidden="false" customHeight="false" outlineLevel="0" collapsed="false">
      <c r="A321" s="54" t="s">
        <v>533</v>
      </c>
      <c r="B321" s="54" t="s">
        <v>228</v>
      </c>
      <c r="C321" s="54" t="s">
        <v>119</v>
      </c>
      <c r="D321" s="54" t="s">
        <v>183</v>
      </c>
      <c r="E321" s="54" t="s">
        <v>116</v>
      </c>
      <c r="F321" s="55" t="n">
        <v>744635.4</v>
      </c>
      <c r="G321" s="54" t="s">
        <v>206</v>
      </c>
      <c r="H321" s="56" t="n">
        <f aca="false">VLOOKUP(E321,Treatment_Table!$B$5:$E$11,4,FALSE())</f>
        <v>0</v>
      </c>
      <c r="I321" s="57" t="n">
        <f aca="false">F321*H321</f>
        <v>0</v>
      </c>
      <c r="J321" s="57" t="n">
        <f aca="false">IF(D321="Income",F321,-F321)</f>
        <v>744635.4</v>
      </c>
    </row>
    <row r="322" customFormat="false" ht="15" hidden="false" customHeight="false" outlineLevel="0" collapsed="false">
      <c r="A322" s="54" t="s">
        <v>534</v>
      </c>
      <c r="B322" s="54" t="s">
        <v>228</v>
      </c>
      <c r="C322" s="54" t="s">
        <v>119</v>
      </c>
      <c r="D322" s="54" t="s">
        <v>183</v>
      </c>
      <c r="E322" s="54" t="s">
        <v>116</v>
      </c>
      <c r="F322" s="55" t="n">
        <v>97046.93</v>
      </c>
      <c r="G322" s="54" t="s">
        <v>206</v>
      </c>
      <c r="H322" s="56" t="n">
        <f aca="false">VLOOKUP(E322,Treatment_Table!$B$5:$E$11,4,FALSE())</f>
        <v>0</v>
      </c>
      <c r="I322" s="57" t="n">
        <f aca="false">F322*H322</f>
        <v>0</v>
      </c>
      <c r="J322" s="57" t="n">
        <f aca="false">IF(D322="Income",F322,-F322)</f>
        <v>97046.93</v>
      </c>
    </row>
    <row r="323" customFormat="false" ht="15" hidden="false" customHeight="false" outlineLevel="0" collapsed="false">
      <c r="A323" s="54" t="s">
        <v>535</v>
      </c>
      <c r="B323" s="54" t="s">
        <v>214</v>
      </c>
      <c r="C323" s="54" t="s">
        <v>118</v>
      </c>
      <c r="D323" s="54" t="s">
        <v>183</v>
      </c>
      <c r="E323" s="54" t="s">
        <v>116</v>
      </c>
      <c r="F323" s="55" t="n">
        <v>187518.18</v>
      </c>
      <c r="G323" s="54" t="s">
        <v>211</v>
      </c>
      <c r="H323" s="56" t="n">
        <f aca="false">VLOOKUP(E323,Treatment_Table!$B$5:$E$11,4,FALSE())</f>
        <v>0</v>
      </c>
      <c r="I323" s="57" t="n">
        <f aca="false">F323*H323</f>
        <v>0</v>
      </c>
      <c r="J323" s="57" t="n">
        <f aca="false">IF(D323="Income",F323,-F323)</f>
        <v>187518.18</v>
      </c>
    </row>
    <row r="324" customFormat="false" ht="15" hidden="false" customHeight="false" outlineLevel="0" collapsed="false">
      <c r="A324" s="54" t="s">
        <v>536</v>
      </c>
      <c r="B324" s="54" t="s">
        <v>228</v>
      </c>
      <c r="C324" s="54" t="s">
        <v>118</v>
      </c>
      <c r="D324" s="54" t="s">
        <v>183</v>
      </c>
      <c r="E324" s="54" t="s">
        <v>116</v>
      </c>
      <c r="F324" s="55" t="n">
        <v>104475.91</v>
      </c>
      <c r="G324" s="54" t="s">
        <v>211</v>
      </c>
      <c r="H324" s="56" t="n">
        <f aca="false">VLOOKUP(E324,Treatment_Table!$B$5:$E$11,4,FALSE())</f>
        <v>0</v>
      </c>
      <c r="I324" s="57" t="n">
        <f aca="false">F324*H324</f>
        <v>0</v>
      </c>
      <c r="J324" s="57" t="n">
        <f aca="false">IF(D324="Income",F324,-F324)</f>
        <v>104475.91</v>
      </c>
    </row>
    <row r="325" customFormat="false" ht="15" hidden="false" customHeight="false" outlineLevel="0" collapsed="false">
      <c r="A325" s="54" t="s">
        <v>537</v>
      </c>
      <c r="B325" s="54" t="s">
        <v>235</v>
      </c>
      <c r="C325" s="54" t="s">
        <v>119</v>
      </c>
      <c r="D325" s="54" t="s">
        <v>183</v>
      </c>
      <c r="E325" s="54" t="s">
        <v>116</v>
      </c>
      <c r="F325" s="55" t="n">
        <v>37701.05</v>
      </c>
      <c r="G325" s="54" t="s">
        <v>206</v>
      </c>
      <c r="H325" s="56" t="n">
        <f aca="false">VLOOKUP(E325,Treatment_Table!$B$5:$E$11,4,FALSE())</f>
        <v>0</v>
      </c>
      <c r="I325" s="57" t="n">
        <f aca="false">F325*H325</f>
        <v>0</v>
      </c>
      <c r="J325" s="57" t="n">
        <f aca="false">IF(D325="Income",F325,-F325)</f>
        <v>37701.05</v>
      </c>
    </row>
    <row r="326" customFormat="false" ht="15" hidden="false" customHeight="false" outlineLevel="0" collapsed="false">
      <c r="A326" s="54" t="s">
        <v>538</v>
      </c>
      <c r="B326" s="54" t="s">
        <v>208</v>
      </c>
      <c r="C326" s="54" t="s">
        <v>119</v>
      </c>
      <c r="D326" s="54" t="s">
        <v>183</v>
      </c>
      <c r="E326" s="54" t="s">
        <v>116</v>
      </c>
      <c r="F326" s="55" t="n">
        <v>126208.44</v>
      </c>
      <c r="G326" s="54" t="s">
        <v>206</v>
      </c>
      <c r="H326" s="56" t="n">
        <f aca="false">VLOOKUP(E326,Treatment_Table!$B$5:$E$11,4,FALSE())</f>
        <v>0</v>
      </c>
      <c r="I326" s="57" t="n">
        <f aca="false">F326*H326</f>
        <v>0</v>
      </c>
      <c r="J326" s="57" t="n">
        <f aca="false">IF(D326="Income",F326,-F326)</f>
        <v>126208.44</v>
      </c>
    </row>
    <row r="327" customFormat="false" ht="15" hidden="false" customHeight="false" outlineLevel="0" collapsed="false">
      <c r="A327" s="54" t="s">
        <v>539</v>
      </c>
      <c r="B327" s="54" t="s">
        <v>247</v>
      </c>
      <c r="C327" s="54" t="s">
        <v>118</v>
      </c>
      <c r="D327" s="54" t="s">
        <v>183</v>
      </c>
      <c r="E327" s="54" t="s">
        <v>116</v>
      </c>
      <c r="F327" s="55" t="n">
        <v>17083.44</v>
      </c>
      <c r="G327" s="54" t="s">
        <v>211</v>
      </c>
      <c r="H327" s="56" t="n">
        <f aca="false">VLOOKUP(E327,Treatment_Table!$B$5:$E$11,4,FALSE())</f>
        <v>0</v>
      </c>
      <c r="I327" s="57" t="n">
        <f aca="false">F327*H327</f>
        <v>0</v>
      </c>
      <c r="J327" s="57" t="n">
        <f aca="false">IF(D327="Income",F327,-F327)</f>
        <v>17083.44</v>
      </c>
    </row>
    <row r="328" customFormat="false" ht="15" hidden="false" customHeight="false" outlineLevel="0" collapsed="false">
      <c r="A328" s="54" t="s">
        <v>540</v>
      </c>
      <c r="B328" s="54" t="s">
        <v>223</v>
      </c>
      <c r="C328" s="54" t="s">
        <v>118</v>
      </c>
      <c r="D328" s="54" t="s">
        <v>183</v>
      </c>
      <c r="E328" s="54" t="s">
        <v>116</v>
      </c>
      <c r="F328" s="55" t="n">
        <v>223037.53</v>
      </c>
      <c r="G328" s="54" t="s">
        <v>211</v>
      </c>
      <c r="H328" s="56" t="n">
        <f aca="false">VLOOKUP(E328,Treatment_Table!$B$5:$E$11,4,FALSE())</f>
        <v>0</v>
      </c>
      <c r="I328" s="57" t="n">
        <f aca="false">F328*H328</f>
        <v>0</v>
      </c>
      <c r="J328" s="57" t="n">
        <f aca="false">IF(D328="Income",F328,-F328)</f>
        <v>223037.53</v>
      </c>
    </row>
    <row r="329" customFormat="false" ht="15" hidden="false" customHeight="false" outlineLevel="0" collapsed="false">
      <c r="A329" s="54" t="s">
        <v>541</v>
      </c>
      <c r="B329" s="54" t="s">
        <v>223</v>
      </c>
      <c r="C329" s="54" t="s">
        <v>119</v>
      </c>
      <c r="D329" s="54" t="s">
        <v>183</v>
      </c>
      <c r="E329" s="54" t="s">
        <v>116</v>
      </c>
      <c r="F329" s="55" t="n">
        <v>445100.09</v>
      </c>
      <c r="G329" s="54" t="s">
        <v>206</v>
      </c>
      <c r="H329" s="56" t="n">
        <f aca="false">VLOOKUP(E329,Treatment_Table!$B$5:$E$11,4,FALSE())</f>
        <v>0</v>
      </c>
      <c r="I329" s="57" t="n">
        <f aca="false">F329*H329</f>
        <v>0</v>
      </c>
      <c r="J329" s="57" t="n">
        <f aca="false">IF(D329="Income",F329,-F329)</f>
        <v>445100.09</v>
      </c>
    </row>
    <row r="330" customFormat="false" ht="15" hidden="false" customHeight="false" outlineLevel="0" collapsed="false">
      <c r="A330" s="54" t="s">
        <v>542</v>
      </c>
      <c r="B330" s="54" t="s">
        <v>235</v>
      </c>
      <c r="C330" s="54" t="s">
        <v>118</v>
      </c>
      <c r="D330" s="54" t="s">
        <v>183</v>
      </c>
      <c r="E330" s="54" t="s">
        <v>116</v>
      </c>
      <c r="F330" s="55" t="n">
        <v>157766.3</v>
      </c>
      <c r="G330" s="54" t="s">
        <v>211</v>
      </c>
      <c r="H330" s="56" t="n">
        <f aca="false">VLOOKUP(E330,Treatment_Table!$B$5:$E$11,4,FALSE())</f>
        <v>0</v>
      </c>
      <c r="I330" s="57" t="n">
        <f aca="false">F330*H330</f>
        <v>0</v>
      </c>
      <c r="J330" s="57" t="n">
        <f aca="false">IF(D330="Income",F330,-F330)</f>
        <v>157766.3</v>
      </c>
    </row>
    <row r="331" customFormat="false" ht="15" hidden="false" customHeight="false" outlineLevel="0" collapsed="false">
      <c r="A331" s="54" t="s">
        <v>543</v>
      </c>
      <c r="B331" s="54" t="s">
        <v>216</v>
      </c>
      <c r="C331" s="54" t="s">
        <v>118</v>
      </c>
      <c r="D331" s="54" t="s">
        <v>183</v>
      </c>
      <c r="E331" s="54" t="s">
        <v>116</v>
      </c>
      <c r="F331" s="55" t="n">
        <v>21827.45</v>
      </c>
      <c r="G331" s="54" t="s">
        <v>211</v>
      </c>
      <c r="H331" s="56" t="n">
        <f aca="false">VLOOKUP(E331,Treatment_Table!$B$5:$E$11,4,FALSE())</f>
        <v>0</v>
      </c>
      <c r="I331" s="57" t="n">
        <f aca="false">F331*H331</f>
        <v>0</v>
      </c>
      <c r="J331" s="57" t="n">
        <f aca="false">IF(D331="Income",F331,-F331)</f>
        <v>21827.45</v>
      </c>
    </row>
    <row r="332" customFormat="false" ht="15" hidden="false" customHeight="false" outlineLevel="0" collapsed="false">
      <c r="A332" s="54" t="s">
        <v>544</v>
      </c>
      <c r="B332" s="54" t="s">
        <v>205</v>
      </c>
      <c r="C332" s="54" t="s">
        <v>119</v>
      </c>
      <c r="D332" s="54" t="s">
        <v>183</v>
      </c>
      <c r="E332" s="54" t="s">
        <v>116</v>
      </c>
      <c r="F332" s="55" t="n">
        <v>108210.98</v>
      </c>
      <c r="G332" s="54" t="s">
        <v>206</v>
      </c>
      <c r="H332" s="56" t="n">
        <f aca="false">VLOOKUP(E332,Treatment_Table!$B$5:$E$11,4,FALSE())</f>
        <v>0</v>
      </c>
      <c r="I332" s="57" t="n">
        <f aca="false">F332*H332</f>
        <v>0</v>
      </c>
      <c r="J332" s="57" t="n">
        <f aca="false">IF(D332="Income",F332,-F332)</f>
        <v>108210.98</v>
      </c>
    </row>
    <row r="333" customFormat="false" ht="15" hidden="false" customHeight="false" outlineLevel="0" collapsed="false">
      <c r="A333" s="54" t="s">
        <v>545</v>
      </c>
      <c r="B333" s="54" t="s">
        <v>228</v>
      </c>
      <c r="C333" s="54" t="s">
        <v>119</v>
      </c>
      <c r="D333" s="54" t="s">
        <v>183</v>
      </c>
      <c r="E333" s="54" t="s">
        <v>116</v>
      </c>
      <c r="F333" s="55" t="n">
        <v>64998.33</v>
      </c>
      <c r="G333" s="54" t="s">
        <v>206</v>
      </c>
      <c r="H333" s="56" t="n">
        <f aca="false">VLOOKUP(E333,Treatment_Table!$B$5:$E$11,4,FALSE())</f>
        <v>0</v>
      </c>
      <c r="I333" s="57" t="n">
        <f aca="false">F333*H333</f>
        <v>0</v>
      </c>
      <c r="J333" s="57" t="n">
        <f aca="false">IF(D333="Income",F333,-F333)</f>
        <v>64998.33</v>
      </c>
    </row>
    <row r="334" customFormat="false" ht="15" hidden="false" customHeight="false" outlineLevel="0" collapsed="false">
      <c r="A334" s="54" t="s">
        <v>546</v>
      </c>
      <c r="B334" s="54" t="s">
        <v>228</v>
      </c>
      <c r="C334" s="54" t="s">
        <v>118</v>
      </c>
      <c r="D334" s="54" t="s">
        <v>183</v>
      </c>
      <c r="E334" s="54" t="s">
        <v>116</v>
      </c>
      <c r="F334" s="55" t="n">
        <v>36016.29</v>
      </c>
      <c r="G334" s="54" t="s">
        <v>211</v>
      </c>
      <c r="H334" s="56" t="n">
        <f aca="false">VLOOKUP(E334,Treatment_Table!$B$5:$E$11,4,FALSE())</f>
        <v>0</v>
      </c>
      <c r="I334" s="57" t="n">
        <f aca="false">F334*H334</f>
        <v>0</v>
      </c>
      <c r="J334" s="57" t="n">
        <f aca="false">IF(D334="Income",F334,-F334)</f>
        <v>36016.29</v>
      </c>
    </row>
    <row r="335" customFormat="false" ht="15" hidden="false" customHeight="false" outlineLevel="0" collapsed="false">
      <c r="A335" s="54" t="s">
        <v>547</v>
      </c>
      <c r="B335" s="54" t="s">
        <v>214</v>
      </c>
      <c r="C335" s="54" t="s">
        <v>119</v>
      </c>
      <c r="D335" s="54" t="s">
        <v>183</v>
      </c>
      <c r="E335" s="54" t="s">
        <v>116</v>
      </c>
      <c r="F335" s="55" t="n">
        <v>212568.45</v>
      </c>
      <c r="G335" s="54" t="s">
        <v>206</v>
      </c>
      <c r="H335" s="56" t="n">
        <f aca="false">VLOOKUP(E335,Treatment_Table!$B$5:$E$11,4,FALSE())</f>
        <v>0</v>
      </c>
      <c r="I335" s="57" t="n">
        <f aca="false">F335*H335</f>
        <v>0</v>
      </c>
      <c r="J335" s="57" t="n">
        <f aca="false">IF(D335="Income",F335,-F335)</f>
        <v>212568.45</v>
      </c>
    </row>
    <row r="336" customFormat="false" ht="15" hidden="false" customHeight="false" outlineLevel="0" collapsed="false">
      <c r="A336" s="54" t="s">
        <v>548</v>
      </c>
      <c r="B336" s="54" t="s">
        <v>223</v>
      </c>
      <c r="C336" s="54" t="s">
        <v>112</v>
      </c>
      <c r="D336" s="54" t="s">
        <v>183</v>
      </c>
      <c r="E336" s="54" t="s">
        <v>113</v>
      </c>
      <c r="F336" s="55" t="n">
        <v>2150000</v>
      </c>
      <c r="G336" s="54" t="s">
        <v>112</v>
      </c>
      <c r="H336" s="56" t="n">
        <f aca="false">VLOOKUP(E336,Treatment_Table!$B$5:$E$11,4,FALSE())</f>
        <v>-1</v>
      </c>
      <c r="I336" s="57" t="n">
        <f aca="false">F336*H336</f>
        <v>-2150000</v>
      </c>
      <c r="J336" s="57" t="n">
        <f aca="false">IF(D336="Income",F336,-F336)</f>
        <v>2150000</v>
      </c>
    </row>
    <row r="337" customFormat="false" ht="15" hidden="false" customHeight="false" outlineLevel="0" collapsed="false">
      <c r="A337" s="54" t="s">
        <v>549</v>
      </c>
      <c r="B337" s="54" t="s">
        <v>214</v>
      </c>
      <c r="C337" s="54" t="s">
        <v>112</v>
      </c>
      <c r="D337" s="54" t="s">
        <v>183</v>
      </c>
      <c r="E337" s="54" t="s">
        <v>113</v>
      </c>
      <c r="F337" s="55" t="n">
        <v>640000</v>
      </c>
      <c r="G337" s="54" t="s">
        <v>112</v>
      </c>
      <c r="H337" s="56" t="n">
        <f aca="false">VLOOKUP(E337,Treatment_Table!$B$5:$E$11,4,FALSE())</f>
        <v>-1</v>
      </c>
      <c r="I337" s="57" t="n">
        <f aca="false">F337*H337</f>
        <v>-640000</v>
      </c>
      <c r="J337" s="57" t="n">
        <f aca="false">IF(D337="Income",F337,-F337)</f>
        <v>640000</v>
      </c>
    </row>
    <row r="338" customFormat="false" ht="15" hidden="false" customHeight="false" outlineLevel="0" collapsed="false">
      <c r="A338" s="54" t="s">
        <v>550</v>
      </c>
      <c r="B338" s="54" t="s">
        <v>218</v>
      </c>
      <c r="C338" s="54" t="s">
        <v>114</v>
      </c>
      <c r="D338" s="54" t="s">
        <v>183</v>
      </c>
      <c r="E338" s="54" t="s">
        <v>113</v>
      </c>
      <c r="F338" s="55" t="n">
        <v>1320000</v>
      </c>
      <c r="G338" s="54" t="s">
        <v>114</v>
      </c>
      <c r="H338" s="56" t="n">
        <f aca="false">VLOOKUP(E338,Treatment_Table!$B$5:$E$11,4,FALSE())</f>
        <v>-1</v>
      </c>
      <c r="I338" s="57" t="n">
        <f aca="false">F338*H338</f>
        <v>-1320000</v>
      </c>
      <c r="J338" s="57" t="n">
        <f aca="false">IF(D338="Income",F338,-F338)</f>
        <v>1320000</v>
      </c>
    </row>
    <row r="339" customFormat="false" ht="15" hidden="false" customHeight="false" outlineLevel="0" collapsed="false">
      <c r="A339" s="54" t="s">
        <v>551</v>
      </c>
      <c r="B339" s="54" t="s">
        <v>210</v>
      </c>
      <c r="C339" s="54" t="s">
        <v>117</v>
      </c>
      <c r="D339" s="54" t="s">
        <v>183</v>
      </c>
      <c r="E339" s="54" t="s">
        <v>116</v>
      </c>
      <c r="F339" s="55" t="n">
        <v>410000</v>
      </c>
      <c r="G339" s="54" t="s">
        <v>117</v>
      </c>
      <c r="H339" s="56" t="n">
        <f aca="false">VLOOKUP(E339,Treatment_Table!$B$5:$E$11,4,FALSE())</f>
        <v>0</v>
      </c>
      <c r="I339" s="57" t="n">
        <f aca="false">F339*H339</f>
        <v>0</v>
      </c>
      <c r="J339" s="57" t="n">
        <f aca="false">IF(D339="Income",F339,-F339)</f>
        <v>410000</v>
      </c>
    </row>
    <row r="340" customFormat="false" ht="15" hidden="false" customHeight="false" outlineLevel="0" collapsed="false">
      <c r="A340" s="54" t="s">
        <v>552</v>
      </c>
      <c r="B340" s="54" t="s">
        <v>210</v>
      </c>
      <c r="C340" s="54" t="s">
        <v>115</v>
      </c>
      <c r="D340" s="54" t="s">
        <v>183</v>
      </c>
      <c r="E340" s="54" t="s">
        <v>116</v>
      </c>
      <c r="F340" s="55" t="n">
        <v>185000</v>
      </c>
      <c r="G340" s="54" t="s">
        <v>115</v>
      </c>
      <c r="H340" s="56" t="n">
        <f aca="false">VLOOKUP(E340,Treatment_Table!$B$5:$E$11,4,FALSE())</f>
        <v>0</v>
      </c>
      <c r="I340" s="57" t="n">
        <f aca="false">F340*H340</f>
        <v>0</v>
      </c>
      <c r="J340" s="57" t="n">
        <f aca="false">IF(D340="Income",F340,-F340)</f>
        <v>185000</v>
      </c>
    </row>
    <row r="341" customFormat="false" ht="15" hidden="false" customHeight="false" outlineLevel="0" collapsed="false">
      <c r="A341" s="54" t="s">
        <v>553</v>
      </c>
      <c r="B341" s="54" t="s">
        <v>243</v>
      </c>
      <c r="C341" s="54" t="s">
        <v>128</v>
      </c>
      <c r="D341" s="54" t="s">
        <v>188</v>
      </c>
      <c r="E341" s="54" t="s">
        <v>121</v>
      </c>
      <c r="F341" s="55" t="n">
        <v>19519.6</v>
      </c>
      <c r="G341" s="54" t="s">
        <v>128</v>
      </c>
      <c r="H341" s="56" t="n">
        <f aca="false">VLOOKUP(E341,Treatment_Table!$B$5:$E$11,4,FALSE())</f>
        <v>0</v>
      </c>
      <c r="I341" s="57" t="n">
        <f aca="false">F341*H341</f>
        <v>0</v>
      </c>
      <c r="J341" s="57" t="n">
        <f aca="false">IF(D341="Income",F341,-F341)</f>
        <v>-19519.6</v>
      </c>
    </row>
    <row r="342" customFormat="false" ht="15" hidden="false" customHeight="false" outlineLevel="0" collapsed="false">
      <c r="A342" s="54" t="s">
        <v>554</v>
      </c>
      <c r="B342" s="54" t="s">
        <v>205</v>
      </c>
      <c r="C342" s="54" t="s">
        <v>138</v>
      </c>
      <c r="D342" s="54" t="s">
        <v>188</v>
      </c>
      <c r="E342" s="54" t="s">
        <v>139</v>
      </c>
      <c r="F342" s="55" t="n">
        <v>2333.8</v>
      </c>
      <c r="G342" s="54" t="s">
        <v>138</v>
      </c>
      <c r="H342" s="56" t="n">
        <f aca="false">VLOOKUP(E342,Treatment_Table!$B$5:$E$11,4,FALSE())</f>
        <v>0.5</v>
      </c>
      <c r="I342" s="57" t="n">
        <f aca="false">F342*H342</f>
        <v>1166.9</v>
      </c>
      <c r="J342" s="57" t="n">
        <f aca="false">IF(D342="Income",F342,-F342)</f>
        <v>-2333.8</v>
      </c>
    </row>
    <row r="343" customFormat="false" ht="15" hidden="false" customHeight="false" outlineLevel="0" collapsed="false">
      <c r="A343" s="54" t="s">
        <v>555</v>
      </c>
      <c r="B343" s="54" t="s">
        <v>235</v>
      </c>
      <c r="C343" s="54" t="s">
        <v>131</v>
      </c>
      <c r="D343" s="54" t="s">
        <v>188</v>
      </c>
      <c r="E343" s="54" t="s">
        <v>121</v>
      </c>
      <c r="F343" s="55" t="n">
        <v>33079.93</v>
      </c>
      <c r="G343" s="54" t="s">
        <v>131</v>
      </c>
      <c r="H343" s="56" t="n">
        <f aca="false">VLOOKUP(E343,Treatment_Table!$B$5:$E$11,4,FALSE())</f>
        <v>0</v>
      </c>
      <c r="I343" s="57" t="n">
        <f aca="false">F343*H343</f>
        <v>0</v>
      </c>
      <c r="J343" s="57" t="n">
        <f aca="false">IF(D343="Income",F343,-F343)</f>
        <v>-33079.93</v>
      </c>
    </row>
    <row r="344" customFormat="false" ht="15" hidden="false" customHeight="false" outlineLevel="0" collapsed="false">
      <c r="A344" s="54" t="s">
        <v>556</v>
      </c>
      <c r="B344" s="54" t="s">
        <v>218</v>
      </c>
      <c r="C344" s="54" t="s">
        <v>126</v>
      </c>
      <c r="D344" s="54" t="s">
        <v>188</v>
      </c>
      <c r="E344" s="54" t="s">
        <v>121</v>
      </c>
      <c r="F344" s="55" t="n">
        <v>37611.95</v>
      </c>
      <c r="G344" s="54" t="s">
        <v>126</v>
      </c>
      <c r="H344" s="56" t="n">
        <f aca="false">VLOOKUP(E344,Treatment_Table!$B$5:$E$11,4,FALSE())</f>
        <v>0</v>
      </c>
      <c r="I344" s="57" t="n">
        <f aca="false">F344*H344</f>
        <v>0</v>
      </c>
      <c r="J344" s="57" t="n">
        <f aca="false">IF(D344="Income",F344,-F344)</f>
        <v>-37611.95</v>
      </c>
    </row>
    <row r="345" customFormat="false" ht="15" hidden="false" customHeight="false" outlineLevel="0" collapsed="false">
      <c r="A345" s="54" t="s">
        <v>557</v>
      </c>
      <c r="B345" s="54" t="s">
        <v>228</v>
      </c>
      <c r="C345" s="54" t="s">
        <v>131</v>
      </c>
      <c r="D345" s="54" t="s">
        <v>188</v>
      </c>
      <c r="E345" s="54" t="s">
        <v>121</v>
      </c>
      <c r="F345" s="55" t="n">
        <v>82316.8</v>
      </c>
      <c r="G345" s="54" t="s">
        <v>131</v>
      </c>
      <c r="H345" s="56" t="n">
        <f aca="false">VLOOKUP(E345,Treatment_Table!$B$5:$E$11,4,FALSE())</f>
        <v>0</v>
      </c>
      <c r="I345" s="57" t="n">
        <f aca="false">F345*H345</f>
        <v>0</v>
      </c>
      <c r="J345" s="57" t="n">
        <f aca="false">IF(D345="Income",F345,-F345)</f>
        <v>-82316.8</v>
      </c>
    </row>
    <row r="346" customFormat="false" ht="15" hidden="false" customHeight="false" outlineLevel="0" collapsed="false">
      <c r="A346" s="54" t="s">
        <v>558</v>
      </c>
      <c r="B346" s="54" t="s">
        <v>216</v>
      </c>
      <c r="C346" s="54" t="s">
        <v>136</v>
      </c>
      <c r="D346" s="54" t="s">
        <v>188</v>
      </c>
      <c r="E346" s="54" t="s">
        <v>134</v>
      </c>
      <c r="F346" s="55" t="n">
        <v>8613.24</v>
      </c>
      <c r="G346" s="54" t="s">
        <v>136</v>
      </c>
      <c r="H346" s="56" t="n">
        <f aca="false">VLOOKUP(E346,Treatment_Table!$B$5:$E$11,4,FALSE())</f>
        <v>1</v>
      </c>
      <c r="I346" s="57" t="n">
        <f aca="false">F346*H346</f>
        <v>8613.24</v>
      </c>
      <c r="J346" s="57" t="n">
        <f aca="false">IF(D346="Income",F346,-F346)</f>
        <v>-8613.24</v>
      </c>
    </row>
    <row r="347" customFormat="false" ht="15" hidden="false" customHeight="false" outlineLevel="0" collapsed="false">
      <c r="A347" s="54" t="s">
        <v>559</v>
      </c>
      <c r="B347" s="54" t="s">
        <v>208</v>
      </c>
      <c r="C347" s="54" t="s">
        <v>126</v>
      </c>
      <c r="D347" s="54" t="s">
        <v>188</v>
      </c>
      <c r="E347" s="54" t="s">
        <v>121</v>
      </c>
      <c r="F347" s="55" t="n">
        <v>26461.08</v>
      </c>
      <c r="G347" s="54" t="s">
        <v>126</v>
      </c>
      <c r="H347" s="56" t="n">
        <f aca="false">VLOOKUP(E347,Treatment_Table!$B$5:$E$11,4,FALSE())</f>
        <v>0</v>
      </c>
      <c r="I347" s="57" t="n">
        <f aca="false">F347*H347</f>
        <v>0</v>
      </c>
      <c r="J347" s="57" t="n">
        <f aca="false">IF(D347="Income",F347,-F347)</f>
        <v>-26461.08</v>
      </c>
    </row>
    <row r="348" customFormat="false" ht="15" hidden="false" customHeight="false" outlineLevel="0" collapsed="false">
      <c r="A348" s="54" t="s">
        <v>560</v>
      </c>
      <c r="B348" s="54" t="s">
        <v>205</v>
      </c>
      <c r="C348" s="54" t="s">
        <v>129</v>
      </c>
      <c r="D348" s="54" t="s">
        <v>188</v>
      </c>
      <c r="E348" s="54" t="s">
        <v>121</v>
      </c>
      <c r="F348" s="55" t="n">
        <v>71698.6</v>
      </c>
      <c r="G348" s="54" t="s">
        <v>129</v>
      </c>
      <c r="H348" s="56" t="n">
        <f aca="false">VLOOKUP(E348,Treatment_Table!$B$5:$E$11,4,FALSE())</f>
        <v>0</v>
      </c>
      <c r="I348" s="57" t="n">
        <f aca="false">F348*H348</f>
        <v>0</v>
      </c>
      <c r="J348" s="57" t="n">
        <f aca="false">IF(D348="Income",F348,-F348)</f>
        <v>-71698.6</v>
      </c>
    </row>
    <row r="349" customFormat="false" ht="15" hidden="false" customHeight="false" outlineLevel="0" collapsed="false">
      <c r="A349" s="54" t="s">
        <v>561</v>
      </c>
      <c r="B349" s="54" t="s">
        <v>205</v>
      </c>
      <c r="C349" s="54" t="s">
        <v>123</v>
      </c>
      <c r="D349" s="54" t="s">
        <v>188</v>
      </c>
      <c r="E349" s="54" t="s">
        <v>121</v>
      </c>
      <c r="F349" s="55" t="n">
        <v>81159.45</v>
      </c>
      <c r="G349" s="54" t="s">
        <v>123</v>
      </c>
      <c r="H349" s="56" t="n">
        <f aca="false">VLOOKUP(E349,Treatment_Table!$B$5:$E$11,4,FALSE())</f>
        <v>0</v>
      </c>
      <c r="I349" s="57" t="n">
        <f aca="false">F349*H349</f>
        <v>0</v>
      </c>
      <c r="J349" s="57" t="n">
        <f aca="false">IF(D349="Income",F349,-F349)</f>
        <v>-81159.45</v>
      </c>
    </row>
    <row r="350" customFormat="false" ht="15" hidden="false" customHeight="false" outlineLevel="0" collapsed="false">
      <c r="A350" s="54" t="s">
        <v>562</v>
      </c>
      <c r="B350" s="54" t="s">
        <v>205</v>
      </c>
      <c r="C350" s="54" t="s">
        <v>129</v>
      </c>
      <c r="D350" s="54" t="s">
        <v>188</v>
      </c>
      <c r="E350" s="54" t="s">
        <v>121</v>
      </c>
      <c r="F350" s="55" t="n">
        <v>15202.17</v>
      </c>
      <c r="G350" s="54" t="s">
        <v>129</v>
      </c>
      <c r="H350" s="56" t="n">
        <f aca="false">VLOOKUP(E350,Treatment_Table!$B$5:$E$11,4,FALSE())</f>
        <v>0</v>
      </c>
      <c r="I350" s="57" t="n">
        <f aca="false">F350*H350</f>
        <v>0</v>
      </c>
      <c r="J350" s="57" t="n">
        <f aca="false">IF(D350="Income",F350,-F350)</f>
        <v>-15202.17</v>
      </c>
    </row>
    <row r="351" customFormat="false" ht="15" hidden="false" customHeight="false" outlineLevel="0" collapsed="false">
      <c r="A351" s="54" t="s">
        <v>563</v>
      </c>
      <c r="B351" s="54" t="s">
        <v>230</v>
      </c>
      <c r="C351" s="54" t="s">
        <v>124</v>
      </c>
      <c r="D351" s="54" t="s">
        <v>188</v>
      </c>
      <c r="E351" s="54" t="s">
        <v>121</v>
      </c>
      <c r="F351" s="55" t="n">
        <v>36813.52</v>
      </c>
      <c r="G351" s="54" t="s">
        <v>124</v>
      </c>
      <c r="H351" s="56" t="n">
        <f aca="false">VLOOKUP(E351,Treatment_Table!$B$5:$E$11,4,FALSE())</f>
        <v>0</v>
      </c>
      <c r="I351" s="57" t="n">
        <f aca="false">F351*H351</f>
        <v>0</v>
      </c>
      <c r="J351" s="57" t="n">
        <f aca="false">IF(D351="Income",F351,-F351)</f>
        <v>-36813.52</v>
      </c>
    </row>
    <row r="352" customFormat="false" ht="15" hidden="false" customHeight="false" outlineLevel="0" collapsed="false">
      <c r="A352" s="54" t="s">
        <v>564</v>
      </c>
      <c r="B352" s="54" t="s">
        <v>243</v>
      </c>
      <c r="C352" s="54" t="s">
        <v>123</v>
      </c>
      <c r="D352" s="54" t="s">
        <v>188</v>
      </c>
      <c r="E352" s="54" t="s">
        <v>121</v>
      </c>
      <c r="F352" s="55" t="n">
        <v>111746.42</v>
      </c>
      <c r="G352" s="54" t="s">
        <v>123</v>
      </c>
      <c r="H352" s="56" t="n">
        <f aca="false">VLOOKUP(E352,Treatment_Table!$B$5:$E$11,4,FALSE())</f>
        <v>0</v>
      </c>
      <c r="I352" s="57" t="n">
        <f aca="false">F352*H352</f>
        <v>0</v>
      </c>
      <c r="J352" s="57" t="n">
        <f aca="false">IF(D352="Income",F352,-F352)</f>
        <v>-111746.42</v>
      </c>
    </row>
    <row r="353" customFormat="false" ht="15" hidden="false" customHeight="false" outlineLevel="0" collapsed="false">
      <c r="A353" s="54" t="s">
        <v>565</v>
      </c>
      <c r="B353" s="54" t="s">
        <v>247</v>
      </c>
      <c r="C353" s="54" t="s">
        <v>129</v>
      </c>
      <c r="D353" s="54" t="s">
        <v>188</v>
      </c>
      <c r="E353" s="54" t="s">
        <v>121</v>
      </c>
      <c r="F353" s="55" t="n">
        <v>18034.08</v>
      </c>
      <c r="G353" s="54" t="s">
        <v>129</v>
      </c>
      <c r="H353" s="56" t="n">
        <f aca="false">VLOOKUP(E353,Treatment_Table!$B$5:$E$11,4,FALSE())</f>
        <v>0</v>
      </c>
      <c r="I353" s="57" t="n">
        <f aca="false">F353*H353</f>
        <v>0</v>
      </c>
      <c r="J353" s="57" t="n">
        <f aca="false">IF(D353="Income",F353,-F353)</f>
        <v>-18034.08</v>
      </c>
    </row>
    <row r="354" customFormat="false" ht="15" hidden="false" customHeight="false" outlineLevel="0" collapsed="false">
      <c r="A354" s="54" t="s">
        <v>566</v>
      </c>
      <c r="B354" s="54" t="s">
        <v>210</v>
      </c>
      <c r="C354" s="54" t="s">
        <v>128</v>
      </c>
      <c r="D354" s="54" t="s">
        <v>188</v>
      </c>
      <c r="E354" s="54" t="s">
        <v>121</v>
      </c>
      <c r="F354" s="55" t="n">
        <v>45159.46</v>
      </c>
      <c r="G354" s="54" t="s">
        <v>128</v>
      </c>
      <c r="H354" s="56" t="n">
        <f aca="false">VLOOKUP(E354,Treatment_Table!$B$5:$E$11,4,FALSE())</f>
        <v>0</v>
      </c>
      <c r="I354" s="57" t="n">
        <f aca="false">F354*H354</f>
        <v>0</v>
      </c>
      <c r="J354" s="57" t="n">
        <f aca="false">IF(D354="Income",F354,-F354)</f>
        <v>-45159.46</v>
      </c>
    </row>
    <row r="355" customFormat="false" ht="15" hidden="false" customHeight="false" outlineLevel="0" collapsed="false">
      <c r="A355" s="54" t="s">
        <v>567</v>
      </c>
      <c r="B355" s="54" t="s">
        <v>205</v>
      </c>
      <c r="C355" s="54" t="s">
        <v>131</v>
      </c>
      <c r="D355" s="54" t="s">
        <v>188</v>
      </c>
      <c r="E355" s="54" t="s">
        <v>121</v>
      </c>
      <c r="F355" s="55" t="n">
        <v>55496.95</v>
      </c>
      <c r="G355" s="54" t="s">
        <v>131</v>
      </c>
      <c r="H355" s="56" t="n">
        <f aca="false">VLOOKUP(E355,Treatment_Table!$B$5:$E$11,4,FALSE())</f>
        <v>0</v>
      </c>
      <c r="I355" s="57" t="n">
        <f aca="false">F355*H355</f>
        <v>0</v>
      </c>
      <c r="J355" s="57" t="n">
        <f aca="false">IF(D355="Income",F355,-F355)</f>
        <v>-55496.95</v>
      </c>
    </row>
    <row r="356" customFormat="false" ht="15" hidden="false" customHeight="false" outlineLevel="0" collapsed="false">
      <c r="A356" s="54" t="s">
        <v>568</v>
      </c>
      <c r="B356" s="54" t="s">
        <v>205</v>
      </c>
      <c r="C356" s="54" t="s">
        <v>142</v>
      </c>
      <c r="D356" s="54" t="s">
        <v>188</v>
      </c>
      <c r="E356" s="54" t="s">
        <v>141</v>
      </c>
      <c r="F356" s="55" t="n">
        <v>24549.41</v>
      </c>
      <c r="G356" s="54" t="s">
        <v>142</v>
      </c>
      <c r="H356" s="56" t="n">
        <f aca="false">VLOOKUP(E356,Treatment_Table!$B$5:$E$11,4,FALSE())</f>
        <v>0</v>
      </c>
      <c r="I356" s="57" t="n">
        <f aca="false">F356*H356</f>
        <v>0</v>
      </c>
      <c r="J356" s="57" t="n">
        <f aca="false">IF(D356="Income",F356,-F356)</f>
        <v>-24549.41</v>
      </c>
    </row>
    <row r="357" customFormat="false" ht="15" hidden="false" customHeight="false" outlineLevel="0" collapsed="false">
      <c r="A357" s="54" t="s">
        <v>569</v>
      </c>
      <c r="B357" s="54" t="s">
        <v>243</v>
      </c>
      <c r="C357" s="54" t="s">
        <v>123</v>
      </c>
      <c r="D357" s="54" t="s">
        <v>188</v>
      </c>
      <c r="E357" s="54" t="s">
        <v>121</v>
      </c>
      <c r="F357" s="55" t="n">
        <v>37910.22</v>
      </c>
      <c r="G357" s="54" t="s">
        <v>123</v>
      </c>
      <c r="H357" s="56" t="n">
        <f aca="false">VLOOKUP(E357,Treatment_Table!$B$5:$E$11,4,FALSE())</f>
        <v>0</v>
      </c>
      <c r="I357" s="57" t="n">
        <f aca="false">F357*H357</f>
        <v>0</v>
      </c>
      <c r="J357" s="57" t="n">
        <f aca="false">IF(D357="Income",F357,-F357)</f>
        <v>-37910.22</v>
      </c>
    </row>
    <row r="358" customFormat="false" ht="15" hidden="false" customHeight="false" outlineLevel="0" collapsed="false">
      <c r="A358" s="54" t="s">
        <v>570</v>
      </c>
      <c r="B358" s="54" t="s">
        <v>223</v>
      </c>
      <c r="C358" s="54" t="s">
        <v>138</v>
      </c>
      <c r="D358" s="54" t="s">
        <v>188</v>
      </c>
      <c r="E358" s="54" t="s">
        <v>139</v>
      </c>
      <c r="F358" s="55" t="n">
        <v>9104.76</v>
      </c>
      <c r="G358" s="54" t="s">
        <v>138</v>
      </c>
      <c r="H358" s="56" t="n">
        <f aca="false">VLOOKUP(E358,Treatment_Table!$B$5:$E$11,4,FALSE())</f>
        <v>0.5</v>
      </c>
      <c r="I358" s="57" t="n">
        <f aca="false">F358*H358</f>
        <v>4552.38</v>
      </c>
      <c r="J358" s="57" t="n">
        <f aca="false">IF(D358="Income",F358,-F358)</f>
        <v>-9104.76</v>
      </c>
    </row>
    <row r="359" customFormat="false" ht="15" hidden="false" customHeight="false" outlineLevel="0" collapsed="false">
      <c r="A359" s="54" t="s">
        <v>571</v>
      </c>
      <c r="B359" s="54" t="s">
        <v>210</v>
      </c>
      <c r="C359" s="54" t="s">
        <v>131</v>
      </c>
      <c r="D359" s="54" t="s">
        <v>188</v>
      </c>
      <c r="E359" s="54" t="s">
        <v>121</v>
      </c>
      <c r="F359" s="55" t="n">
        <v>51573.85</v>
      </c>
      <c r="G359" s="54" t="s">
        <v>131</v>
      </c>
      <c r="H359" s="56" t="n">
        <f aca="false">VLOOKUP(E359,Treatment_Table!$B$5:$E$11,4,FALSE())</f>
        <v>0</v>
      </c>
      <c r="I359" s="57" t="n">
        <f aca="false">F359*H359</f>
        <v>0</v>
      </c>
      <c r="J359" s="57" t="n">
        <f aca="false">IF(D359="Income",F359,-F359)</f>
        <v>-51573.85</v>
      </c>
    </row>
    <row r="360" customFormat="false" ht="15" hidden="false" customHeight="false" outlineLevel="0" collapsed="false">
      <c r="A360" s="54" t="s">
        <v>572</v>
      </c>
      <c r="B360" s="54" t="s">
        <v>205</v>
      </c>
      <c r="C360" s="54" t="s">
        <v>132</v>
      </c>
      <c r="D360" s="54" t="s">
        <v>188</v>
      </c>
      <c r="E360" s="54" t="s">
        <v>121</v>
      </c>
      <c r="F360" s="55" t="n">
        <v>11734.19</v>
      </c>
      <c r="G360" s="54" t="s">
        <v>132</v>
      </c>
      <c r="H360" s="56" t="n">
        <f aca="false">VLOOKUP(E360,Treatment_Table!$B$5:$E$11,4,FALSE())</f>
        <v>0</v>
      </c>
      <c r="I360" s="57" t="n">
        <f aca="false">F360*H360</f>
        <v>0</v>
      </c>
      <c r="J360" s="57" t="n">
        <f aca="false">IF(D360="Income",F360,-F360)</f>
        <v>-11734.19</v>
      </c>
    </row>
    <row r="361" customFormat="false" ht="15" hidden="false" customHeight="false" outlineLevel="0" collapsed="false">
      <c r="A361" s="54" t="s">
        <v>573</v>
      </c>
      <c r="B361" s="54" t="s">
        <v>208</v>
      </c>
      <c r="C361" s="54" t="s">
        <v>138</v>
      </c>
      <c r="D361" s="54" t="s">
        <v>188</v>
      </c>
      <c r="E361" s="54" t="s">
        <v>139</v>
      </c>
      <c r="F361" s="55" t="n">
        <v>15564.12</v>
      </c>
      <c r="G361" s="54" t="s">
        <v>138</v>
      </c>
      <c r="H361" s="56" t="n">
        <f aca="false">VLOOKUP(E361,Treatment_Table!$B$5:$E$11,4,FALSE())</f>
        <v>0.5</v>
      </c>
      <c r="I361" s="57" t="n">
        <f aca="false">F361*H361</f>
        <v>7782.06</v>
      </c>
      <c r="J361" s="57" t="n">
        <f aca="false">IF(D361="Income",F361,-F361)</f>
        <v>-15564.12</v>
      </c>
    </row>
    <row r="362" customFormat="false" ht="15" hidden="false" customHeight="false" outlineLevel="0" collapsed="false">
      <c r="A362" s="54" t="s">
        <v>574</v>
      </c>
      <c r="B362" s="54" t="s">
        <v>247</v>
      </c>
      <c r="C362" s="54" t="s">
        <v>140</v>
      </c>
      <c r="D362" s="54" t="s">
        <v>188</v>
      </c>
      <c r="E362" s="54" t="s">
        <v>141</v>
      </c>
      <c r="F362" s="55" t="n">
        <v>77226.49</v>
      </c>
      <c r="G362" s="54" t="s">
        <v>140</v>
      </c>
      <c r="H362" s="56" t="n">
        <f aca="false">VLOOKUP(E362,Treatment_Table!$B$5:$E$11,4,FALSE())</f>
        <v>0</v>
      </c>
      <c r="I362" s="57" t="n">
        <f aca="false">F362*H362</f>
        <v>0</v>
      </c>
      <c r="J362" s="57" t="n">
        <f aca="false">IF(D362="Income",F362,-F362)</f>
        <v>-77226.49</v>
      </c>
    </row>
    <row r="363" customFormat="false" ht="15" hidden="false" customHeight="false" outlineLevel="0" collapsed="false">
      <c r="A363" s="54" t="s">
        <v>575</v>
      </c>
      <c r="B363" s="54" t="s">
        <v>235</v>
      </c>
      <c r="C363" s="54" t="s">
        <v>131</v>
      </c>
      <c r="D363" s="54" t="s">
        <v>188</v>
      </c>
      <c r="E363" s="54" t="s">
        <v>121</v>
      </c>
      <c r="F363" s="55" t="n">
        <v>69857.27</v>
      </c>
      <c r="G363" s="54" t="s">
        <v>131</v>
      </c>
      <c r="H363" s="56" t="n">
        <f aca="false">VLOOKUP(E363,Treatment_Table!$B$5:$E$11,4,FALSE())</f>
        <v>0</v>
      </c>
      <c r="I363" s="57" t="n">
        <f aca="false">F363*H363</f>
        <v>0</v>
      </c>
      <c r="J363" s="57" t="n">
        <f aca="false">IF(D363="Income",F363,-F363)</f>
        <v>-69857.27</v>
      </c>
    </row>
    <row r="364" customFormat="false" ht="15" hidden="false" customHeight="false" outlineLevel="0" collapsed="false">
      <c r="A364" s="54" t="s">
        <v>576</v>
      </c>
      <c r="B364" s="54" t="s">
        <v>208</v>
      </c>
      <c r="C364" s="54" t="s">
        <v>133</v>
      </c>
      <c r="D364" s="54" t="s">
        <v>188</v>
      </c>
      <c r="E364" s="54" t="s">
        <v>134</v>
      </c>
      <c r="F364" s="55" t="n">
        <v>4177.44</v>
      </c>
      <c r="G364" s="54" t="s">
        <v>133</v>
      </c>
      <c r="H364" s="56" t="n">
        <f aca="false">VLOOKUP(E364,Treatment_Table!$B$5:$E$11,4,FALSE())</f>
        <v>1</v>
      </c>
      <c r="I364" s="57" t="n">
        <f aca="false">F364*H364</f>
        <v>4177.44</v>
      </c>
      <c r="J364" s="57" t="n">
        <f aca="false">IF(D364="Income",F364,-F364)</f>
        <v>-4177.44</v>
      </c>
    </row>
    <row r="365" customFormat="false" ht="15" hidden="false" customHeight="false" outlineLevel="0" collapsed="false">
      <c r="A365" s="54" t="s">
        <v>577</v>
      </c>
      <c r="B365" s="54" t="s">
        <v>230</v>
      </c>
      <c r="C365" s="54" t="s">
        <v>131</v>
      </c>
      <c r="D365" s="54" t="s">
        <v>188</v>
      </c>
      <c r="E365" s="54" t="s">
        <v>121</v>
      </c>
      <c r="F365" s="55" t="n">
        <v>45351.95</v>
      </c>
      <c r="G365" s="54" t="s">
        <v>131</v>
      </c>
      <c r="H365" s="56" t="n">
        <f aca="false">VLOOKUP(E365,Treatment_Table!$B$5:$E$11,4,FALSE())</f>
        <v>0</v>
      </c>
      <c r="I365" s="57" t="n">
        <f aca="false">F365*H365</f>
        <v>0</v>
      </c>
      <c r="J365" s="57" t="n">
        <f aca="false">IF(D365="Income",F365,-F365)</f>
        <v>-45351.95</v>
      </c>
    </row>
    <row r="366" customFormat="false" ht="15" hidden="false" customHeight="false" outlineLevel="0" collapsed="false">
      <c r="A366" s="54" t="s">
        <v>578</v>
      </c>
      <c r="B366" s="54" t="s">
        <v>243</v>
      </c>
      <c r="C366" s="54" t="s">
        <v>129</v>
      </c>
      <c r="D366" s="54" t="s">
        <v>188</v>
      </c>
      <c r="E366" s="54" t="s">
        <v>121</v>
      </c>
      <c r="F366" s="55" t="n">
        <v>38860.94</v>
      </c>
      <c r="G366" s="54" t="s">
        <v>129</v>
      </c>
      <c r="H366" s="56" t="n">
        <f aca="false">VLOOKUP(E366,Treatment_Table!$B$5:$E$11,4,FALSE())</f>
        <v>0</v>
      </c>
      <c r="I366" s="57" t="n">
        <f aca="false">F366*H366</f>
        <v>0</v>
      </c>
      <c r="J366" s="57" t="n">
        <f aca="false">IF(D366="Income",F366,-F366)</f>
        <v>-38860.94</v>
      </c>
    </row>
    <row r="367" customFormat="false" ht="15" hidden="false" customHeight="false" outlineLevel="0" collapsed="false">
      <c r="A367" s="54" t="s">
        <v>579</v>
      </c>
      <c r="B367" s="54" t="s">
        <v>205</v>
      </c>
      <c r="C367" s="54" t="s">
        <v>138</v>
      </c>
      <c r="D367" s="54" t="s">
        <v>188</v>
      </c>
      <c r="E367" s="54" t="s">
        <v>139</v>
      </c>
      <c r="F367" s="55" t="n">
        <v>12533.5</v>
      </c>
      <c r="G367" s="54" t="s">
        <v>138</v>
      </c>
      <c r="H367" s="56" t="n">
        <f aca="false">VLOOKUP(E367,Treatment_Table!$B$5:$E$11,4,FALSE())</f>
        <v>0.5</v>
      </c>
      <c r="I367" s="57" t="n">
        <f aca="false">F367*H367</f>
        <v>6266.75</v>
      </c>
      <c r="J367" s="57" t="n">
        <f aca="false">IF(D367="Income",F367,-F367)</f>
        <v>-12533.5</v>
      </c>
    </row>
    <row r="368" customFormat="false" ht="15" hidden="false" customHeight="false" outlineLevel="0" collapsed="false">
      <c r="A368" s="54" t="s">
        <v>580</v>
      </c>
      <c r="B368" s="54" t="s">
        <v>230</v>
      </c>
      <c r="C368" s="54" t="s">
        <v>131</v>
      </c>
      <c r="D368" s="54" t="s">
        <v>188</v>
      </c>
      <c r="E368" s="54" t="s">
        <v>121</v>
      </c>
      <c r="F368" s="55" t="n">
        <v>26715.75</v>
      </c>
      <c r="G368" s="54" t="s">
        <v>131</v>
      </c>
      <c r="H368" s="56" t="n">
        <f aca="false">VLOOKUP(E368,Treatment_Table!$B$5:$E$11,4,FALSE())</f>
        <v>0</v>
      </c>
      <c r="I368" s="57" t="n">
        <f aca="false">F368*H368</f>
        <v>0</v>
      </c>
      <c r="J368" s="57" t="n">
        <f aca="false">IF(D368="Income",F368,-F368)</f>
        <v>-26715.75</v>
      </c>
    </row>
    <row r="369" customFormat="false" ht="15" hidden="false" customHeight="false" outlineLevel="0" collapsed="false">
      <c r="A369" s="54" t="s">
        <v>581</v>
      </c>
      <c r="B369" s="54" t="s">
        <v>210</v>
      </c>
      <c r="C369" s="54" t="s">
        <v>123</v>
      </c>
      <c r="D369" s="54" t="s">
        <v>188</v>
      </c>
      <c r="E369" s="54" t="s">
        <v>121</v>
      </c>
      <c r="F369" s="55" t="n">
        <v>101287.99</v>
      </c>
      <c r="G369" s="54" t="s">
        <v>123</v>
      </c>
      <c r="H369" s="56" t="n">
        <f aca="false">VLOOKUP(E369,Treatment_Table!$B$5:$E$11,4,FALSE())</f>
        <v>0</v>
      </c>
      <c r="I369" s="57" t="n">
        <f aca="false">F369*H369</f>
        <v>0</v>
      </c>
      <c r="J369" s="57" t="n">
        <f aca="false">IF(D369="Income",F369,-F369)</f>
        <v>-101287.99</v>
      </c>
    </row>
    <row r="370" customFormat="false" ht="15" hidden="false" customHeight="false" outlineLevel="0" collapsed="false">
      <c r="A370" s="54" t="s">
        <v>582</v>
      </c>
      <c r="B370" s="54" t="s">
        <v>208</v>
      </c>
      <c r="C370" s="54" t="s">
        <v>131</v>
      </c>
      <c r="D370" s="54" t="s">
        <v>188</v>
      </c>
      <c r="E370" s="54" t="s">
        <v>121</v>
      </c>
      <c r="F370" s="55" t="n">
        <v>69583.28</v>
      </c>
      <c r="G370" s="54" t="s">
        <v>131</v>
      </c>
      <c r="H370" s="56" t="n">
        <f aca="false">VLOOKUP(E370,Treatment_Table!$B$5:$E$11,4,FALSE())</f>
        <v>0</v>
      </c>
      <c r="I370" s="57" t="n">
        <f aca="false">F370*H370</f>
        <v>0</v>
      </c>
      <c r="J370" s="57" t="n">
        <f aca="false">IF(D370="Income",F370,-F370)</f>
        <v>-69583.28</v>
      </c>
    </row>
    <row r="371" customFormat="false" ht="15" hidden="false" customHeight="false" outlineLevel="0" collapsed="false">
      <c r="A371" s="54" t="s">
        <v>583</v>
      </c>
      <c r="B371" s="54" t="s">
        <v>214</v>
      </c>
      <c r="C371" s="54" t="s">
        <v>138</v>
      </c>
      <c r="D371" s="54" t="s">
        <v>188</v>
      </c>
      <c r="E371" s="54" t="s">
        <v>139</v>
      </c>
      <c r="F371" s="55" t="n">
        <v>3404.88</v>
      </c>
      <c r="G371" s="54" t="s">
        <v>138</v>
      </c>
      <c r="H371" s="56" t="n">
        <f aca="false">VLOOKUP(E371,Treatment_Table!$B$5:$E$11,4,FALSE())</f>
        <v>0.5</v>
      </c>
      <c r="I371" s="57" t="n">
        <f aca="false">F371*H371</f>
        <v>1702.44</v>
      </c>
      <c r="J371" s="57" t="n">
        <f aca="false">IF(D371="Income",F371,-F371)</f>
        <v>-3404.88</v>
      </c>
    </row>
    <row r="372" customFormat="false" ht="15" hidden="false" customHeight="false" outlineLevel="0" collapsed="false">
      <c r="A372" s="54" t="s">
        <v>584</v>
      </c>
      <c r="B372" s="54" t="s">
        <v>243</v>
      </c>
      <c r="C372" s="54" t="s">
        <v>138</v>
      </c>
      <c r="D372" s="54" t="s">
        <v>188</v>
      </c>
      <c r="E372" s="54" t="s">
        <v>139</v>
      </c>
      <c r="F372" s="55" t="n">
        <v>26095.75</v>
      </c>
      <c r="G372" s="54" t="s">
        <v>138</v>
      </c>
      <c r="H372" s="56" t="n">
        <f aca="false">VLOOKUP(E372,Treatment_Table!$B$5:$E$11,4,FALSE())</f>
        <v>0.5</v>
      </c>
      <c r="I372" s="57" t="n">
        <f aca="false">F372*H372</f>
        <v>13047.875</v>
      </c>
      <c r="J372" s="57" t="n">
        <f aca="false">IF(D372="Income",F372,-F372)</f>
        <v>-26095.75</v>
      </c>
    </row>
    <row r="373" customFormat="false" ht="15" hidden="false" customHeight="false" outlineLevel="0" collapsed="false">
      <c r="A373" s="54" t="s">
        <v>585</v>
      </c>
      <c r="B373" s="54" t="s">
        <v>223</v>
      </c>
      <c r="C373" s="54" t="s">
        <v>135</v>
      </c>
      <c r="D373" s="54" t="s">
        <v>188</v>
      </c>
      <c r="E373" s="54" t="s">
        <v>134</v>
      </c>
      <c r="F373" s="55" t="n">
        <v>3890.96</v>
      </c>
      <c r="G373" s="54" t="s">
        <v>135</v>
      </c>
      <c r="H373" s="56" t="n">
        <f aca="false">VLOOKUP(E373,Treatment_Table!$B$5:$E$11,4,FALSE())</f>
        <v>1</v>
      </c>
      <c r="I373" s="57" t="n">
        <f aca="false">F373*H373</f>
        <v>3890.96</v>
      </c>
      <c r="J373" s="57" t="n">
        <f aca="false">IF(D373="Income",F373,-F373)</f>
        <v>-3890.96</v>
      </c>
    </row>
    <row r="374" customFormat="false" ht="15" hidden="false" customHeight="false" outlineLevel="0" collapsed="false">
      <c r="A374" s="54" t="s">
        <v>586</v>
      </c>
      <c r="B374" s="54" t="s">
        <v>214</v>
      </c>
      <c r="C374" s="54" t="s">
        <v>131</v>
      </c>
      <c r="D374" s="54" t="s">
        <v>188</v>
      </c>
      <c r="E374" s="54" t="s">
        <v>121</v>
      </c>
      <c r="F374" s="55" t="n">
        <v>190771.7</v>
      </c>
      <c r="G374" s="54" t="s">
        <v>131</v>
      </c>
      <c r="H374" s="56" t="n">
        <f aca="false">VLOOKUP(E374,Treatment_Table!$B$5:$E$11,4,FALSE())</f>
        <v>0</v>
      </c>
      <c r="I374" s="57" t="n">
        <f aca="false">F374*H374</f>
        <v>0</v>
      </c>
      <c r="J374" s="57" t="n">
        <f aca="false">IF(D374="Income",F374,-F374)</f>
        <v>-190771.7</v>
      </c>
    </row>
    <row r="375" customFormat="false" ht="15" hidden="false" customHeight="false" outlineLevel="0" collapsed="false">
      <c r="A375" s="54" t="s">
        <v>587</v>
      </c>
      <c r="B375" s="54" t="s">
        <v>205</v>
      </c>
      <c r="C375" s="54" t="s">
        <v>126</v>
      </c>
      <c r="D375" s="54" t="s">
        <v>188</v>
      </c>
      <c r="E375" s="54" t="s">
        <v>121</v>
      </c>
      <c r="F375" s="55" t="n">
        <v>47027.04</v>
      </c>
      <c r="G375" s="54" t="s">
        <v>126</v>
      </c>
      <c r="H375" s="56" t="n">
        <f aca="false">VLOOKUP(E375,Treatment_Table!$B$5:$E$11,4,FALSE())</f>
        <v>0</v>
      </c>
      <c r="I375" s="57" t="n">
        <f aca="false">F375*H375</f>
        <v>0</v>
      </c>
      <c r="J375" s="57" t="n">
        <f aca="false">IF(D375="Income",F375,-F375)</f>
        <v>-47027.04</v>
      </c>
    </row>
    <row r="376" customFormat="false" ht="15" hidden="false" customHeight="false" outlineLevel="0" collapsed="false">
      <c r="A376" s="54" t="s">
        <v>588</v>
      </c>
      <c r="B376" s="54" t="s">
        <v>247</v>
      </c>
      <c r="C376" s="54" t="s">
        <v>122</v>
      </c>
      <c r="D376" s="54" t="s">
        <v>188</v>
      </c>
      <c r="E376" s="54" t="s">
        <v>121</v>
      </c>
      <c r="F376" s="55" t="n">
        <v>530.22</v>
      </c>
      <c r="G376" s="54" t="s">
        <v>122</v>
      </c>
      <c r="H376" s="56" t="n">
        <f aca="false">VLOOKUP(E376,Treatment_Table!$B$5:$E$11,4,FALSE())</f>
        <v>0</v>
      </c>
      <c r="I376" s="57" t="n">
        <f aca="false">F376*H376</f>
        <v>0</v>
      </c>
      <c r="J376" s="57" t="n">
        <f aca="false">IF(D376="Income",F376,-F376)</f>
        <v>-530.22</v>
      </c>
    </row>
    <row r="377" customFormat="false" ht="15" hidden="false" customHeight="false" outlineLevel="0" collapsed="false">
      <c r="A377" s="54" t="s">
        <v>589</v>
      </c>
      <c r="B377" s="54" t="s">
        <v>223</v>
      </c>
      <c r="C377" s="54" t="s">
        <v>124</v>
      </c>
      <c r="D377" s="54" t="s">
        <v>188</v>
      </c>
      <c r="E377" s="54" t="s">
        <v>121</v>
      </c>
      <c r="F377" s="55" t="n">
        <v>52938.83</v>
      </c>
      <c r="G377" s="54" t="s">
        <v>124</v>
      </c>
      <c r="H377" s="56" t="n">
        <f aca="false">VLOOKUP(E377,Treatment_Table!$B$5:$E$11,4,FALSE())</f>
        <v>0</v>
      </c>
      <c r="I377" s="57" t="n">
        <f aca="false">F377*H377</f>
        <v>0</v>
      </c>
      <c r="J377" s="57" t="n">
        <f aca="false">IF(D377="Income",F377,-F377)</f>
        <v>-52938.83</v>
      </c>
    </row>
    <row r="378" customFormat="false" ht="15" hidden="false" customHeight="false" outlineLevel="0" collapsed="false">
      <c r="A378" s="54" t="s">
        <v>590</v>
      </c>
      <c r="B378" s="54" t="s">
        <v>223</v>
      </c>
      <c r="C378" s="54" t="s">
        <v>131</v>
      </c>
      <c r="D378" s="54" t="s">
        <v>188</v>
      </c>
      <c r="E378" s="54" t="s">
        <v>121</v>
      </c>
      <c r="F378" s="55" t="n">
        <v>69144.07</v>
      </c>
      <c r="G378" s="54" t="s">
        <v>131</v>
      </c>
      <c r="H378" s="56" t="n">
        <f aca="false">VLOOKUP(E378,Treatment_Table!$B$5:$E$11,4,FALSE())</f>
        <v>0</v>
      </c>
      <c r="I378" s="57" t="n">
        <f aca="false">F378*H378</f>
        <v>0</v>
      </c>
      <c r="J378" s="57" t="n">
        <f aca="false">IF(D378="Income",F378,-F378)</f>
        <v>-69144.07</v>
      </c>
    </row>
    <row r="379" customFormat="false" ht="15" hidden="false" customHeight="false" outlineLevel="0" collapsed="false">
      <c r="A379" s="54" t="s">
        <v>591</v>
      </c>
      <c r="B379" s="54" t="s">
        <v>243</v>
      </c>
      <c r="C379" s="54" t="s">
        <v>138</v>
      </c>
      <c r="D379" s="54" t="s">
        <v>188</v>
      </c>
      <c r="E379" s="54" t="s">
        <v>139</v>
      </c>
      <c r="F379" s="55" t="n">
        <v>2040.16</v>
      </c>
      <c r="G379" s="54" t="s">
        <v>138</v>
      </c>
      <c r="H379" s="56" t="n">
        <f aca="false">VLOOKUP(E379,Treatment_Table!$B$5:$E$11,4,FALSE())</f>
        <v>0.5</v>
      </c>
      <c r="I379" s="57" t="n">
        <f aca="false">F379*H379</f>
        <v>1020.08</v>
      </c>
      <c r="J379" s="57" t="n">
        <f aca="false">IF(D379="Income",F379,-F379)</f>
        <v>-2040.16</v>
      </c>
    </row>
    <row r="380" customFormat="false" ht="15" hidden="false" customHeight="false" outlineLevel="0" collapsed="false">
      <c r="A380" s="54" t="s">
        <v>592</v>
      </c>
      <c r="B380" s="54" t="s">
        <v>210</v>
      </c>
      <c r="C380" s="54" t="s">
        <v>126</v>
      </c>
      <c r="D380" s="54" t="s">
        <v>188</v>
      </c>
      <c r="E380" s="54" t="s">
        <v>121</v>
      </c>
      <c r="F380" s="55" t="n">
        <v>25012.54</v>
      </c>
      <c r="G380" s="54" t="s">
        <v>126</v>
      </c>
      <c r="H380" s="56" t="n">
        <f aca="false">VLOOKUP(E380,Treatment_Table!$B$5:$E$11,4,FALSE())</f>
        <v>0</v>
      </c>
      <c r="I380" s="57" t="n">
        <f aca="false">F380*H380</f>
        <v>0</v>
      </c>
      <c r="J380" s="57" t="n">
        <f aca="false">IF(D380="Income",F380,-F380)</f>
        <v>-25012.54</v>
      </c>
    </row>
    <row r="381" customFormat="false" ht="15" hidden="false" customHeight="false" outlineLevel="0" collapsed="false">
      <c r="A381" s="54" t="s">
        <v>593</v>
      </c>
      <c r="B381" s="54" t="s">
        <v>223</v>
      </c>
      <c r="C381" s="54" t="s">
        <v>123</v>
      </c>
      <c r="D381" s="54" t="s">
        <v>188</v>
      </c>
      <c r="E381" s="54" t="s">
        <v>121</v>
      </c>
      <c r="F381" s="55" t="n">
        <v>101047.17</v>
      </c>
      <c r="G381" s="54" t="s">
        <v>123</v>
      </c>
      <c r="H381" s="56" t="n">
        <f aca="false">VLOOKUP(E381,Treatment_Table!$B$5:$E$11,4,FALSE())</f>
        <v>0</v>
      </c>
      <c r="I381" s="57" t="n">
        <f aca="false">F381*H381</f>
        <v>0</v>
      </c>
      <c r="J381" s="57" t="n">
        <f aca="false">IF(D381="Income",F381,-F381)</f>
        <v>-101047.17</v>
      </c>
    </row>
    <row r="382" customFormat="false" ht="15" hidden="false" customHeight="false" outlineLevel="0" collapsed="false">
      <c r="A382" s="54" t="s">
        <v>594</v>
      </c>
      <c r="B382" s="54" t="s">
        <v>214</v>
      </c>
      <c r="C382" s="54" t="s">
        <v>129</v>
      </c>
      <c r="D382" s="54" t="s">
        <v>188</v>
      </c>
      <c r="E382" s="54" t="s">
        <v>121</v>
      </c>
      <c r="F382" s="55" t="n">
        <v>19198.2</v>
      </c>
      <c r="G382" s="54" t="s">
        <v>129</v>
      </c>
      <c r="H382" s="56" t="n">
        <f aca="false">VLOOKUP(E382,Treatment_Table!$B$5:$E$11,4,FALSE())</f>
        <v>0</v>
      </c>
      <c r="I382" s="57" t="n">
        <f aca="false">F382*H382</f>
        <v>0</v>
      </c>
      <c r="J382" s="57" t="n">
        <f aca="false">IF(D382="Income",F382,-F382)</f>
        <v>-19198.2</v>
      </c>
    </row>
    <row r="383" customFormat="false" ht="15" hidden="false" customHeight="false" outlineLevel="0" collapsed="false">
      <c r="A383" s="54" t="s">
        <v>595</v>
      </c>
      <c r="B383" s="54" t="s">
        <v>235</v>
      </c>
      <c r="C383" s="54" t="s">
        <v>131</v>
      </c>
      <c r="D383" s="54" t="s">
        <v>188</v>
      </c>
      <c r="E383" s="54" t="s">
        <v>121</v>
      </c>
      <c r="F383" s="55" t="n">
        <v>73135.79</v>
      </c>
      <c r="G383" s="54" t="s">
        <v>131</v>
      </c>
      <c r="H383" s="56" t="n">
        <f aca="false">VLOOKUP(E383,Treatment_Table!$B$5:$E$11,4,FALSE())</f>
        <v>0</v>
      </c>
      <c r="I383" s="57" t="n">
        <f aca="false">F383*H383</f>
        <v>0</v>
      </c>
      <c r="J383" s="57" t="n">
        <f aca="false">IF(D383="Income",F383,-F383)</f>
        <v>-73135.79</v>
      </c>
    </row>
    <row r="384" customFormat="false" ht="15" hidden="false" customHeight="false" outlineLevel="0" collapsed="false">
      <c r="A384" s="54" t="s">
        <v>596</v>
      </c>
      <c r="B384" s="54" t="s">
        <v>205</v>
      </c>
      <c r="C384" s="54" t="s">
        <v>129</v>
      </c>
      <c r="D384" s="54" t="s">
        <v>188</v>
      </c>
      <c r="E384" s="54" t="s">
        <v>121</v>
      </c>
      <c r="F384" s="55" t="n">
        <v>47642.17</v>
      </c>
      <c r="G384" s="54" t="s">
        <v>129</v>
      </c>
      <c r="H384" s="56" t="n">
        <f aca="false">VLOOKUP(E384,Treatment_Table!$B$5:$E$11,4,FALSE())</f>
        <v>0</v>
      </c>
      <c r="I384" s="57" t="n">
        <f aca="false">F384*H384</f>
        <v>0</v>
      </c>
      <c r="J384" s="57" t="n">
        <f aca="false">IF(D384="Income",F384,-F384)</f>
        <v>-47642.17</v>
      </c>
    </row>
    <row r="385" customFormat="false" ht="15" hidden="false" customHeight="false" outlineLevel="0" collapsed="false">
      <c r="A385" s="54" t="s">
        <v>597</v>
      </c>
      <c r="B385" s="54" t="s">
        <v>218</v>
      </c>
      <c r="C385" s="54" t="s">
        <v>122</v>
      </c>
      <c r="D385" s="54" t="s">
        <v>188</v>
      </c>
      <c r="E385" s="54" t="s">
        <v>121</v>
      </c>
      <c r="F385" s="55" t="n">
        <v>1404.35</v>
      </c>
      <c r="G385" s="54" t="s">
        <v>122</v>
      </c>
      <c r="H385" s="56" t="n">
        <f aca="false">VLOOKUP(E385,Treatment_Table!$B$5:$E$11,4,FALSE())</f>
        <v>0</v>
      </c>
      <c r="I385" s="57" t="n">
        <f aca="false">F385*H385</f>
        <v>0</v>
      </c>
      <c r="J385" s="57" t="n">
        <f aca="false">IF(D385="Income",F385,-F385)</f>
        <v>-1404.35</v>
      </c>
    </row>
    <row r="386" customFormat="false" ht="15" hidden="false" customHeight="false" outlineLevel="0" collapsed="false">
      <c r="A386" s="54" t="s">
        <v>598</v>
      </c>
      <c r="B386" s="54" t="s">
        <v>228</v>
      </c>
      <c r="C386" s="54" t="s">
        <v>123</v>
      </c>
      <c r="D386" s="54" t="s">
        <v>188</v>
      </c>
      <c r="E386" s="54" t="s">
        <v>121</v>
      </c>
      <c r="F386" s="55" t="n">
        <v>73901.04</v>
      </c>
      <c r="G386" s="54" t="s">
        <v>123</v>
      </c>
      <c r="H386" s="56" t="n">
        <f aca="false">VLOOKUP(E386,Treatment_Table!$B$5:$E$11,4,FALSE())</f>
        <v>0</v>
      </c>
      <c r="I386" s="57" t="n">
        <f aca="false">F386*H386</f>
        <v>0</v>
      </c>
      <c r="J386" s="57" t="n">
        <f aca="false">IF(D386="Income",F386,-F386)</f>
        <v>-73901.04</v>
      </c>
    </row>
    <row r="387" customFormat="false" ht="15" hidden="false" customHeight="false" outlineLevel="0" collapsed="false">
      <c r="A387" s="54" t="s">
        <v>599</v>
      </c>
      <c r="B387" s="54" t="s">
        <v>216</v>
      </c>
      <c r="C387" s="54" t="s">
        <v>123</v>
      </c>
      <c r="D387" s="54" t="s">
        <v>188</v>
      </c>
      <c r="E387" s="54" t="s">
        <v>121</v>
      </c>
      <c r="F387" s="55" t="n">
        <v>134479.79</v>
      </c>
      <c r="G387" s="54" t="s">
        <v>123</v>
      </c>
      <c r="H387" s="56" t="n">
        <f aca="false">VLOOKUP(E387,Treatment_Table!$B$5:$E$11,4,FALSE())</f>
        <v>0</v>
      </c>
      <c r="I387" s="57" t="n">
        <f aca="false">F387*H387</f>
        <v>0</v>
      </c>
      <c r="J387" s="57" t="n">
        <f aca="false">IF(D387="Income",F387,-F387)</f>
        <v>-134479.79</v>
      </c>
    </row>
    <row r="388" customFormat="false" ht="15" hidden="false" customHeight="false" outlineLevel="0" collapsed="false">
      <c r="A388" s="54" t="s">
        <v>600</v>
      </c>
      <c r="B388" s="54" t="s">
        <v>235</v>
      </c>
      <c r="C388" s="54" t="s">
        <v>131</v>
      </c>
      <c r="D388" s="54" t="s">
        <v>188</v>
      </c>
      <c r="E388" s="54" t="s">
        <v>121</v>
      </c>
      <c r="F388" s="55" t="n">
        <v>60425.54</v>
      </c>
      <c r="G388" s="54" t="s">
        <v>131</v>
      </c>
      <c r="H388" s="56" t="n">
        <f aca="false">VLOOKUP(E388,Treatment_Table!$B$5:$E$11,4,FALSE())</f>
        <v>0</v>
      </c>
      <c r="I388" s="57" t="n">
        <f aca="false">F388*H388</f>
        <v>0</v>
      </c>
      <c r="J388" s="57" t="n">
        <f aca="false">IF(D388="Income",F388,-F388)</f>
        <v>-60425.54</v>
      </c>
    </row>
    <row r="389" customFormat="false" ht="15" hidden="false" customHeight="false" outlineLevel="0" collapsed="false">
      <c r="A389" s="54" t="s">
        <v>601</v>
      </c>
      <c r="B389" s="54" t="s">
        <v>235</v>
      </c>
      <c r="C389" s="54" t="s">
        <v>131</v>
      </c>
      <c r="D389" s="54" t="s">
        <v>188</v>
      </c>
      <c r="E389" s="54" t="s">
        <v>121</v>
      </c>
      <c r="F389" s="55" t="n">
        <v>46037.03</v>
      </c>
      <c r="G389" s="54" t="s">
        <v>131</v>
      </c>
      <c r="H389" s="56" t="n">
        <f aca="false">VLOOKUP(E389,Treatment_Table!$B$5:$E$11,4,FALSE())</f>
        <v>0</v>
      </c>
      <c r="I389" s="57" t="n">
        <f aca="false">F389*H389</f>
        <v>0</v>
      </c>
      <c r="J389" s="57" t="n">
        <f aca="false">IF(D389="Income",F389,-F389)</f>
        <v>-46037.03</v>
      </c>
    </row>
    <row r="390" customFormat="false" ht="15" hidden="false" customHeight="false" outlineLevel="0" collapsed="false">
      <c r="A390" s="54" t="s">
        <v>602</v>
      </c>
      <c r="B390" s="54" t="s">
        <v>210</v>
      </c>
      <c r="C390" s="54" t="s">
        <v>123</v>
      </c>
      <c r="D390" s="54" t="s">
        <v>188</v>
      </c>
      <c r="E390" s="54" t="s">
        <v>121</v>
      </c>
      <c r="F390" s="55" t="n">
        <v>94896.16</v>
      </c>
      <c r="G390" s="54" t="s">
        <v>123</v>
      </c>
      <c r="H390" s="56" t="n">
        <f aca="false">VLOOKUP(E390,Treatment_Table!$B$5:$E$11,4,FALSE())</f>
        <v>0</v>
      </c>
      <c r="I390" s="57" t="n">
        <f aca="false">F390*H390</f>
        <v>0</v>
      </c>
      <c r="J390" s="57" t="n">
        <f aca="false">IF(D390="Income",F390,-F390)</f>
        <v>-94896.16</v>
      </c>
    </row>
    <row r="391" customFormat="false" ht="15" hidden="false" customHeight="false" outlineLevel="0" collapsed="false">
      <c r="A391" s="54" t="s">
        <v>603</v>
      </c>
      <c r="B391" s="54" t="s">
        <v>218</v>
      </c>
      <c r="C391" s="54" t="s">
        <v>128</v>
      </c>
      <c r="D391" s="54" t="s">
        <v>188</v>
      </c>
      <c r="E391" s="54" t="s">
        <v>121</v>
      </c>
      <c r="F391" s="55" t="n">
        <v>56404.35</v>
      </c>
      <c r="G391" s="54" t="s">
        <v>128</v>
      </c>
      <c r="H391" s="56" t="n">
        <f aca="false">VLOOKUP(E391,Treatment_Table!$B$5:$E$11,4,FALSE())</f>
        <v>0</v>
      </c>
      <c r="I391" s="57" t="n">
        <f aca="false">F391*H391</f>
        <v>0</v>
      </c>
      <c r="J391" s="57" t="n">
        <f aca="false">IF(D391="Income",F391,-F391)</f>
        <v>-56404.35</v>
      </c>
    </row>
    <row r="392" customFormat="false" ht="15" hidden="false" customHeight="false" outlineLevel="0" collapsed="false">
      <c r="A392" s="54" t="s">
        <v>604</v>
      </c>
      <c r="B392" s="54" t="s">
        <v>218</v>
      </c>
      <c r="C392" s="54" t="s">
        <v>128</v>
      </c>
      <c r="D392" s="54" t="s">
        <v>188</v>
      </c>
      <c r="E392" s="54" t="s">
        <v>121</v>
      </c>
      <c r="F392" s="55" t="n">
        <v>5394.29</v>
      </c>
      <c r="G392" s="54" t="s">
        <v>128</v>
      </c>
      <c r="H392" s="56" t="n">
        <f aca="false">VLOOKUP(E392,Treatment_Table!$B$5:$E$11,4,FALSE())</f>
        <v>0</v>
      </c>
      <c r="I392" s="57" t="n">
        <f aca="false">F392*H392</f>
        <v>0</v>
      </c>
      <c r="J392" s="57" t="n">
        <f aca="false">IF(D392="Income",F392,-F392)</f>
        <v>-5394.29</v>
      </c>
    </row>
    <row r="393" customFormat="false" ht="15" hidden="false" customHeight="false" outlineLevel="0" collapsed="false">
      <c r="A393" s="54" t="s">
        <v>605</v>
      </c>
      <c r="B393" s="54" t="s">
        <v>230</v>
      </c>
      <c r="C393" s="54" t="s">
        <v>135</v>
      </c>
      <c r="D393" s="54" t="s">
        <v>188</v>
      </c>
      <c r="E393" s="54" t="s">
        <v>134</v>
      </c>
      <c r="F393" s="55" t="n">
        <v>3042.62</v>
      </c>
      <c r="G393" s="54" t="s">
        <v>135</v>
      </c>
      <c r="H393" s="56" t="n">
        <f aca="false">VLOOKUP(E393,Treatment_Table!$B$5:$E$11,4,FALSE())</f>
        <v>1</v>
      </c>
      <c r="I393" s="57" t="n">
        <f aca="false">F393*H393</f>
        <v>3042.62</v>
      </c>
      <c r="J393" s="57" t="n">
        <f aca="false">IF(D393="Income",F393,-F393)</f>
        <v>-3042.62</v>
      </c>
    </row>
    <row r="394" customFormat="false" ht="15" hidden="false" customHeight="false" outlineLevel="0" collapsed="false">
      <c r="A394" s="54" t="s">
        <v>606</v>
      </c>
      <c r="B394" s="54" t="s">
        <v>205</v>
      </c>
      <c r="C394" s="54" t="s">
        <v>126</v>
      </c>
      <c r="D394" s="54" t="s">
        <v>188</v>
      </c>
      <c r="E394" s="54" t="s">
        <v>121</v>
      </c>
      <c r="F394" s="55" t="n">
        <v>26270.89</v>
      </c>
      <c r="G394" s="54" t="s">
        <v>126</v>
      </c>
      <c r="H394" s="56" t="n">
        <f aca="false">VLOOKUP(E394,Treatment_Table!$B$5:$E$11,4,FALSE())</f>
        <v>0</v>
      </c>
      <c r="I394" s="57" t="n">
        <f aca="false">F394*H394</f>
        <v>0</v>
      </c>
      <c r="J394" s="57" t="n">
        <f aca="false">IF(D394="Income",F394,-F394)</f>
        <v>-26270.89</v>
      </c>
    </row>
    <row r="395" customFormat="false" ht="15" hidden="false" customHeight="false" outlineLevel="0" collapsed="false">
      <c r="A395" s="54" t="s">
        <v>607</v>
      </c>
      <c r="B395" s="54" t="s">
        <v>223</v>
      </c>
      <c r="C395" s="54" t="s">
        <v>131</v>
      </c>
      <c r="D395" s="54" t="s">
        <v>188</v>
      </c>
      <c r="E395" s="54" t="s">
        <v>121</v>
      </c>
      <c r="F395" s="55" t="n">
        <v>23974.63</v>
      </c>
      <c r="G395" s="54" t="s">
        <v>131</v>
      </c>
      <c r="H395" s="56" t="n">
        <f aca="false">VLOOKUP(E395,Treatment_Table!$B$5:$E$11,4,FALSE())</f>
        <v>0</v>
      </c>
      <c r="I395" s="57" t="n">
        <f aca="false">F395*H395</f>
        <v>0</v>
      </c>
      <c r="J395" s="57" t="n">
        <f aca="false">IF(D395="Income",F395,-F395)</f>
        <v>-23974.63</v>
      </c>
    </row>
    <row r="396" customFormat="false" ht="15" hidden="false" customHeight="false" outlineLevel="0" collapsed="false">
      <c r="A396" s="54" t="s">
        <v>608</v>
      </c>
      <c r="B396" s="54" t="s">
        <v>208</v>
      </c>
      <c r="C396" s="54" t="s">
        <v>129</v>
      </c>
      <c r="D396" s="54" t="s">
        <v>188</v>
      </c>
      <c r="E396" s="54" t="s">
        <v>121</v>
      </c>
      <c r="F396" s="55" t="n">
        <v>4485.05</v>
      </c>
      <c r="G396" s="54" t="s">
        <v>129</v>
      </c>
      <c r="H396" s="56" t="n">
        <f aca="false">VLOOKUP(E396,Treatment_Table!$B$5:$E$11,4,FALSE())</f>
        <v>0</v>
      </c>
      <c r="I396" s="57" t="n">
        <f aca="false">F396*H396</f>
        <v>0</v>
      </c>
      <c r="J396" s="57" t="n">
        <f aca="false">IF(D396="Income",F396,-F396)</f>
        <v>-4485.05</v>
      </c>
    </row>
    <row r="397" customFormat="false" ht="15" hidden="false" customHeight="false" outlineLevel="0" collapsed="false">
      <c r="A397" s="54" t="s">
        <v>609</v>
      </c>
      <c r="B397" s="54" t="s">
        <v>247</v>
      </c>
      <c r="C397" s="54" t="s">
        <v>126</v>
      </c>
      <c r="D397" s="54" t="s">
        <v>188</v>
      </c>
      <c r="E397" s="54" t="s">
        <v>121</v>
      </c>
      <c r="F397" s="55" t="n">
        <v>59324.88</v>
      </c>
      <c r="G397" s="54" t="s">
        <v>126</v>
      </c>
      <c r="H397" s="56" t="n">
        <f aca="false">VLOOKUP(E397,Treatment_Table!$B$5:$E$11,4,FALSE())</f>
        <v>0</v>
      </c>
      <c r="I397" s="57" t="n">
        <f aca="false">F397*H397</f>
        <v>0</v>
      </c>
      <c r="J397" s="57" t="n">
        <f aca="false">IF(D397="Income",F397,-F397)</f>
        <v>-59324.88</v>
      </c>
    </row>
    <row r="398" customFormat="false" ht="15" hidden="false" customHeight="false" outlineLevel="0" collapsed="false">
      <c r="A398" s="54" t="s">
        <v>610</v>
      </c>
      <c r="B398" s="54" t="s">
        <v>235</v>
      </c>
      <c r="C398" s="54" t="s">
        <v>131</v>
      </c>
      <c r="D398" s="54" t="s">
        <v>188</v>
      </c>
      <c r="E398" s="54" t="s">
        <v>121</v>
      </c>
      <c r="F398" s="55" t="n">
        <v>48337.08</v>
      </c>
      <c r="G398" s="54" t="s">
        <v>131</v>
      </c>
      <c r="H398" s="56" t="n">
        <f aca="false">VLOOKUP(E398,Treatment_Table!$B$5:$E$11,4,FALSE())</f>
        <v>0</v>
      </c>
      <c r="I398" s="57" t="n">
        <f aca="false">F398*H398</f>
        <v>0</v>
      </c>
      <c r="J398" s="57" t="n">
        <f aca="false">IF(D398="Income",F398,-F398)</f>
        <v>-48337.08</v>
      </c>
    </row>
    <row r="399" customFormat="false" ht="15" hidden="false" customHeight="false" outlineLevel="0" collapsed="false">
      <c r="A399" s="54" t="s">
        <v>611</v>
      </c>
      <c r="B399" s="54" t="s">
        <v>214</v>
      </c>
      <c r="C399" s="54" t="s">
        <v>123</v>
      </c>
      <c r="D399" s="54" t="s">
        <v>188</v>
      </c>
      <c r="E399" s="54" t="s">
        <v>121</v>
      </c>
      <c r="F399" s="55" t="n">
        <v>54634.56</v>
      </c>
      <c r="G399" s="54" t="s">
        <v>123</v>
      </c>
      <c r="H399" s="56" t="n">
        <f aca="false">VLOOKUP(E399,Treatment_Table!$B$5:$E$11,4,FALSE())</f>
        <v>0</v>
      </c>
      <c r="I399" s="57" t="n">
        <f aca="false">F399*H399</f>
        <v>0</v>
      </c>
      <c r="J399" s="57" t="n">
        <f aca="false">IF(D399="Income",F399,-F399)</f>
        <v>-54634.56</v>
      </c>
    </row>
    <row r="400" customFormat="false" ht="15" hidden="false" customHeight="false" outlineLevel="0" collapsed="false">
      <c r="A400" s="54" t="s">
        <v>612</v>
      </c>
      <c r="B400" s="54" t="s">
        <v>214</v>
      </c>
      <c r="C400" s="54" t="s">
        <v>130</v>
      </c>
      <c r="D400" s="54" t="s">
        <v>188</v>
      </c>
      <c r="E400" s="54" t="s">
        <v>121</v>
      </c>
      <c r="F400" s="55" t="n">
        <v>47368.71</v>
      </c>
      <c r="G400" s="54" t="s">
        <v>130</v>
      </c>
      <c r="H400" s="56" t="n">
        <f aca="false">VLOOKUP(E400,Treatment_Table!$B$5:$E$11,4,FALSE())</f>
        <v>0</v>
      </c>
      <c r="I400" s="57" t="n">
        <f aca="false">F400*H400</f>
        <v>0</v>
      </c>
      <c r="J400" s="57" t="n">
        <f aca="false">IF(D400="Income",F400,-F400)</f>
        <v>-47368.71</v>
      </c>
    </row>
    <row r="401" customFormat="false" ht="15" hidden="false" customHeight="false" outlineLevel="0" collapsed="false">
      <c r="A401" s="54" t="s">
        <v>613</v>
      </c>
      <c r="B401" s="54" t="s">
        <v>247</v>
      </c>
      <c r="C401" s="54" t="s">
        <v>123</v>
      </c>
      <c r="D401" s="54" t="s">
        <v>188</v>
      </c>
      <c r="E401" s="54" t="s">
        <v>121</v>
      </c>
      <c r="F401" s="55" t="n">
        <v>42325.06</v>
      </c>
      <c r="G401" s="54" t="s">
        <v>123</v>
      </c>
      <c r="H401" s="56" t="n">
        <f aca="false">VLOOKUP(E401,Treatment_Table!$B$5:$E$11,4,FALSE())</f>
        <v>0</v>
      </c>
      <c r="I401" s="57" t="n">
        <f aca="false">F401*H401</f>
        <v>0</v>
      </c>
      <c r="J401" s="57" t="n">
        <f aca="false">IF(D401="Income",F401,-F401)</f>
        <v>-42325.06</v>
      </c>
    </row>
    <row r="402" customFormat="false" ht="15" hidden="false" customHeight="false" outlineLevel="0" collapsed="false">
      <c r="A402" s="54" t="s">
        <v>614</v>
      </c>
      <c r="B402" s="54" t="s">
        <v>230</v>
      </c>
      <c r="C402" s="54" t="s">
        <v>123</v>
      </c>
      <c r="D402" s="54" t="s">
        <v>188</v>
      </c>
      <c r="E402" s="54" t="s">
        <v>121</v>
      </c>
      <c r="F402" s="55" t="n">
        <v>68103.92</v>
      </c>
      <c r="G402" s="54" t="s">
        <v>123</v>
      </c>
      <c r="H402" s="56" t="n">
        <f aca="false">VLOOKUP(E402,Treatment_Table!$B$5:$E$11,4,FALSE())</f>
        <v>0</v>
      </c>
      <c r="I402" s="57" t="n">
        <f aca="false">F402*H402</f>
        <v>0</v>
      </c>
      <c r="J402" s="57" t="n">
        <f aca="false">IF(D402="Income",F402,-F402)</f>
        <v>-68103.92</v>
      </c>
    </row>
    <row r="403" customFormat="false" ht="15" hidden="false" customHeight="false" outlineLevel="0" collapsed="false">
      <c r="A403" s="54" t="s">
        <v>615</v>
      </c>
      <c r="B403" s="54" t="s">
        <v>205</v>
      </c>
      <c r="C403" s="54" t="s">
        <v>138</v>
      </c>
      <c r="D403" s="54" t="s">
        <v>188</v>
      </c>
      <c r="E403" s="54" t="s">
        <v>139</v>
      </c>
      <c r="F403" s="55" t="n">
        <v>3712.51</v>
      </c>
      <c r="G403" s="54" t="s">
        <v>138</v>
      </c>
      <c r="H403" s="56" t="n">
        <f aca="false">VLOOKUP(E403,Treatment_Table!$B$5:$E$11,4,FALSE())</f>
        <v>0.5</v>
      </c>
      <c r="I403" s="57" t="n">
        <f aca="false">F403*H403</f>
        <v>1856.255</v>
      </c>
      <c r="J403" s="57" t="n">
        <f aca="false">IF(D403="Income",F403,-F403)</f>
        <v>-3712.51</v>
      </c>
    </row>
    <row r="404" customFormat="false" ht="15" hidden="false" customHeight="false" outlineLevel="0" collapsed="false">
      <c r="A404" s="54" t="s">
        <v>616</v>
      </c>
      <c r="B404" s="54" t="s">
        <v>235</v>
      </c>
      <c r="C404" s="54" t="s">
        <v>131</v>
      </c>
      <c r="D404" s="54" t="s">
        <v>188</v>
      </c>
      <c r="E404" s="54" t="s">
        <v>121</v>
      </c>
      <c r="F404" s="55" t="n">
        <v>35245.36</v>
      </c>
      <c r="G404" s="54" t="s">
        <v>131</v>
      </c>
      <c r="H404" s="56" t="n">
        <f aca="false">VLOOKUP(E404,Treatment_Table!$B$5:$E$11,4,FALSE())</f>
        <v>0</v>
      </c>
      <c r="I404" s="57" t="n">
        <f aca="false">F404*H404</f>
        <v>0</v>
      </c>
      <c r="J404" s="57" t="n">
        <f aca="false">IF(D404="Income",F404,-F404)</f>
        <v>-35245.36</v>
      </c>
    </row>
    <row r="405" customFormat="false" ht="15" hidden="false" customHeight="false" outlineLevel="0" collapsed="false">
      <c r="A405" s="54" t="s">
        <v>617</v>
      </c>
      <c r="B405" s="54" t="s">
        <v>210</v>
      </c>
      <c r="C405" s="54" t="s">
        <v>129</v>
      </c>
      <c r="D405" s="54" t="s">
        <v>188</v>
      </c>
      <c r="E405" s="54" t="s">
        <v>121</v>
      </c>
      <c r="F405" s="55" t="n">
        <v>26585.54</v>
      </c>
      <c r="G405" s="54" t="s">
        <v>129</v>
      </c>
      <c r="H405" s="56" t="n">
        <f aca="false">VLOOKUP(E405,Treatment_Table!$B$5:$E$11,4,FALSE())</f>
        <v>0</v>
      </c>
      <c r="I405" s="57" t="n">
        <f aca="false">F405*H405</f>
        <v>0</v>
      </c>
      <c r="J405" s="57" t="n">
        <f aca="false">IF(D405="Income",F405,-F405)</f>
        <v>-26585.54</v>
      </c>
    </row>
    <row r="406" customFormat="false" ht="15" hidden="false" customHeight="false" outlineLevel="0" collapsed="false">
      <c r="A406" s="54" t="s">
        <v>618</v>
      </c>
      <c r="B406" s="54" t="s">
        <v>235</v>
      </c>
      <c r="C406" s="54" t="s">
        <v>142</v>
      </c>
      <c r="D406" s="54" t="s">
        <v>188</v>
      </c>
      <c r="E406" s="54" t="s">
        <v>141</v>
      </c>
      <c r="F406" s="55" t="n">
        <v>86100.55</v>
      </c>
      <c r="G406" s="54" t="s">
        <v>142</v>
      </c>
      <c r="H406" s="56" t="n">
        <f aca="false">VLOOKUP(E406,Treatment_Table!$B$5:$E$11,4,FALSE())</f>
        <v>0</v>
      </c>
      <c r="I406" s="57" t="n">
        <f aca="false">F406*H406</f>
        <v>0</v>
      </c>
      <c r="J406" s="57" t="n">
        <f aca="false">IF(D406="Income",F406,-F406)</f>
        <v>-86100.55</v>
      </c>
    </row>
    <row r="407" customFormat="false" ht="15" hidden="false" customHeight="false" outlineLevel="0" collapsed="false">
      <c r="A407" s="54" t="s">
        <v>619</v>
      </c>
      <c r="B407" s="54" t="s">
        <v>214</v>
      </c>
      <c r="C407" s="54" t="s">
        <v>126</v>
      </c>
      <c r="D407" s="54" t="s">
        <v>188</v>
      </c>
      <c r="E407" s="54" t="s">
        <v>121</v>
      </c>
      <c r="F407" s="55" t="n">
        <v>24816.92</v>
      </c>
      <c r="G407" s="54" t="s">
        <v>126</v>
      </c>
      <c r="H407" s="56" t="n">
        <f aca="false">VLOOKUP(E407,Treatment_Table!$B$5:$E$11,4,FALSE())</f>
        <v>0</v>
      </c>
      <c r="I407" s="57" t="n">
        <f aca="false">F407*H407</f>
        <v>0</v>
      </c>
      <c r="J407" s="57" t="n">
        <f aca="false">IF(D407="Income",F407,-F407)</f>
        <v>-24816.92</v>
      </c>
    </row>
    <row r="408" customFormat="false" ht="15" hidden="false" customHeight="false" outlineLevel="0" collapsed="false">
      <c r="A408" s="54" t="s">
        <v>620</v>
      </c>
      <c r="B408" s="54" t="s">
        <v>205</v>
      </c>
      <c r="C408" s="54" t="s">
        <v>126</v>
      </c>
      <c r="D408" s="54" t="s">
        <v>188</v>
      </c>
      <c r="E408" s="54" t="s">
        <v>121</v>
      </c>
      <c r="F408" s="55" t="n">
        <v>34131.38</v>
      </c>
      <c r="G408" s="54" t="s">
        <v>126</v>
      </c>
      <c r="H408" s="56" t="n">
        <f aca="false">VLOOKUP(E408,Treatment_Table!$B$5:$E$11,4,FALSE())</f>
        <v>0</v>
      </c>
      <c r="I408" s="57" t="n">
        <f aca="false">F408*H408</f>
        <v>0</v>
      </c>
      <c r="J408" s="57" t="n">
        <f aca="false">IF(D408="Income",F408,-F408)</f>
        <v>-34131.38</v>
      </c>
    </row>
    <row r="409" customFormat="false" ht="15" hidden="false" customHeight="false" outlineLevel="0" collapsed="false">
      <c r="A409" s="54" t="s">
        <v>621</v>
      </c>
      <c r="B409" s="54" t="s">
        <v>230</v>
      </c>
      <c r="C409" s="54" t="s">
        <v>124</v>
      </c>
      <c r="D409" s="54" t="s">
        <v>188</v>
      </c>
      <c r="E409" s="54" t="s">
        <v>121</v>
      </c>
      <c r="F409" s="55" t="n">
        <v>32222.31</v>
      </c>
      <c r="G409" s="54" t="s">
        <v>124</v>
      </c>
      <c r="H409" s="56" t="n">
        <f aca="false">VLOOKUP(E409,Treatment_Table!$B$5:$E$11,4,FALSE())</f>
        <v>0</v>
      </c>
      <c r="I409" s="57" t="n">
        <f aca="false">F409*H409</f>
        <v>0</v>
      </c>
      <c r="J409" s="57" t="n">
        <f aca="false">IF(D409="Income",F409,-F409)</f>
        <v>-32222.31</v>
      </c>
    </row>
    <row r="410" customFormat="false" ht="15" hidden="false" customHeight="false" outlineLevel="0" collapsed="false">
      <c r="A410" s="54" t="s">
        <v>622</v>
      </c>
      <c r="B410" s="54" t="s">
        <v>205</v>
      </c>
      <c r="C410" s="54" t="s">
        <v>131</v>
      </c>
      <c r="D410" s="54" t="s">
        <v>188</v>
      </c>
      <c r="E410" s="54" t="s">
        <v>121</v>
      </c>
      <c r="F410" s="55" t="n">
        <v>82611.04</v>
      </c>
      <c r="G410" s="54" t="s">
        <v>131</v>
      </c>
      <c r="H410" s="56" t="n">
        <f aca="false">VLOOKUP(E410,Treatment_Table!$B$5:$E$11,4,FALSE())</f>
        <v>0</v>
      </c>
      <c r="I410" s="57" t="n">
        <f aca="false">F410*H410</f>
        <v>0</v>
      </c>
      <c r="J410" s="57" t="n">
        <f aca="false">IF(D410="Income",F410,-F410)</f>
        <v>-82611.04</v>
      </c>
    </row>
    <row r="411" customFormat="false" ht="15" hidden="false" customHeight="false" outlineLevel="0" collapsed="false">
      <c r="A411" s="54" t="s">
        <v>623</v>
      </c>
      <c r="B411" s="54" t="s">
        <v>218</v>
      </c>
      <c r="C411" s="54" t="s">
        <v>132</v>
      </c>
      <c r="D411" s="54" t="s">
        <v>188</v>
      </c>
      <c r="E411" s="54" t="s">
        <v>121</v>
      </c>
      <c r="F411" s="55" t="n">
        <v>10384.48</v>
      </c>
      <c r="G411" s="54" t="s">
        <v>132</v>
      </c>
      <c r="H411" s="56" t="n">
        <f aca="false">VLOOKUP(E411,Treatment_Table!$B$5:$E$11,4,FALSE())</f>
        <v>0</v>
      </c>
      <c r="I411" s="57" t="n">
        <f aca="false">F411*H411</f>
        <v>0</v>
      </c>
      <c r="J411" s="57" t="n">
        <f aca="false">IF(D411="Income",F411,-F411)</f>
        <v>-10384.48</v>
      </c>
    </row>
    <row r="412" customFormat="false" ht="15" hidden="false" customHeight="false" outlineLevel="0" collapsed="false">
      <c r="A412" s="54" t="s">
        <v>624</v>
      </c>
      <c r="B412" s="54" t="s">
        <v>228</v>
      </c>
      <c r="C412" s="54" t="s">
        <v>131</v>
      </c>
      <c r="D412" s="54" t="s">
        <v>188</v>
      </c>
      <c r="E412" s="54" t="s">
        <v>121</v>
      </c>
      <c r="F412" s="55" t="n">
        <v>38073.33</v>
      </c>
      <c r="G412" s="54" t="s">
        <v>131</v>
      </c>
      <c r="H412" s="56" t="n">
        <f aca="false">VLOOKUP(E412,Treatment_Table!$B$5:$E$11,4,FALSE())</f>
        <v>0</v>
      </c>
      <c r="I412" s="57" t="n">
        <f aca="false">F412*H412</f>
        <v>0</v>
      </c>
      <c r="J412" s="57" t="n">
        <f aca="false">IF(D412="Income",F412,-F412)</f>
        <v>-38073.33</v>
      </c>
    </row>
    <row r="413" customFormat="false" ht="15" hidden="false" customHeight="false" outlineLevel="0" collapsed="false">
      <c r="A413" s="54" t="s">
        <v>625</v>
      </c>
      <c r="B413" s="54" t="s">
        <v>235</v>
      </c>
      <c r="C413" s="54" t="s">
        <v>123</v>
      </c>
      <c r="D413" s="54" t="s">
        <v>188</v>
      </c>
      <c r="E413" s="54" t="s">
        <v>121</v>
      </c>
      <c r="F413" s="55" t="n">
        <v>203077.1</v>
      </c>
      <c r="G413" s="54" t="s">
        <v>123</v>
      </c>
      <c r="H413" s="56" t="n">
        <f aca="false">VLOOKUP(E413,Treatment_Table!$B$5:$E$11,4,FALSE())</f>
        <v>0</v>
      </c>
      <c r="I413" s="57" t="n">
        <f aca="false">F413*H413</f>
        <v>0</v>
      </c>
      <c r="J413" s="57" t="n">
        <f aca="false">IF(D413="Income",F413,-F413)</f>
        <v>-203077.1</v>
      </c>
    </row>
    <row r="414" customFormat="false" ht="15" hidden="false" customHeight="false" outlineLevel="0" collapsed="false">
      <c r="A414" s="54" t="s">
        <v>626</v>
      </c>
      <c r="B414" s="54" t="s">
        <v>223</v>
      </c>
      <c r="C414" s="54" t="s">
        <v>124</v>
      </c>
      <c r="D414" s="54" t="s">
        <v>188</v>
      </c>
      <c r="E414" s="54" t="s">
        <v>121</v>
      </c>
      <c r="F414" s="55" t="n">
        <v>42729.21</v>
      </c>
      <c r="G414" s="54" t="s">
        <v>124</v>
      </c>
      <c r="H414" s="56" t="n">
        <f aca="false">VLOOKUP(E414,Treatment_Table!$B$5:$E$11,4,FALSE())</f>
        <v>0</v>
      </c>
      <c r="I414" s="57" t="n">
        <f aca="false">F414*H414</f>
        <v>0</v>
      </c>
      <c r="J414" s="57" t="n">
        <f aca="false">IF(D414="Income",F414,-F414)</f>
        <v>-42729.21</v>
      </c>
    </row>
    <row r="415" customFormat="false" ht="15" hidden="false" customHeight="false" outlineLevel="0" collapsed="false">
      <c r="A415" s="54" t="s">
        <v>627</v>
      </c>
      <c r="B415" s="54" t="s">
        <v>210</v>
      </c>
      <c r="C415" s="54" t="s">
        <v>129</v>
      </c>
      <c r="D415" s="54" t="s">
        <v>188</v>
      </c>
      <c r="E415" s="54" t="s">
        <v>121</v>
      </c>
      <c r="F415" s="55" t="n">
        <v>10161.18</v>
      </c>
      <c r="G415" s="54" t="s">
        <v>129</v>
      </c>
      <c r="H415" s="56" t="n">
        <f aca="false">VLOOKUP(E415,Treatment_Table!$B$5:$E$11,4,FALSE())</f>
        <v>0</v>
      </c>
      <c r="I415" s="57" t="n">
        <f aca="false">F415*H415</f>
        <v>0</v>
      </c>
      <c r="J415" s="57" t="n">
        <f aca="false">IF(D415="Income",F415,-F415)</f>
        <v>-10161.18</v>
      </c>
    </row>
    <row r="416" customFormat="false" ht="15" hidden="false" customHeight="false" outlineLevel="0" collapsed="false">
      <c r="A416" s="54" t="s">
        <v>628</v>
      </c>
      <c r="B416" s="54" t="s">
        <v>230</v>
      </c>
      <c r="C416" s="54" t="s">
        <v>123</v>
      </c>
      <c r="D416" s="54" t="s">
        <v>188</v>
      </c>
      <c r="E416" s="54" t="s">
        <v>121</v>
      </c>
      <c r="F416" s="55" t="n">
        <v>157430.26</v>
      </c>
      <c r="G416" s="54" t="s">
        <v>123</v>
      </c>
      <c r="H416" s="56" t="n">
        <f aca="false">VLOOKUP(E416,Treatment_Table!$B$5:$E$11,4,FALSE())</f>
        <v>0</v>
      </c>
      <c r="I416" s="57" t="n">
        <f aca="false">F416*H416</f>
        <v>0</v>
      </c>
      <c r="J416" s="57" t="n">
        <f aca="false">IF(D416="Income",F416,-F416)</f>
        <v>-157430.26</v>
      </c>
    </row>
    <row r="417" customFormat="false" ht="15" hidden="false" customHeight="false" outlineLevel="0" collapsed="false">
      <c r="A417" s="54" t="s">
        <v>629</v>
      </c>
      <c r="B417" s="54" t="s">
        <v>247</v>
      </c>
      <c r="C417" s="54" t="s">
        <v>126</v>
      </c>
      <c r="D417" s="54" t="s">
        <v>188</v>
      </c>
      <c r="E417" s="54" t="s">
        <v>121</v>
      </c>
      <c r="F417" s="55" t="n">
        <v>40568.16</v>
      </c>
      <c r="G417" s="54" t="s">
        <v>126</v>
      </c>
      <c r="H417" s="56" t="n">
        <f aca="false">VLOOKUP(E417,Treatment_Table!$B$5:$E$11,4,FALSE())</f>
        <v>0</v>
      </c>
      <c r="I417" s="57" t="n">
        <f aca="false">F417*H417</f>
        <v>0</v>
      </c>
      <c r="J417" s="57" t="n">
        <f aca="false">IF(D417="Income",F417,-F417)</f>
        <v>-40568.16</v>
      </c>
    </row>
    <row r="418" customFormat="false" ht="15" hidden="false" customHeight="false" outlineLevel="0" collapsed="false">
      <c r="A418" s="54" t="s">
        <v>630</v>
      </c>
      <c r="B418" s="54" t="s">
        <v>228</v>
      </c>
      <c r="C418" s="54" t="s">
        <v>126</v>
      </c>
      <c r="D418" s="54" t="s">
        <v>188</v>
      </c>
      <c r="E418" s="54" t="s">
        <v>121</v>
      </c>
      <c r="F418" s="55" t="n">
        <v>31141.1</v>
      </c>
      <c r="G418" s="54" t="s">
        <v>126</v>
      </c>
      <c r="H418" s="56" t="n">
        <f aca="false">VLOOKUP(E418,Treatment_Table!$B$5:$E$11,4,FALSE())</f>
        <v>0</v>
      </c>
      <c r="I418" s="57" t="n">
        <f aca="false">F418*H418</f>
        <v>0</v>
      </c>
      <c r="J418" s="57" t="n">
        <f aca="false">IF(D418="Income",F418,-F418)</f>
        <v>-31141.1</v>
      </c>
    </row>
    <row r="419" customFormat="false" ht="15" hidden="false" customHeight="false" outlineLevel="0" collapsed="false">
      <c r="A419" s="54" t="s">
        <v>631</v>
      </c>
      <c r="B419" s="54" t="s">
        <v>247</v>
      </c>
      <c r="C419" s="54" t="s">
        <v>120</v>
      </c>
      <c r="D419" s="54" t="s">
        <v>188</v>
      </c>
      <c r="E419" s="54" t="s">
        <v>121</v>
      </c>
      <c r="F419" s="55" t="n">
        <v>6734.1</v>
      </c>
      <c r="G419" s="54" t="s">
        <v>120</v>
      </c>
      <c r="H419" s="56" t="n">
        <f aca="false">VLOOKUP(E419,Treatment_Table!$B$5:$E$11,4,FALSE())</f>
        <v>0</v>
      </c>
      <c r="I419" s="57" t="n">
        <f aca="false">F419*H419</f>
        <v>0</v>
      </c>
      <c r="J419" s="57" t="n">
        <f aca="false">IF(D419="Income",F419,-F419)</f>
        <v>-6734.1</v>
      </c>
    </row>
    <row r="420" customFormat="false" ht="15" hidden="false" customHeight="false" outlineLevel="0" collapsed="false">
      <c r="A420" s="54" t="s">
        <v>632</v>
      </c>
      <c r="B420" s="54" t="s">
        <v>218</v>
      </c>
      <c r="C420" s="54" t="s">
        <v>126</v>
      </c>
      <c r="D420" s="54" t="s">
        <v>188</v>
      </c>
      <c r="E420" s="54" t="s">
        <v>121</v>
      </c>
      <c r="F420" s="55" t="n">
        <v>31600.07</v>
      </c>
      <c r="G420" s="54" t="s">
        <v>126</v>
      </c>
      <c r="H420" s="56" t="n">
        <f aca="false">VLOOKUP(E420,Treatment_Table!$B$5:$E$11,4,FALSE())</f>
        <v>0</v>
      </c>
      <c r="I420" s="57" t="n">
        <f aca="false">F420*H420</f>
        <v>0</v>
      </c>
      <c r="J420" s="57" t="n">
        <f aca="false">IF(D420="Income",F420,-F420)</f>
        <v>-31600.07</v>
      </c>
    </row>
    <row r="421" customFormat="false" ht="15" hidden="false" customHeight="false" outlineLevel="0" collapsed="false">
      <c r="A421" s="54" t="s">
        <v>633</v>
      </c>
      <c r="B421" s="54" t="s">
        <v>247</v>
      </c>
      <c r="C421" s="54" t="s">
        <v>143</v>
      </c>
      <c r="D421" s="54" t="s">
        <v>188</v>
      </c>
      <c r="E421" s="54" t="s">
        <v>144</v>
      </c>
      <c r="F421" s="55" t="n">
        <v>25572.23</v>
      </c>
      <c r="G421" s="54" t="s">
        <v>143</v>
      </c>
      <c r="H421" s="56" t="n">
        <f aca="false">VLOOKUP(E421,Treatment_Table!$B$5:$E$11,4,FALSE())</f>
        <v>1</v>
      </c>
      <c r="I421" s="57" t="n">
        <f aca="false">F421*H421</f>
        <v>25572.23</v>
      </c>
      <c r="J421" s="57" t="n">
        <f aca="false">IF(D421="Income",F421,-F421)</f>
        <v>-25572.23</v>
      </c>
    </row>
    <row r="422" customFormat="false" ht="15" hidden="false" customHeight="false" outlineLevel="0" collapsed="false">
      <c r="A422" s="54" t="s">
        <v>634</v>
      </c>
      <c r="B422" s="54" t="s">
        <v>243</v>
      </c>
      <c r="C422" s="54" t="s">
        <v>130</v>
      </c>
      <c r="D422" s="54" t="s">
        <v>188</v>
      </c>
      <c r="E422" s="54" t="s">
        <v>121</v>
      </c>
      <c r="F422" s="55" t="n">
        <v>21993.59</v>
      </c>
      <c r="G422" s="54" t="s">
        <v>130</v>
      </c>
      <c r="H422" s="56" t="n">
        <f aca="false">VLOOKUP(E422,Treatment_Table!$B$5:$E$11,4,FALSE())</f>
        <v>0</v>
      </c>
      <c r="I422" s="57" t="n">
        <f aca="false">F422*H422</f>
        <v>0</v>
      </c>
      <c r="J422" s="57" t="n">
        <f aca="false">IF(D422="Income",F422,-F422)</f>
        <v>-21993.59</v>
      </c>
    </row>
    <row r="423" customFormat="false" ht="15" hidden="false" customHeight="false" outlineLevel="0" collapsed="false">
      <c r="A423" s="54" t="s">
        <v>635</v>
      </c>
      <c r="B423" s="54" t="s">
        <v>205</v>
      </c>
      <c r="C423" s="54" t="s">
        <v>138</v>
      </c>
      <c r="D423" s="54" t="s">
        <v>188</v>
      </c>
      <c r="E423" s="54" t="s">
        <v>139</v>
      </c>
      <c r="F423" s="55" t="n">
        <v>5598.29</v>
      </c>
      <c r="G423" s="54" t="s">
        <v>138</v>
      </c>
      <c r="H423" s="56" t="n">
        <f aca="false">VLOOKUP(E423,Treatment_Table!$B$5:$E$11,4,FALSE())</f>
        <v>0.5</v>
      </c>
      <c r="I423" s="57" t="n">
        <f aca="false">F423*H423</f>
        <v>2799.145</v>
      </c>
      <c r="J423" s="57" t="n">
        <f aca="false">IF(D423="Income",F423,-F423)</f>
        <v>-5598.29</v>
      </c>
    </row>
    <row r="424" customFormat="false" ht="15" hidden="false" customHeight="false" outlineLevel="0" collapsed="false">
      <c r="A424" s="54" t="s">
        <v>636</v>
      </c>
      <c r="B424" s="54" t="s">
        <v>205</v>
      </c>
      <c r="C424" s="54" t="s">
        <v>123</v>
      </c>
      <c r="D424" s="54" t="s">
        <v>188</v>
      </c>
      <c r="E424" s="54" t="s">
        <v>121</v>
      </c>
      <c r="F424" s="55" t="n">
        <v>173323.73</v>
      </c>
      <c r="G424" s="54" t="s">
        <v>123</v>
      </c>
      <c r="H424" s="56" t="n">
        <f aca="false">VLOOKUP(E424,Treatment_Table!$B$5:$E$11,4,FALSE())</f>
        <v>0</v>
      </c>
      <c r="I424" s="57" t="n">
        <f aca="false">F424*H424</f>
        <v>0</v>
      </c>
      <c r="J424" s="57" t="n">
        <f aca="false">IF(D424="Income",F424,-F424)</f>
        <v>-173323.73</v>
      </c>
    </row>
    <row r="425" customFormat="false" ht="15" hidden="false" customHeight="false" outlineLevel="0" collapsed="false">
      <c r="A425" s="54" t="s">
        <v>637</v>
      </c>
      <c r="B425" s="54" t="s">
        <v>228</v>
      </c>
      <c r="C425" s="54" t="s">
        <v>126</v>
      </c>
      <c r="D425" s="54" t="s">
        <v>188</v>
      </c>
      <c r="E425" s="54" t="s">
        <v>121</v>
      </c>
      <c r="F425" s="55" t="n">
        <v>38244.62</v>
      </c>
      <c r="G425" s="54" t="s">
        <v>126</v>
      </c>
      <c r="H425" s="56" t="n">
        <f aca="false">VLOOKUP(E425,Treatment_Table!$B$5:$E$11,4,FALSE())</f>
        <v>0</v>
      </c>
      <c r="I425" s="57" t="n">
        <f aca="false">F425*H425</f>
        <v>0</v>
      </c>
      <c r="J425" s="57" t="n">
        <f aca="false">IF(D425="Income",F425,-F425)</f>
        <v>-38244.62</v>
      </c>
    </row>
    <row r="426" customFormat="false" ht="15" hidden="false" customHeight="false" outlineLevel="0" collapsed="false">
      <c r="A426" s="54" t="s">
        <v>638</v>
      </c>
      <c r="B426" s="54" t="s">
        <v>243</v>
      </c>
      <c r="C426" s="54" t="s">
        <v>124</v>
      </c>
      <c r="D426" s="54" t="s">
        <v>188</v>
      </c>
      <c r="E426" s="54" t="s">
        <v>121</v>
      </c>
      <c r="F426" s="55" t="n">
        <v>128201.32</v>
      </c>
      <c r="G426" s="54" t="s">
        <v>124</v>
      </c>
      <c r="H426" s="56" t="n">
        <f aca="false">VLOOKUP(E426,Treatment_Table!$B$5:$E$11,4,FALSE())</f>
        <v>0</v>
      </c>
      <c r="I426" s="57" t="n">
        <f aca="false">F426*H426</f>
        <v>0</v>
      </c>
      <c r="J426" s="57" t="n">
        <f aca="false">IF(D426="Income",F426,-F426)</f>
        <v>-128201.32</v>
      </c>
    </row>
    <row r="427" customFormat="false" ht="15" hidden="false" customHeight="false" outlineLevel="0" collapsed="false">
      <c r="A427" s="54" t="s">
        <v>639</v>
      </c>
      <c r="B427" s="54" t="s">
        <v>216</v>
      </c>
      <c r="C427" s="54" t="s">
        <v>137</v>
      </c>
      <c r="D427" s="54" t="s">
        <v>188</v>
      </c>
      <c r="E427" s="54" t="s">
        <v>134</v>
      </c>
      <c r="F427" s="55" t="n">
        <v>7327.06</v>
      </c>
      <c r="G427" s="54" t="s">
        <v>137</v>
      </c>
      <c r="H427" s="56" t="n">
        <f aca="false">VLOOKUP(E427,Treatment_Table!$B$5:$E$11,4,FALSE())</f>
        <v>1</v>
      </c>
      <c r="I427" s="57" t="n">
        <f aca="false">F427*H427</f>
        <v>7327.06</v>
      </c>
      <c r="J427" s="57" t="n">
        <f aca="false">IF(D427="Income",F427,-F427)</f>
        <v>-7327.06</v>
      </c>
    </row>
    <row r="428" customFormat="false" ht="15" hidden="false" customHeight="false" outlineLevel="0" collapsed="false">
      <c r="A428" s="54" t="s">
        <v>640</v>
      </c>
      <c r="B428" s="54" t="s">
        <v>247</v>
      </c>
      <c r="C428" s="54" t="s">
        <v>142</v>
      </c>
      <c r="D428" s="54" t="s">
        <v>188</v>
      </c>
      <c r="E428" s="54" t="s">
        <v>141</v>
      </c>
      <c r="F428" s="55" t="n">
        <v>32873.88</v>
      </c>
      <c r="G428" s="54" t="s">
        <v>142</v>
      </c>
      <c r="H428" s="56" t="n">
        <f aca="false">VLOOKUP(E428,Treatment_Table!$B$5:$E$11,4,FALSE())</f>
        <v>0</v>
      </c>
      <c r="I428" s="57" t="n">
        <f aca="false">F428*H428</f>
        <v>0</v>
      </c>
      <c r="J428" s="57" t="n">
        <f aca="false">IF(D428="Income",F428,-F428)</f>
        <v>-32873.88</v>
      </c>
    </row>
    <row r="429" customFormat="false" ht="15" hidden="false" customHeight="false" outlineLevel="0" collapsed="false">
      <c r="A429" s="54" t="s">
        <v>641</v>
      </c>
      <c r="B429" s="54" t="s">
        <v>243</v>
      </c>
      <c r="C429" s="54" t="s">
        <v>131</v>
      </c>
      <c r="D429" s="54" t="s">
        <v>188</v>
      </c>
      <c r="E429" s="54" t="s">
        <v>121</v>
      </c>
      <c r="F429" s="55" t="n">
        <v>142308.78</v>
      </c>
      <c r="G429" s="54" t="s">
        <v>131</v>
      </c>
      <c r="H429" s="56" t="n">
        <f aca="false">VLOOKUP(E429,Treatment_Table!$B$5:$E$11,4,FALSE())</f>
        <v>0</v>
      </c>
      <c r="I429" s="57" t="n">
        <f aca="false">F429*H429</f>
        <v>0</v>
      </c>
      <c r="J429" s="57" t="n">
        <f aca="false">IF(D429="Income",F429,-F429)</f>
        <v>-142308.78</v>
      </c>
    </row>
    <row r="430" customFormat="false" ht="15" hidden="false" customHeight="false" outlineLevel="0" collapsed="false">
      <c r="A430" s="54" t="s">
        <v>642</v>
      </c>
      <c r="B430" s="54" t="s">
        <v>230</v>
      </c>
      <c r="C430" s="54" t="s">
        <v>123</v>
      </c>
      <c r="D430" s="54" t="s">
        <v>188</v>
      </c>
      <c r="E430" s="54" t="s">
        <v>121</v>
      </c>
      <c r="F430" s="55" t="n">
        <v>129745.52</v>
      </c>
      <c r="G430" s="54" t="s">
        <v>123</v>
      </c>
      <c r="H430" s="56" t="n">
        <f aca="false">VLOOKUP(E430,Treatment_Table!$B$5:$E$11,4,FALSE())</f>
        <v>0</v>
      </c>
      <c r="I430" s="57" t="n">
        <f aca="false">F430*H430</f>
        <v>0</v>
      </c>
      <c r="J430" s="57" t="n">
        <f aca="false">IF(D430="Income",F430,-F430)</f>
        <v>-129745.52</v>
      </c>
    </row>
    <row r="431" customFormat="false" ht="15" hidden="false" customHeight="false" outlineLevel="0" collapsed="false">
      <c r="A431" s="54" t="s">
        <v>643</v>
      </c>
      <c r="B431" s="54" t="s">
        <v>208</v>
      </c>
      <c r="C431" s="54" t="s">
        <v>123</v>
      </c>
      <c r="D431" s="54" t="s">
        <v>188</v>
      </c>
      <c r="E431" s="54" t="s">
        <v>121</v>
      </c>
      <c r="F431" s="55" t="n">
        <v>64470.71</v>
      </c>
      <c r="G431" s="54" t="s">
        <v>123</v>
      </c>
      <c r="H431" s="56" t="n">
        <f aca="false">VLOOKUP(E431,Treatment_Table!$B$5:$E$11,4,FALSE())</f>
        <v>0</v>
      </c>
      <c r="I431" s="57" t="n">
        <f aca="false">F431*H431</f>
        <v>0</v>
      </c>
      <c r="J431" s="57" t="n">
        <f aca="false">IF(D431="Income",F431,-F431)</f>
        <v>-64470.71</v>
      </c>
    </row>
    <row r="432" customFormat="false" ht="15" hidden="false" customHeight="false" outlineLevel="0" collapsed="false">
      <c r="A432" s="54" t="s">
        <v>644</v>
      </c>
      <c r="B432" s="54" t="s">
        <v>230</v>
      </c>
      <c r="C432" s="54" t="s">
        <v>126</v>
      </c>
      <c r="D432" s="54" t="s">
        <v>188</v>
      </c>
      <c r="E432" s="54" t="s">
        <v>121</v>
      </c>
      <c r="F432" s="55" t="n">
        <v>35091.18</v>
      </c>
      <c r="G432" s="54" t="s">
        <v>126</v>
      </c>
      <c r="H432" s="56" t="n">
        <f aca="false">VLOOKUP(E432,Treatment_Table!$B$5:$E$11,4,FALSE())</f>
        <v>0</v>
      </c>
      <c r="I432" s="57" t="n">
        <f aca="false">F432*H432</f>
        <v>0</v>
      </c>
      <c r="J432" s="57" t="n">
        <f aca="false">IF(D432="Income",F432,-F432)</f>
        <v>-35091.18</v>
      </c>
    </row>
    <row r="433" customFormat="false" ht="15" hidden="false" customHeight="false" outlineLevel="0" collapsed="false">
      <c r="A433" s="54" t="s">
        <v>645</v>
      </c>
      <c r="B433" s="54" t="s">
        <v>228</v>
      </c>
      <c r="C433" s="54" t="s">
        <v>131</v>
      </c>
      <c r="D433" s="54" t="s">
        <v>188</v>
      </c>
      <c r="E433" s="54" t="s">
        <v>121</v>
      </c>
      <c r="F433" s="55" t="n">
        <v>80887.76</v>
      </c>
      <c r="G433" s="54" t="s">
        <v>131</v>
      </c>
      <c r="H433" s="56" t="n">
        <f aca="false">VLOOKUP(E433,Treatment_Table!$B$5:$E$11,4,FALSE())</f>
        <v>0</v>
      </c>
      <c r="I433" s="57" t="n">
        <f aca="false">F433*H433</f>
        <v>0</v>
      </c>
      <c r="J433" s="57" t="n">
        <f aca="false">IF(D433="Income",F433,-F433)</f>
        <v>-80887.76</v>
      </c>
    </row>
    <row r="434" customFormat="false" ht="15" hidden="false" customHeight="false" outlineLevel="0" collapsed="false">
      <c r="A434" s="54" t="s">
        <v>646</v>
      </c>
      <c r="B434" s="54" t="s">
        <v>247</v>
      </c>
      <c r="C434" s="54" t="s">
        <v>132</v>
      </c>
      <c r="D434" s="54" t="s">
        <v>188</v>
      </c>
      <c r="E434" s="54" t="s">
        <v>121</v>
      </c>
      <c r="F434" s="55" t="n">
        <v>12457.63</v>
      </c>
      <c r="G434" s="54" t="s">
        <v>132</v>
      </c>
      <c r="H434" s="56" t="n">
        <f aca="false">VLOOKUP(E434,Treatment_Table!$B$5:$E$11,4,FALSE())</f>
        <v>0</v>
      </c>
      <c r="I434" s="57" t="n">
        <f aca="false">F434*H434</f>
        <v>0</v>
      </c>
      <c r="J434" s="57" t="n">
        <f aca="false">IF(D434="Income",F434,-F434)</f>
        <v>-12457.63</v>
      </c>
    </row>
    <row r="435" customFormat="false" ht="15" hidden="false" customHeight="false" outlineLevel="0" collapsed="false">
      <c r="A435" s="54" t="s">
        <v>647</v>
      </c>
      <c r="B435" s="54" t="s">
        <v>230</v>
      </c>
      <c r="C435" s="54" t="s">
        <v>137</v>
      </c>
      <c r="D435" s="54" t="s">
        <v>188</v>
      </c>
      <c r="E435" s="54" t="s">
        <v>134</v>
      </c>
      <c r="F435" s="55" t="n">
        <v>16426.09</v>
      </c>
      <c r="G435" s="54" t="s">
        <v>137</v>
      </c>
      <c r="H435" s="56" t="n">
        <f aca="false">VLOOKUP(E435,Treatment_Table!$B$5:$E$11,4,FALSE())</f>
        <v>1</v>
      </c>
      <c r="I435" s="57" t="n">
        <f aca="false">F435*H435</f>
        <v>16426.09</v>
      </c>
      <c r="J435" s="57" t="n">
        <f aca="false">IF(D435="Income",F435,-F435)</f>
        <v>-16426.09</v>
      </c>
    </row>
    <row r="436" customFormat="false" ht="15" hidden="false" customHeight="false" outlineLevel="0" collapsed="false">
      <c r="A436" s="54" t="s">
        <v>648</v>
      </c>
      <c r="B436" s="54" t="s">
        <v>228</v>
      </c>
      <c r="C436" s="54" t="s">
        <v>132</v>
      </c>
      <c r="D436" s="54" t="s">
        <v>188</v>
      </c>
      <c r="E436" s="54" t="s">
        <v>121</v>
      </c>
      <c r="F436" s="55" t="n">
        <v>9873.74</v>
      </c>
      <c r="G436" s="54" t="s">
        <v>132</v>
      </c>
      <c r="H436" s="56" t="n">
        <f aca="false">VLOOKUP(E436,Treatment_Table!$B$5:$E$11,4,FALSE())</f>
        <v>0</v>
      </c>
      <c r="I436" s="57" t="n">
        <f aca="false">F436*H436</f>
        <v>0</v>
      </c>
      <c r="J436" s="57" t="n">
        <f aca="false">IF(D436="Income",F436,-F436)</f>
        <v>-9873.74</v>
      </c>
    </row>
    <row r="437" customFormat="false" ht="15" hidden="false" customHeight="false" outlineLevel="0" collapsed="false">
      <c r="A437" s="54" t="s">
        <v>649</v>
      </c>
      <c r="B437" s="54" t="s">
        <v>247</v>
      </c>
      <c r="C437" s="54" t="s">
        <v>129</v>
      </c>
      <c r="D437" s="54" t="s">
        <v>188</v>
      </c>
      <c r="E437" s="54" t="s">
        <v>121</v>
      </c>
      <c r="F437" s="55" t="n">
        <v>28108.72</v>
      </c>
      <c r="G437" s="54" t="s">
        <v>129</v>
      </c>
      <c r="H437" s="56" t="n">
        <f aca="false">VLOOKUP(E437,Treatment_Table!$B$5:$E$11,4,FALSE())</f>
        <v>0</v>
      </c>
      <c r="I437" s="57" t="n">
        <f aca="false">F437*H437</f>
        <v>0</v>
      </c>
      <c r="J437" s="57" t="n">
        <f aca="false">IF(D437="Income",F437,-F437)</f>
        <v>-28108.72</v>
      </c>
    </row>
    <row r="438" customFormat="false" ht="15" hidden="false" customHeight="false" outlineLevel="0" collapsed="false">
      <c r="A438" s="54" t="s">
        <v>650</v>
      </c>
      <c r="B438" s="54" t="s">
        <v>210</v>
      </c>
      <c r="C438" s="54" t="s">
        <v>130</v>
      </c>
      <c r="D438" s="54" t="s">
        <v>188</v>
      </c>
      <c r="E438" s="54" t="s">
        <v>121</v>
      </c>
      <c r="F438" s="55" t="n">
        <v>40556.78</v>
      </c>
      <c r="G438" s="54" t="s">
        <v>130</v>
      </c>
      <c r="H438" s="56" t="n">
        <f aca="false">VLOOKUP(E438,Treatment_Table!$B$5:$E$11,4,FALSE())</f>
        <v>0</v>
      </c>
      <c r="I438" s="57" t="n">
        <f aca="false">F438*H438</f>
        <v>0</v>
      </c>
      <c r="J438" s="57" t="n">
        <f aca="false">IF(D438="Income",F438,-F438)</f>
        <v>-40556.78</v>
      </c>
    </row>
    <row r="439" customFormat="false" ht="15" hidden="false" customHeight="false" outlineLevel="0" collapsed="false">
      <c r="A439" s="54" t="s">
        <v>651</v>
      </c>
      <c r="B439" s="54" t="s">
        <v>216</v>
      </c>
      <c r="C439" s="54" t="s">
        <v>135</v>
      </c>
      <c r="D439" s="54" t="s">
        <v>188</v>
      </c>
      <c r="E439" s="54" t="s">
        <v>134</v>
      </c>
      <c r="F439" s="55" t="n">
        <v>3607.05</v>
      </c>
      <c r="G439" s="54" t="s">
        <v>135</v>
      </c>
      <c r="H439" s="56" t="n">
        <f aca="false">VLOOKUP(E439,Treatment_Table!$B$5:$E$11,4,FALSE())</f>
        <v>1</v>
      </c>
      <c r="I439" s="57" t="n">
        <f aca="false">F439*H439</f>
        <v>3607.05</v>
      </c>
      <c r="J439" s="57" t="n">
        <f aca="false">IF(D439="Income",F439,-F439)</f>
        <v>-3607.05</v>
      </c>
    </row>
    <row r="440" customFormat="false" ht="15" hidden="false" customHeight="false" outlineLevel="0" collapsed="false">
      <c r="A440" s="54" t="s">
        <v>652</v>
      </c>
      <c r="B440" s="54" t="s">
        <v>235</v>
      </c>
      <c r="C440" s="54" t="s">
        <v>129</v>
      </c>
      <c r="D440" s="54" t="s">
        <v>188</v>
      </c>
      <c r="E440" s="54" t="s">
        <v>121</v>
      </c>
      <c r="F440" s="55" t="n">
        <v>17784.94</v>
      </c>
      <c r="G440" s="54" t="s">
        <v>129</v>
      </c>
      <c r="H440" s="56" t="n">
        <f aca="false">VLOOKUP(E440,Treatment_Table!$B$5:$E$11,4,FALSE())</f>
        <v>0</v>
      </c>
      <c r="I440" s="57" t="n">
        <f aca="false">F440*H440</f>
        <v>0</v>
      </c>
      <c r="J440" s="57" t="n">
        <f aca="false">IF(D440="Income",F440,-F440)</f>
        <v>-17784.94</v>
      </c>
    </row>
    <row r="441" customFormat="false" ht="15" hidden="false" customHeight="false" outlineLevel="0" collapsed="false">
      <c r="A441" s="54" t="s">
        <v>653</v>
      </c>
      <c r="B441" s="54" t="s">
        <v>205</v>
      </c>
      <c r="C441" s="54" t="s">
        <v>138</v>
      </c>
      <c r="D441" s="54" t="s">
        <v>188</v>
      </c>
      <c r="E441" s="54" t="s">
        <v>139</v>
      </c>
      <c r="F441" s="55" t="n">
        <v>2480.38</v>
      </c>
      <c r="G441" s="54" t="s">
        <v>138</v>
      </c>
      <c r="H441" s="56" t="n">
        <f aca="false">VLOOKUP(E441,Treatment_Table!$B$5:$E$11,4,FALSE())</f>
        <v>0.5</v>
      </c>
      <c r="I441" s="57" t="n">
        <f aca="false">F441*H441</f>
        <v>1240.19</v>
      </c>
      <c r="J441" s="57" t="n">
        <f aca="false">IF(D441="Income",F441,-F441)</f>
        <v>-2480.38</v>
      </c>
    </row>
    <row r="442" customFormat="false" ht="15" hidden="false" customHeight="false" outlineLevel="0" collapsed="false">
      <c r="A442" s="54" t="s">
        <v>654</v>
      </c>
      <c r="B442" s="54" t="s">
        <v>230</v>
      </c>
      <c r="C442" s="54" t="s">
        <v>129</v>
      </c>
      <c r="D442" s="54" t="s">
        <v>188</v>
      </c>
      <c r="E442" s="54" t="s">
        <v>121</v>
      </c>
      <c r="F442" s="55" t="n">
        <v>8623.33</v>
      </c>
      <c r="G442" s="54" t="s">
        <v>129</v>
      </c>
      <c r="H442" s="56" t="n">
        <f aca="false">VLOOKUP(E442,Treatment_Table!$B$5:$E$11,4,FALSE())</f>
        <v>0</v>
      </c>
      <c r="I442" s="57" t="n">
        <f aca="false">F442*H442</f>
        <v>0</v>
      </c>
      <c r="J442" s="57" t="n">
        <f aca="false">IF(D442="Income",F442,-F442)</f>
        <v>-8623.33</v>
      </c>
    </row>
    <row r="443" customFormat="false" ht="15" hidden="false" customHeight="false" outlineLevel="0" collapsed="false">
      <c r="A443" s="54" t="s">
        <v>655</v>
      </c>
      <c r="B443" s="54" t="s">
        <v>235</v>
      </c>
      <c r="C443" s="54" t="s">
        <v>131</v>
      </c>
      <c r="D443" s="54" t="s">
        <v>188</v>
      </c>
      <c r="E443" s="54" t="s">
        <v>121</v>
      </c>
      <c r="F443" s="55" t="n">
        <v>49901.89</v>
      </c>
      <c r="G443" s="54" t="s">
        <v>131</v>
      </c>
      <c r="H443" s="56" t="n">
        <f aca="false">VLOOKUP(E443,Treatment_Table!$B$5:$E$11,4,FALSE())</f>
        <v>0</v>
      </c>
      <c r="I443" s="57" t="n">
        <f aca="false">F443*H443</f>
        <v>0</v>
      </c>
      <c r="J443" s="57" t="n">
        <f aca="false">IF(D443="Income",F443,-F443)</f>
        <v>-49901.89</v>
      </c>
    </row>
    <row r="444" customFormat="false" ht="15" hidden="false" customHeight="false" outlineLevel="0" collapsed="false">
      <c r="A444" s="54" t="s">
        <v>656</v>
      </c>
      <c r="B444" s="54" t="s">
        <v>214</v>
      </c>
      <c r="C444" s="54" t="s">
        <v>123</v>
      </c>
      <c r="D444" s="54" t="s">
        <v>188</v>
      </c>
      <c r="E444" s="54" t="s">
        <v>121</v>
      </c>
      <c r="F444" s="55" t="n">
        <v>51537.8</v>
      </c>
      <c r="G444" s="54" t="s">
        <v>123</v>
      </c>
      <c r="H444" s="56" t="n">
        <f aca="false">VLOOKUP(E444,Treatment_Table!$B$5:$E$11,4,FALSE())</f>
        <v>0</v>
      </c>
      <c r="I444" s="57" t="n">
        <f aca="false">F444*H444</f>
        <v>0</v>
      </c>
      <c r="J444" s="57" t="n">
        <f aca="false">IF(D444="Income",F444,-F444)</f>
        <v>-51537.8</v>
      </c>
    </row>
    <row r="445" customFormat="false" ht="15" hidden="false" customHeight="false" outlineLevel="0" collapsed="false">
      <c r="A445" s="54" t="s">
        <v>657</v>
      </c>
      <c r="B445" s="54" t="s">
        <v>216</v>
      </c>
      <c r="C445" s="54" t="s">
        <v>123</v>
      </c>
      <c r="D445" s="54" t="s">
        <v>188</v>
      </c>
      <c r="E445" s="54" t="s">
        <v>121</v>
      </c>
      <c r="F445" s="55" t="n">
        <v>74037.17</v>
      </c>
      <c r="G445" s="54" t="s">
        <v>123</v>
      </c>
      <c r="H445" s="56" t="n">
        <f aca="false">VLOOKUP(E445,Treatment_Table!$B$5:$E$11,4,FALSE())</f>
        <v>0</v>
      </c>
      <c r="I445" s="57" t="n">
        <f aca="false">F445*H445</f>
        <v>0</v>
      </c>
      <c r="J445" s="57" t="n">
        <f aca="false">IF(D445="Income",F445,-F445)</f>
        <v>-74037.17</v>
      </c>
    </row>
    <row r="446" customFormat="false" ht="15" hidden="false" customHeight="false" outlineLevel="0" collapsed="false">
      <c r="A446" s="54" t="s">
        <v>658</v>
      </c>
      <c r="B446" s="54" t="s">
        <v>235</v>
      </c>
      <c r="C446" s="54" t="s">
        <v>131</v>
      </c>
      <c r="D446" s="54" t="s">
        <v>188</v>
      </c>
      <c r="E446" s="54" t="s">
        <v>121</v>
      </c>
      <c r="F446" s="55" t="n">
        <v>153864.02</v>
      </c>
      <c r="G446" s="54" t="s">
        <v>131</v>
      </c>
      <c r="H446" s="56" t="n">
        <f aca="false">VLOOKUP(E446,Treatment_Table!$B$5:$E$11,4,FALSE())</f>
        <v>0</v>
      </c>
      <c r="I446" s="57" t="n">
        <f aca="false">F446*H446</f>
        <v>0</v>
      </c>
      <c r="J446" s="57" t="n">
        <f aca="false">IF(D446="Income",F446,-F446)</f>
        <v>-153864.02</v>
      </c>
    </row>
    <row r="447" customFormat="false" ht="15" hidden="false" customHeight="false" outlineLevel="0" collapsed="false">
      <c r="A447" s="54" t="s">
        <v>659</v>
      </c>
      <c r="B447" s="54" t="s">
        <v>210</v>
      </c>
      <c r="C447" s="54" t="s">
        <v>131</v>
      </c>
      <c r="D447" s="54" t="s">
        <v>188</v>
      </c>
      <c r="E447" s="54" t="s">
        <v>121</v>
      </c>
      <c r="F447" s="55" t="n">
        <v>51394.27</v>
      </c>
      <c r="G447" s="54" t="s">
        <v>131</v>
      </c>
      <c r="H447" s="56" t="n">
        <f aca="false">VLOOKUP(E447,Treatment_Table!$B$5:$E$11,4,FALSE())</f>
        <v>0</v>
      </c>
      <c r="I447" s="57" t="n">
        <f aca="false">F447*H447</f>
        <v>0</v>
      </c>
      <c r="J447" s="57" t="n">
        <f aca="false">IF(D447="Income",F447,-F447)</f>
        <v>-51394.27</v>
      </c>
    </row>
    <row r="448" customFormat="false" ht="15" hidden="false" customHeight="false" outlineLevel="0" collapsed="false">
      <c r="A448" s="54" t="s">
        <v>660</v>
      </c>
      <c r="B448" s="54" t="s">
        <v>230</v>
      </c>
      <c r="C448" s="54" t="s">
        <v>135</v>
      </c>
      <c r="D448" s="54" t="s">
        <v>188</v>
      </c>
      <c r="E448" s="54" t="s">
        <v>134</v>
      </c>
      <c r="F448" s="55" t="n">
        <v>1323.33</v>
      </c>
      <c r="G448" s="54" t="s">
        <v>135</v>
      </c>
      <c r="H448" s="56" t="n">
        <f aca="false">VLOOKUP(E448,Treatment_Table!$B$5:$E$11,4,FALSE())</f>
        <v>1</v>
      </c>
      <c r="I448" s="57" t="n">
        <f aca="false">F448*H448</f>
        <v>1323.33</v>
      </c>
      <c r="J448" s="57" t="n">
        <f aca="false">IF(D448="Income",F448,-F448)</f>
        <v>-1323.33</v>
      </c>
    </row>
    <row r="449" customFormat="false" ht="15" hidden="false" customHeight="false" outlineLevel="0" collapsed="false">
      <c r="A449" s="54" t="s">
        <v>661</v>
      </c>
      <c r="B449" s="54" t="s">
        <v>228</v>
      </c>
      <c r="C449" s="54" t="s">
        <v>124</v>
      </c>
      <c r="D449" s="54" t="s">
        <v>188</v>
      </c>
      <c r="E449" s="54" t="s">
        <v>121</v>
      </c>
      <c r="F449" s="55" t="n">
        <v>17779.62</v>
      </c>
      <c r="G449" s="54" t="s">
        <v>124</v>
      </c>
      <c r="H449" s="56" t="n">
        <f aca="false">VLOOKUP(E449,Treatment_Table!$B$5:$E$11,4,FALSE())</f>
        <v>0</v>
      </c>
      <c r="I449" s="57" t="n">
        <f aca="false">F449*H449</f>
        <v>0</v>
      </c>
      <c r="J449" s="57" t="n">
        <f aca="false">IF(D449="Income",F449,-F449)</f>
        <v>-17779.62</v>
      </c>
    </row>
    <row r="450" customFormat="false" ht="15" hidden="false" customHeight="false" outlineLevel="0" collapsed="false">
      <c r="A450" s="54" t="s">
        <v>662</v>
      </c>
      <c r="B450" s="54" t="s">
        <v>205</v>
      </c>
      <c r="C450" s="54" t="s">
        <v>133</v>
      </c>
      <c r="D450" s="54" t="s">
        <v>188</v>
      </c>
      <c r="E450" s="54" t="s">
        <v>134</v>
      </c>
      <c r="F450" s="55" t="n">
        <v>10838.23</v>
      </c>
      <c r="G450" s="54" t="s">
        <v>133</v>
      </c>
      <c r="H450" s="56" t="n">
        <f aca="false">VLOOKUP(E450,Treatment_Table!$B$5:$E$11,4,FALSE())</f>
        <v>1</v>
      </c>
      <c r="I450" s="57" t="n">
        <f aca="false">F450*H450</f>
        <v>10838.23</v>
      </c>
      <c r="J450" s="57" t="n">
        <f aca="false">IF(D450="Income",F450,-F450)</f>
        <v>-10838.23</v>
      </c>
    </row>
    <row r="451" customFormat="false" ht="15" hidden="false" customHeight="false" outlineLevel="0" collapsed="false">
      <c r="A451" s="54" t="s">
        <v>663</v>
      </c>
      <c r="B451" s="54" t="s">
        <v>223</v>
      </c>
      <c r="C451" s="54" t="s">
        <v>123</v>
      </c>
      <c r="D451" s="54" t="s">
        <v>188</v>
      </c>
      <c r="E451" s="54" t="s">
        <v>121</v>
      </c>
      <c r="F451" s="55" t="n">
        <v>108555.5</v>
      </c>
      <c r="G451" s="54" t="s">
        <v>123</v>
      </c>
      <c r="H451" s="56" t="n">
        <f aca="false">VLOOKUP(E451,Treatment_Table!$B$5:$E$11,4,FALSE())</f>
        <v>0</v>
      </c>
      <c r="I451" s="57" t="n">
        <f aca="false">F451*H451</f>
        <v>0</v>
      </c>
      <c r="J451" s="57" t="n">
        <f aca="false">IF(D451="Income",F451,-F451)</f>
        <v>-108555.5</v>
      </c>
    </row>
    <row r="452" customFormat="false" ht="15" hidden="false" customHeight="false" outlineLevel="0" collapsed="false">
      <c r="A452" s="54" t="s">
        <v>664</v>
      </c>
      <c r="B452" s="54" t="s">
        <v>208</v>
      </c>
      <c r="C452" s="54" t="s">
        <v>133</v>
      </c>
      <c r="D452" s="54" t="s">
        <v>188</v>
      </c>
      <c r="E452" s="54" t="s">
        <v>134</v>
      </c>
      <c r="F452" s="55" t="n">
        <v>2217.04</v>
      </c>
      <c r="G452" s="54" t="s">
        <v>133</v>
      </c>
      <c r="H452" s="56" t="n">
        <f aca="false">VLOOKUP(E452,Treatment_Table!$B$5:$E$11,4,FALSE())</f>
        <v>1</v>
      </c>
      <c r="I452" s="57" t="n">
        <f aca="false">F452*H452</f>
        <v>2217.04</v>
      </c>
      <c r="J452" s="57" t="n">
        <f aca="false">IF(D452="Income",F452,-F452)</f>
        <v>-2217.04</v>
      </c>
    </row>
    <row r="453" customFormat="false" ht="15" hidden="false" customHeight="false" outlineLevel="0" collapsed="false">
      <c r="A453" s="54" t="s">
        <v>665</v>
      </c>
      <c r="B453" s="54" t="s">
        <v>243</v>
      </c>
      <c r="C453" s="54" t="s">
        <v>126</v>
      </c>
      <c r="D453" s="54" t="s">
        <v>188</v>
      </c>
      <c r="E453" s="54" t="s">
        <v>121</v>
      </c>
      <c r="F453" s="55" t="n">
        <v>60709.87</v>
      </c>
      <c r="G453" s="54" t="s">
        <v>126</v>
      </c>
      <c r="H453" s="56" t="n">
        <f aca="false">VLOOKUP(E453,Treatment_Table!$B$5:$E$11,4,FALSE())</f>
        <v>0</v>
      </c>
      <c r="I453" s="57" t="n">
        <f aca="false">F453*H453</f>
        <v>0</v>
      </c>
      <c r="J453" s="57" t="n">
        <f aca="false">IF(D453="Income",F453,-F453)</f>
        <v>-60709.87</v>
      </c>
    </row>
    <row r="454" customFormat="false" ht="15" hidden="false" customHeight="false" outlineLevel="0" collapsed="false">
      <c r="A454" s="54" t="s">
        <v>666</v>
      </c>
      <c r="B454" s="54" t="s">
        <v>228</v>
      </c>
      <c r="C454" s="54" t="s">
        <v>131</v>
      </c>
      <c r="D454" s="54" t="s">
        <v>188</v>
      </c>
      <c r="E454" s="54" t="s">
        <v>121</v>
      </c>
      <c r="F454" s="55" t="n">
        <v>185538.2</v>
      </c>
      <c r="G454" s="54" t="s">
        <v>131</v>
      </c>
      <c r="H454" s="56" t="n">
        <f aca="false">VLOOKUP(E454,Treatment_Table!$B$5:$E$11,4,FALSE())</f>
        <v>0</v>
      </c>
      <c r="I454" s="57" t="n">
        <f aca="false">F454*H454</f>
        <v>0</v>
      </c>
      <c r="J454" s="57" t="n">
        <f aca="false">IF(D454="Income",F454,-F454)</f>
        <v>-185538.2</v>
      </c>
    </row>
    <row r="455" customFormat="false" ht="15" hidden="false" customHeight="false" outlineLevel="0" collapsed="false">
      <c r="A455" s="54" t="s">
        <v>667</v>
      </c>
      <c r="B455" s="54" t="s">
        <v>216</v>
      </c>
      <c r="C455" s="54" t="s">
        <v>130</v>
      </c>
      <c r="D455" s="54" t="s">
        <v>188</v>
      </c>
      <c r="E455" s="54" t="s">
        <v>121</v>
      </c>
      <c r="F455" s="55" t="n">
        <v>35936.63</v>
      </c>
      <c r="G455" s="54" t="s">
        <v>130</v>
      </c>
      <c r="H455" s="56" t="n">
        <f aca="false">VLOOKUP(E455,Treatment_Table!$B$5:$E$11,4,FALSE())</f>
        <v>0</v>
      </c>
      <c r="I455" s="57" t="n">
        <f aca="false">F455*H455</f>
        <v>0</v>
      </c>
      <c r="J455" s="57" t="n">
        <f aca="false">IF(D455="Income",F455,-F455)</f>
        <v>-35936.63</v>
      </c>
    </row>
    <row r="456" customFormat="false" ht="15" hidden="false" customHeight="false" outlineLevel="0" collapsed="false">
      <c r="A456" s="54" t="s">
        <v>668</v>
      </c>
      <c r="B456" s="54" t="s">
        <v>228</v>
      </c>
      <c r="C456" s="54" t="s">
        <v>138</v>
      </c>
      <c r="D456" s="54" t="s">
        <v>188</v>
      </c>
      <c r="E456" s="54" t="s">
        <v>139</v>
      </c>
      <c r="F456" s="55" t="n">
        <v>3020.49</v>
      </c>
      <c r="G456" s="54" t="s">
        <v>138</v>
      </c>
      <c r="H456" s="56" t="n">
        <f aca="false">VLOOKUP(E456,Treatment_Table!$B$5:$E$11,4,FALSE())</f>
        <v>0.5</v>
      </c>
      <c r="I456" s="57" t="n">
        <f aca="false">F456*H456</f>
        <v>1510.245</v>
      </c>
      <c r="J456" s="57" t="n">
        <f aca="false">IF(D456="Income",F456,-F456)</f>
        <v>-3020.49</v>
      </c>
    </row>
    <row r="457" customFormat="false" ht="15" hidden="false" customHeight="false" outlineLevel="0" collapsed="false">
      <c r="A457" s="54" t="s">
        <v>669</v>
      </c>
      <c r="B457" s="54" t="s">
        <v>235</v>
      </c>
      <c r="C457" s="54" t="s">
        <v>138</v>
      </c>
      <c r="D457" s="54" t="s">
        <v>188</v>
      </c>
      <c r="E457" s="54" t="s">
        <v>139</v>
      </c>
      <c r="F457" s="55" t="n">
        <v>4115.96</v>
      </c>
      <c r="G457" s="54" t="s">
        <v>138</v>
      </c>
      <c r="H457" s="56" t="n">
        <f aca="false">VLOOKUP(E457,Treatment_Table!$B$5:$E$11,4,FALSE())</f>
        <v>0.5</v>
      </c>
      <c r="I457" s="57" t="n">
        <f aca="false">F457*H457</f>
        <v>2057.98</v>
      </c>
      <c r="J457" s="57" t="n">
        <f aca="false">IF(D457="Income",F457,-F457)</f>
        <v>-4115.96</v>
      </c>
    </row>
    <row r="458" customFormat="false" ht="15" hidden="false" customHeight="false" outlineLevel="0" collapsed="false">
      <c r="A458" s="54" t="s">
        <v>670</v>
      </c>
      <c r="B458" s="54" t="s">
        <v>205</v>
      </c>
      <c r="C458" s="54" t="s">
        <v>123</v>
      </c>
      <c r="D458" s="54" t="s">
        <v>188</v>
      </c>
      <c r="E458" s="54" t="s">
        <v>121</v>
      </c>
      <c r="F458" s="55" t="n">
        <v>53741.64</v>
      </c>
      <c r="G458" s="54" t="s">
        <v>123</v>
      </c>
      <c r="H458" s="56" t="n">
        <f aca="false">VLOOKUP(E458,Treatment_Table!$B$5:$E$11,4,FALSE())</f>
        <v>0</v>
      </c>
      <c r="I458" s="57" t="n">
        <f aca="false">F458*H458</f>
        <v>0</v>
      </c>
      <c r="J458" s="57" t="n">
        <f aca="false">IF(D458="Income",F458,-F458)</f>
        <v>-53741.64</v>
      </c>
    </row>
    <row r="459" customFormat="false" ht="15" hidden="false" customHeight="false" outlineLevel="0" collapsed="false">
      <c r="A459" s="54" t="s">
        <v>671</v>
      </c>
      <c r="B459" s="54" t="s">
        <v>223</v>
      </c>
      <c r="C459" s="54" t="s">
        <v>131</v>
      </c>
      <c r="D459" s="54" t="s">
        <v>188</v>
      </c>
      <c r="E459" s="54" t="s">
        <v>121</v>
      </c>
      <c r="F459" s="55" t="n">
        <v>154125.99</v>
      </c>
      <c r="G459" s="54" t="s">
        <v>131</v>
      </c>
      <c r="H459" s="56" t="n">
        <f aca="false">VLOOKUP(E459,Treatment_Table!$B$5:$E$11,4,FALSE())</f>
        <v>0</v>
      </c>
      <c r="I459" s="57" t="n">
        <f aca="false">F459*H459</f>
        <v>0</v>
      </c>
      <c r="J459" s="57" t="n">
        <f aca="false">IF(D459="Income",F459,-F459)</f>
        <v>-154125.99</v>
      </c>
    </row>
    <row r="460" customFormat="false" ht="15" hidden="false" customHeight="false" outlineLevel="0" collapsed="false">
      <c r="A460" s="54" t="s">
        <v>672</v>
      </c>
      <c r="B460" s="54" t="s">
        <v>223</v>
      </c>
      <c r="C460" s="54" t="s">
        <v>140</v>
      </c>
      <c r="D460" s="54" t="s">
        <v>188</v>
      </c>
      <c r="E460" s="54" t="s">
        <v>141</v>
      </c>
      <c r="F460" s="55" t="n">
        <v>31874.8</v>
      </c>
      <c r="G460" s="54" t="s">
        <v>140</v>
      </c>
      <c r="H460" s="56" t="n">
        <f aca="false">VLOOKUP(E460,Treatment_Table!$B$5:$E$11,4,FALSE())</f>
        <v>0</v>
      </c>
      <c r="I460" s="57" t="n">
        <f aca="false">F460*H460</f>
        <v>0</v>
      </c>
      <c r="J460" s="57" t="n">
        <f aca="false">IF(D460="Income",F460,-F460)</f>
        <v>-31874.8</v>
      </c>
    </row>
    <row r="461" customFormat="false" ht="15" hidden="false" customHeight="false" outlineLevel="0" collapsed="false">
      <c r="A461" s="54" t="s">
        <v>673</v>
      </c>
      <c r="B461" s="54" t="s">
        <v>235</v>
      </c>
      <c r="C461" s="54" t="s">
        <v>128</v>
      </c>
      <c r="D461" s="54" t="s">
        <v>188</v>
      </c>
      <c r="E461" s="54" t="s">
        <v>121</v>
      </c>
      <c r="F461" s="55" t="n">
        <v>16022.89</v>
      </c>
      <c r="G461" s="54" t="s">
        <v>128</v>
      </c>
      <c r="H461" s="56" t="n">
        <f aca="false">VLOOKUP(E461,Treatment_Table!$B$5:$E$11,4,FALSE())</f>
        <v>0</v>
      </c>
      <c r="I461" s="57" t="n">
        <f aca="false">F461*H461</f>
        <v>0</v>
      </c>
      <c r="J461" s="57" t="n">
        <f aca="false">IF(D461="Income",F461,-F461)</f>
        <v>-16022.89</v>
      </c>
    </row>
    <row r="462" customFormat="false" ht="15" hidden="false" customHeight="false" outlineLevel="0" collapsed="false">
      <c r="A462" s="54" t="s">
        <v>674</v>
      </c>
      <c r="B462" s="54" t="s">
        <v>205</v>
      </c>
      <c r="C462" s="54" t="s">
        <v>131</v>
      </c>
      <c r="D462" s="54" t="s">
        <v>188</v>
      </c>
      <c r="E462" s="54" t="s">
        <v>121</v>
      </c>
      <c r="F462" s="55" t="n">
        <v>151839.29</v>
      </c>
      <c r="G462" s="54" t="s">
        <v>131</v>
      </c>
      <c r="H462" s="56" t="n">
        <f aca="false">VLOOKUP(E462,Treatment_Table!$B$5:$E$11,4,FALSE())</f>
        <v>0</v>
      </c>
      <c r="I462" s="57" t="n">
        <f aca="false">F462*H462</f>
        <v>0</v>
      </c>
      <c r="J462" s="57" t="n">
        <f aca="false">IF(D462="Income",F462,-F462)</f>
        <v>-151839.29</v>
      </c>
    </row>
    <row r="463" customFormat="false" ht="15" hidden="false" customHeight="false" outlineLevel="0" collapsed="false">
      <c r="A463" s="54" t="s">
        <v>675</v>
      </c>
      <c r="B463" s="54" t="s">
        <v>235</v>
      </c>
      <c r="C463" s="54" t="s">
        <v>122</v>
      </c>
      <c r="D463" s="54" t="s">
        <v>188</v>
      </c>
      <c r="E463" s="54" t="s">
        <v>121</v>
      </c>
      <c r="F463" s="55" t="n">
        <v>3189.02</v>
      </c>
      <c r="G463" s="54" t="s">
        <v>122</v>
      </c>
      <c r="H463" s="56" t="n">
        <f aca="false">VLOOKUP(E463,Treatment_Table!$B$5:$E$11,4,FALSE())</f>
        <v>0</v>
      </c>
      <c r="I463" s="57" t="n">
        <f aca="false">F463*H463</f>
        <v>0</v>
      </c>
      <c r="J463" s="57" t="n">
        <f aca="false">IF(D463="Income",F463,-F463)</f>
        <v>-3189.02</v>
      </c>
    </row>
    <row r="464" customFormat="false" ht="15" hidden="false" customHeight="false" outlineLevel="0" collapsed="false">
      <c r="A464" s="54" t="s">
        <v>676</v>
      </c>
      <c r="B464" s="54" t="s">
        <v>228</v>
      </c>
      <c r="C464" s="54" t="s">
        <v>131</v>
      </c>
      <c r="D464" s="54" t="s">
        <v>188</v>
      </c>
      <c r="E464" s="54" t="s">
        <v>121</v>
      </c>
      <c r="F464" s="55" t="n">
        <v>61493.37</v>
      </c>
      <c r="G464" s="54" t="s">
        <v>131</v>
      </c>
      <c r="H464" s="56" t="n">
        <f aca="false">VLOOKUP(E464,Treatment_Table!$B$5:$E$11,4,FALSE())</f>
        <v>0</v>
      </c>
      <c r="I464" s="57" t="n">
        <f aca="false">F464*H464</f>
        <v>0</v>
      </c>
      <c r="J464" s="57" t="n">
        <f aca="false">IF(D464="Income",F464,-F464)</f>
        <v>-61493.37</v>
      </c>
    </row>
    <row r="465" customFormat="false" ht="15" hidden="false" customHeight="false" outlineLevel="0" collapsed="false">
      <c r="A465" s="54" t="s">
        <v>677</v>
      </c>
      <c r="B465" s="54" t="s">
        <v>230</v>
      </c>
      <c r="C465" s="54" t="s">
        <v>131</v>
      </c>
      <c r="D465" s="54" t="s">
        <v>188</v>
      </c>
      <c r="E465" s="54" t="s">
        <v>121</v>
      </c>
      <c r="F465" s="55" t="n">
        <v>120006.99</v>
      </c>
      <c r="G465" s="54" t="s">
        <v>131</v>
      </c>
      <c r="H465" s="56" t="n">
        <f aca="false">VLOOKUP(E465,Treatment_Table!$B$5:$E$11,4,FALSE())</f>
        <v>0</v>
      </c>
      <c r="I465" s="57" t="n">
        <f aca="false">F465*H465</f>
        <v>0</v>
      </c>
      <c r="J465" s="57" t="n">
        <f aca="false">IF(D465="Income",F465,-F465)</f>
        <v>-120006.99</v>
      </c>
    </row>
    <row r="466" customFormat="false" ht="15" hidden="false" customHeight="false" outlineLevel="0" collapsed="false">
      <c r="A466" s="54" t="s">
        <v>678</v>
      </c>
      <c r="B466" s="54" t="s">
        <v>210</v>
      </c>
      <c r="C466" s="54" t="s">
        <v>128</v>
      </c>
      <c r="D466" s="54" t="s">
        <v>188</v>
      </c>
      <c r="E466" s="54" t="s">
        <v>121</v>
      </c>
      <c r="F466" s="55" t="n">
        <v>18375.63</v>
      </c>
      <c r="G466" s="54" t="s">
        <v>128</v>
      </c>
      <c r="H466" s="56" t="n">
        <f aca="false">VLOOKUP(E466,Treatment_Table!$B$5:$E$11,4,FALSE())</f>
        <v>0</v>
      </c>
      <c r="I466" s="57" t="n">
        <f aca="false">F466*H466</f>
        <v>0</v>
      </c>
      <c r="J466" s="57" t="n">
        <f aca="false">IF(D466="Income",F466,-F466)</f>
        <v>-18375.63</v>
      </c>
    </row>
    <row r="467" customFormat="false" ht="15" hidden="false" customHeight="false" outlineLevel="0" collapsed="false">
      <c r="A467" s="54" t="s">
        <v>679</v>
      </c>
      <c r="B467" s="54" t="s">
        <v>243</v>
      </c>
      <c r="C467" s="54" t="s">
        <v>131</v>
      </c>
      <c r="D467" s="54" t="s">
        <v>188</v>
      </c>
      <c r="E467" s="54" t="s">
        <v>121</v>
      </c>
      <c r="F467" s="55" t="n">
        <v>68371.8</v>
      </c>
      <c r="G467" s="54" t="s">
        <v>131</v>
      </c>
      <c r="H467" s="56" t="n">
        <f aca="false">VLOOKUP(E467,Treatment_Table!$B$5:$E$11,4,FALSE())</f>
        <v>0</v>
      </c>
      <c r="I467" s="57" t="n">
        <f aca="false">F467*H467</f>
        <v>0</v>
      </c>
      <c r="J467" s="57" t="n">
        <f aca="false">IF(D467="Income",F467,-F467)</f>
        <v>-68371.8</v>
      </c>
    </row>
    <row r="468" customFormat="false" ht="15" hidden="false" customHeight="false" outlineLevel="0" collapsed="false">
      <c r="A468" s="54" t="s">
        <v>680</v>
      </c>
      <c r="B468" s="54" t="s">
        <v>210</v>
      </c>
      <c r="C468" s="54" t="s">
        <v>123</v>
      </c>
      <c r="D468" s="54" t="s">
        <v>188</v>
      </c>
      <c r="E468" s="54" t="s">
        <v>121</v>
      </c>
      <c r="F468" s="55" t="n">
        <v>132742.41</v>
      </c>
      <c r="G468" s="54" t="s">
        <v>123</v>
      </c>
      <c r="H468" s="56" t="n">
        <f aca="false">VLOOKUP(E468,Treatment_Table!$B$5:$E$11,4,FALSE())</f>
        <v>0</v>
      </c>
      <c r="I468" s="57" t="n">
        <f aca="false">F468*H468</f>
        <v>0</v>
      </c>
      <c r="J468" s="57" t="n">
        <f aca="false">IF(D468="Income",F468,-F468)</f>
        <v>-132742.41</v>
      </c>
    </row>
    <row r="469" customFormat="false" ht="15" hidden="false" customHeight="false" outlineLevel="0" collapsed="false">
      <c r="A469" s="54" t="s">
        <v>681</v>
      </c>
      <c r="B469" s="54" t="s">
        <v>214</v>
      </c>
      <c r="C469" s="54" t="s">
        <v>142</v>
      </c>
      <c r="D469" s="54" t="s">
        <v>188</v>
      </c>
      <c r="E469" s="54" t="s">
        <v>141</v>
      </c>
      <c r="F469" s="55" t="n">
        <v>32797.9</v>
      </c>
      <c r="G469" s="54" t="s">
        <v>142</v>
      </c>
      <c r="H469" s="56" t="n">
        <f aca="false">VLOOKUP(E469,Treatment_Table!$B$5:$E$11,4,FALSE())</f>
        <v>0</v>
      </c>
      <c r="I469" s="57" t="n">
        <f aca="false">F469*H469</f>
        <v>0</v>
      </c>
      <c r="J469" s="57" t="n">
        <f aca="false">IF(D469="Income",F469,-F469)</f>
        <v>-32797.9</v>
      </c>
    </row>
    <row r="470" customFormat="false" ht="15" hidden="false" customHeight="false" outlineLevel="0" collapsed="false">
      <c r="A470" s="54" t="s">
        <v>682</v>
      </c>
      <c r="B470" s="54" t="s">
        <v>243</v>
      </c>
      <c r="C470" s="54" t="s">
        <v>138</v>
      </c>
      <c r="D470" s="54" t="s">
        <v>188</v>
      </c>
      <c r="E470" s="54" t="s">
        <v>139</v>
      </c>
      <c r="F470" s="55" t="n">
        <v>5914.87</v>
      </c>
      <c r="G470" s="54" t="s">
        <v>138</v>
      </c>
      <c r="H470" s="56" t="n">
        <f aca="false">VLOOKUP(E470,Treatment_Table!$B$5:$E$11,4,FALSE())</f>
        <v>0.5</v>
      </c>
      <c r="I470" s="57" t="n">
        <f aca="false">F470*H470</f>
        <v>2957.435</v>
      </c>
      <c r="J470" s="57" t="n">
        <f aca="false">IF(D470="Income",F470,-F470)</f>
        <v>-5914.87</v>
      </c>
    </row>
    <row r="471" customFormat="false" ht="15" hidden="false" customHeight="false" outlineLevel="0" collapsed="false">
      <c r="A471" s="54" t="s">
        <v>683</v>
      </c>
      <c r="B471" s="54" t="s">
        <v>205</v>
      </c>
      <c r="C471" s="54" t="s">
        <v>135</v>
      </c>
      <c r="D471" s="54" t="s">
        <v>188</v>
      </c>
      <c r="E471" s="54" t="s">
        <v>134</v>
      </c>
      <c r="F471" s="55" t="n">
        <v>2951.07</v>
      </c>
      <c r="G471" s="54" t="s">
        <v>135</v>
      </c>
      <c r="H471" s="56" t="n">
        <f aca="false">VLOOKUP(E471,Treatment_Table!$B$5:$E$11,4,FALSE())</f>
        <v>1</v>
      </c>
      <c r="I471" s="57" t="n">
        <f aca="false">F471*H471</f>
        <v>2951.07</v>
      </c>
      <c r="J471" s="57" t="n">
        <f aca="false">IF(D471="Income",F471,-F471)</f>
        <v>-2951.07</v>
      </c>
    </row>
    <row r="472" customFormat="false" ht="15" hidden="false" customHeight="false" outlineLevel="0" collapsed="false">
      <c r="A472" s="54" t="s">
        <v>684</v>
      </c>
      <c r="B472" s="54" t="s">
        <v>230</v>
      </c>
      <c r="C472" s="54" t="s">
        <v>123</v>
      </c>
      <c r="D472" s="54" t="s">
        <v>188</v>
      </c>
      <c r="E472" s="54" t="s">
        <v>121</v>
      </c>
      <c r="F472" s="55" t="n">
        <v>113075.44</v>
      </c>
      <c r="G472" s="54" t="s">
        <v>123</v>
      </c>
      <c r="H472" s="56" t="n">
        <f aca="false">VLOOKUP(E472,Treatment_Table!$B$5:$E$11,4,FALSE())</f>
        <v>0</v>
      </c>
      <c r="I472" s="57" t="n">
        <f aca="false">F472*H472</f>
        <v>0</v>
      </c>
      <c r="J472" s="57" t="n">
        <f aca="false">IF(D472="Income",F472,-F472)</f>
        <v>-113075.44</v>
      </c>
    </row>
    <row r="473" customFormat="false" ht="15" hidden="false" customHeight="false" outlineLevel="0" collapsed="false">
      <c r="A473" s="54" t="s">
        <v>685</v>
      </c>
      <c r="B473" s="54" t="s">
        <v>228</v>
      </c>
      <c r="C473" s="54" t="s">
        <v>129</v>
      </c>
      <c r="D473" s="54" t="s">
        <v>188</v>
      </c>
      <c r="E473" s="54" t="s">
        <v>121</v>
      </c>
      <c r="F473" s="55" t="n">
        <v>43716.14</v>
      </c>
      <c r="G473" s="54" t="s">
        <v>129</v>
      </c>
      <c r="H473" s="56" t="n">
        <f aca="false">VLOOKUP(E473,Treatment_Table!$B$5:$E$11,4,FALSE())</f>
        <v>0</v>
      </c>
      <c r="I473" s="57" t="n">
        <f aca="false">F473*H473</f>
        <v>0</v>
      </c>
      <c r="J473" s="57" t="n">
        <f aca="false">IF(D473="Income",F473,-F473)</f>
        <v>-43716.14</v>
      </c>
    </row>
    <row r="474" customFormat="false" ht="15" hidden="false" customHeight="false" outlineLevel="0" collapsed="false">
      <c r="A474" s="54" t="s">
        <v>686</v>
      </c>
      <c r="B474" s="54" t="s">
        <v>216</v>
      </c>
      <c r="C474" s="54" t="s">
        <v>131</v>
      </c>
      <c r="D474" s="54" t="s">
        <v>188</v>
      </c>
      <c r="E474" s="54" t="s">
        <v>121</v>
      </c>
      <c r="F474" s="55" t="n">
        <v>64995.97</v>
      </c>
      <c r="G474" s="54" t="s">
        <v>131</v>
      </c>
      <c r="H474" s="56" t="n">
        <f aca="false">VLOOKUP(E474,Treatment_Table!$B$5:$E$11,4,FALSE())</f>
        <v>0</v>
      </c>
      <c r="I474" s="57" t="n">
        <f aca="false">F474*H474</f>
        <v>0</v>
      </c>
      <c r="J474" s="57" t="n">
        <f aca="false">IF(D474="Income",F474,-F474)</f>
        <v>-64995.97</v>
      </c>
    </row>
    <row r="475" customFormat="false" ht="15" hidden="false" customHeight="false" outlineLevel="0" collapsed="false">
      <c r="A475" s="54" t="s">
        <v>687</v>
      </c>
      <c r="B475" s="54" t="s">
        <v>216</v>
      </c>
      <c r="C475" s="54" t="s">
        <v>126</v>
      </c>
      <c r="D475" s="54" t="s">
        <v>188</v>
      </c>
      <c r="E475" s="54" t="s">
        <v>121</v>
      </c>
      <c r="F475" s="55" t="n">
        <v>17760.11</v>
      </c>
      <c r="G475" s="54" t="s">
        <v>126</v>
      </c>
      <c r="H475" s="56" t="n">
        <f aca="false">VLOOKUP(E475,Treatment_Table!$B$5:$E$11,4,FALSE())</f>
        <v>0</v>
      </c>
      <c r="I475" s="57" t="n">
        <f aca="false">F475*H475</f>
        <v>0</v>
      </c>
      <c r="J475" s="57" t="n">
        <f aca="false">IF(D475="Income",F475,-F475)</f>
        <v>-17760.11</v>
      </c>
    </row>
    <row r="476" customFormat="false" ht="15" hidden="false" customHeight="false" outlineLevel="0" collapsed="false">
      <c r="A476" s="54" t="s">
        <v>688</v>
      </c>
      <c r="B476" s="54" t="s">
        <v>208</v>
      </c>
      <c r="C476" s="54" t="s">
        <v>123</v>
      </c>
      <c r="D476" s="54" t="s">
        <v>188</v>
      </c>
      <c r="E476" s="54" t="s">
        <v>121</v>
      </c>
      <c r="F476" s="55" t="n">
        <v>70670.12</v>
      </c>
      <c r="G476" s="54" t="s">
        <v>123</v>
      </c>
      <c r="H476" s="56" t="n">
        <f aca="false">VLOOKUP(E476,Treatment_Table!$B$5:$E$11,4,FALSE())</f>
        <v>0</v>
      </c>
      <c r="I476" s="57" t="n">
        <f aca="false">F476*H476</f>
        <v>0</v>
      </c>
      <c r="J476" s="57" t="n">
        <f aca="false">IF(D476="Income",F476,-F476)</f>
        <v>-70670.12</v>
      </c>
    </row>
    <row r="477" customFormat="false" ht="15" hidden="false" customHeight="false" outlineLevel="0" collapsed="false">
      <c r="A477" s="54" t="s">
        <v>689</v>
      </c>
      <c r="B477" s="54" t="s">
        <v>210</v>
      </c>
      <c r="C477" s="54" t="s">
        <v>130</v>
      </c>
      <c r="D477" s="54" t="s">
        <v>188</v>
      </c>
      <c r="E477" s="54" t="s">
        <v>121</v>
      </c>
      <c r="F477" s="55" t="n">
        <v>39020.65</v>
      </c>
      <c r="G477" s="54" t="s">
        <v>130</v>
      </c>
      <c r="H477" s="56" t="n">
        <f aca="false">VLOOKUP(E477,Treatment_Table!$B$5:$E$11,4,FALSE())</f>
        <v>0</v>
      </c>
      <c r="I477" s="57" t="n">
        <f aca="false">F477*H477</f>
        <v>0</v>
      </c>
      <c r="J477" s="57" t="n">
        <f aca="false">IF(D477="Income",F477,-F477)</f>
        <v>-39020.65</v>
      </c>
    </row>
    <row r="478" customFormat="false" ht="15" hidden="false" customHeight="false" outlineLevel="0" collapsed="false">
      <c r="A478" s="54" t="s">
        <v>690</v>
      </c>
      <c r="B478" s="54" t="s">
        <v>235</v>
      </c>
      <c r="C478" s="54" t="s">
        <v>142</v>
      </c>
      <c r="D478" s="54" t="s">
        <v>188</v>
      </c>
      <c r="E478" s="54" t="s">
        <v>141</v>
      </c>
      <c r="F478" s="55" t="n">
        <v>149814.97</v>
      </c>
      <c r="G478" s="54" t="s">
        <v>142</v>
      </c>
      <c r="H478" s="56" t="n">
        <f aca="false">VLOOKUP(E478,Treatment_Table!$B$5:$E$11,4,FALSE())</f>
        <v>0</v>
      </c>
      <c r="I478" s="57" t="n">
        <f aca="false">F478*H478</f>
        <v>0</v>
      </c>
      <c r="J478" s="57" t="n">
        <f aca="false">IF(D478="Income",F478,-F478)</f>
        <v>-149814.97</v>
      </c>
    </row>
    <row r="479" customFormat="false" ht="15" hidden="false" customHeight="false" outlineLevel="0" collapsed="false">
      <c r="A479" s="54" t="s">
        <v>691</v>
      </c>
      <c r="B479" s="54" t="s">
        <v>210</v>
      </c>
      <c r="C479" s="54" t="s">
        <v>126</v>
      </c>
      <c r="D479" s="54" t="s">
        <v>188</v>
      </c>
      <c r="E479" s="54" t="s">
        <v>121</v>
      </c>
      <c r="F479" s="55" t="n">
        <v>24410.21</v>
      </c>
      <c r="G479" s="54" t="s">
        <v>126</v>
      </c>
      <c r="H479" s="56" t="n">
        <f aca="false">VLOOKUP(E479,Treatment_Table!$B$5:$E$11,4,FALSE())</f>
        <v>0</v>
      </c>
      <c r="I479" s="57" t="n">
        <f aca="false">F479*H479</f>
        <v>0</v>
      </c>
      <c r="J479" s="57" t="n">
        <f aca="false">IF(D479="Income",F479,-F479)</f>
        <v>-24410.21</v>
      </c>
    </row>
    <row r="480" customFormat="false" ht="15" hidden="false" customHeight="false" outlineLevel="0" collapsed="false">
      <c r="A480" s="54" t="s">
        <v>692</v>
      </c>
      <c r="B480" s="54" t="s">
        <v>205</v>
      </c>
      <c r="C480" s="54" t="s">
        <v>131</v>
      </c>
      <c r="D480" s="54" t="s">
        <v>188</v>
      </c>
      <c r="E480" s="54" t="s">
        <v>121</v>
      </c>
      <c r="F480" s="55" t="n">
        <v>123177.01</v>
      </c>
      <c r="G480" s="54" t="s">
        <v>131</v>
      </c>
      <c r="H480" s="56" t="n">
        <f aca="false">VLOOKUP(E480,Treatment_Table!$B$5:$E$11,4,FALSE())</f>
        <v>0</v>
      </c>
      <c r="I480" s="57" t="n">
        <f aca="false">F480*H480</f>
        <v>0</v>
      </c>
      <c r="J480" s="57" t="n">
        <f aca="false">IF(D480="Income",F480,-F480)</f>
        <v>-123177.01</v>
      </c>
    </row>
    <row r="481" customFormat="false" ht="15" hidden="false" customHeight="false" outlineLevel="0" collapsed="false">
      <c r="A481" s="54" t="s">
        <v>693</v>
      </c>
      <c r="B481" s="54" t="s">
        <v>214</v>
      </c>
      <c r="C481" s="54" t="s">
        <v>131</v>
      </c>
      <c r="D481" s="54" t="s">
        <v>188</v>
      </c>
      <c r="E481" s="54" t="s">
        <v>121</v>
      </c>
      <c r="F481" s="55" t="n">
        <v>29514.99</v>
      </c>
      <c r="G481" s="54" t="s">
        <v>131</v>
      </c>
      <c r="H481" s="56" t="n">
        <f aca="false">VLOOKUP(E481,Treatment_Table!$B$5:$E$11,4,FALSE())</f>
        <v>0</v>
      </c>
      <c r="I481" s="57" t="n">
        <f aca="false">F481*H481</f>
        <v>0</v>
      </c>
      <c r="J481" s="57" t="n">
        <f aca="false">IF(D481="Income",F481,-F481)</f>
        <v>-29514.99</v>
      </c>
    </row>
    <row r="482" customFormat="false" ht="15" hidden="false" customHeight="false" outlineLevel="0" collapsed="false">
      <c r="A482" s="54" t="s">
        <v>694</v>
      </c>
      <c r="B482" s="54" t="s">
        <v>228</v>
      </c>
      <c r="C482" s="54" t="s">
        <v>131</v>
      </c>
      <c r="D482" s="54" t="s">
        <v>188</v>
      </c>
      <c r="E482" s="54" t="s">
        <v>121</v>
      </c>
      <c r="F482" s="55" t="n">
        <v>101856.49</v>
      </c>
      <c r="G482" s="54" t="s">
        <v>131</v>
      </c>
      <c r="H482" s="56" t="n">
        <f aca="false">VLOOKUP(E482,Treatment_Table!$B$5:$E$11,4,FALSE())</f>
        <v>0</v>
      </c>
      <c r="I482" s="57" t="n">
        <f aca="false">F482*H482</f>
        <v>0</v>
      </c>
      <c r="J482" s="57" t="n">
        <f aca="false">IF(D482="Income",F482,-F482)</f>
        <v>-101856.49</v>
      </c>
    </row>
    <row r="483" customFormat="false" ht="15" hidden="false" customHeight="false" outlineLevel="0" collapsed="false">
      <c r="A483" s="54" t="s">
        <v>695</v>
      </c>
      <c r="B483" s="54" t="s">
        <v>243</v>
      </c>
      <c r="C483" s="54" t="s">
        <v>126</v>
      </c>
      <c r="D483" s="54" t="s">
        <v>188</v>
      </c>
      <c r="E483" s="54" t="s">
        <v>121</v>
      </c>
      <c r="F483" s="55" t="n">
        <v>31610.96</v>
      </c>
      <c r="G483" s="54" t="s">
        <v>126</v>
      </c>
      <c r="H483" s="56" t="n">
        <f aca="false">VLOOKUP(E483,Treatment_Table!$B$5:$E$11,4,FALSE())</f>
        <v>0</v>
      </c>
      <c r="I483" s="57" t="n">
        <f aca="false">F483*H483</f>
        <v>0</v>
      </c>
      <c r="J483" s="57" t="n">
        <f aca="false">IF(D483="Income",F483,-F483)</f>
        <v>-31610.96</v>
      </c>
    </row>
    <row r="484" customFormat="false" ht="15" hidden="false" customHeight="false" outlineLevel="0" collapsed="false">
      <c r="A484" s="54" t="s">
        <v>696</v>
      </c>
      <c r="B484" s="54" t="s">
        <v>235</v>
      </c>
      <c r="C484" s="54" t="s">
        <v>131</v>
      </c>
      <c r="D484" s="54" t="s">
        <v>188</v>
      </c>
      <c r="E484" s="54" t="s">
        <v>121</v>
      </c>
      <c r="F484" s="55" t="n">
        <v>97146.72</v>
      </c>
      <c r="G484" s="54" t="s">
        <v>131</v>
      </c>
      <c r="H484" s="56" t="n">
        <f aca="false">VLOOKUP(E484,Treatment_Table!$B$5:$E$11,4,FALSE())</f>
        <v>0</v>
      </c>
      <c r="I484" s="57" t="n">
        <f aca="false">F484*H484</f>
        <v>0</v>
      </c>
      <c r="J484" s="57" t="n">
        <f aca="false">IF(D484="Income",F484,-F484)</f>
        <v>-97146.72</v>
      </c>
    </row>
    <row r="485" customFormat="false" ht="15" hidden="false" customHeight="false" outlineLevel="0" collapsed="false">
      <c r="A485" s="54" t="s">
        <v>697</v>
      </c>
      <c r="B485" s="54" t="s">
        <v>210</v>
      </c>
      <c r="C485" s="54" t="s">
        <v>123</v>
      </c>
      <c r="D485" s="54" t="s">
        <v>188</v>
      </c>
      <c r="E485" s="54" t="s">
        <v>121</v>
      </c>
      <c r="F485" s="55" t="n">
        <v>60043.12</v>
      </c>
      <c r="G485" s="54" t="s">
        <v>123</v>
      </c>
      <c r="H485" s="56" t="n">
        <f aca="false">VLOOKUP(E485,Treatment_Table!$B$5:$E$11,4,FALSE())</f>
        <v>0</v>
      </c>
      <c r="I485" s="57" t="n">
        <f aca="false">F485*H485</f>
        <v>0</v>
      </c>
      <c r="J485" s="57" t="n">
        <f aca="false">IF(D485="Income",F485,-F485)</f>
        <v>-60043.12</v>
      </c>
    </row>
    <row r="486" customFormat="false" ht="15" hidden="false" customHeight="false" outlineLevel="0" collapsed="false">
      <c r="A486" s="54" t="s">
        <v>698</v>
      </c>
      <c r="B486" s="54" t="s">
        <v>228</v>
      </c>
      <c r="C486" s="54" t="s">
        <v>129</v>
      </c>
      <c r="D486" s="54" t="s">
        <v>188</v>
      </c>
      <c r="E486" s="54" t="s">
        <v>121</v>
      </c>
      <c r="F486" s="55" t="n">
        <v>40785.14</v>
      </c>
      <c r="G486" s="54" t="s">
        <v>129</v>
      </c>
      <c r="H486" s="56" t="n">
        <f aca="false">VLOOKUP(E486,Treatment_Table!$B$5:$E$11,4,FALSE())</f>
        <v>0</v>
      </c>
      <c r="I486" s="57" t="n">
        <f aca="false">F486*H486</f>
        <v>0</v>
      </c>
      <c r="J486" s="57" t="n">
        <f aca="false">IF(D486="Income",F486,-F486)</f>
        <v>-40785.14</v>
      </c>
    </row>
    <row r="487" customFormat="false" ht="15" hidden="false" customHeight="false" outlineLevel="0" collapsed="false">
      <c r="A487" s="54" t="s">
        <v>699</v>
      </c>
      <c r="B487" s="54" t="s">
        <v>230</v>
      </c>
      <c r="C487" s="54" t="s">
        <v>123</v>
      </c>
      <c r="D487" s="54" t="s">
        <v>188</v>
      </c>
      <c r="E487" s="54" t="s">
        <v>121</v>
      </c>
      <c r="F487" s="55" t="n">
        <v>98355.36</v>
      </c>
      <c r="G487" s="54" t="s">
        <v>123</v>
      </c>
      <c r="H487" s="56" t="n">
        <f aca="false">VLOOKUP(E487,Treatment_Table!$B$5:$E$11,4,FALSE())</f>
        <v>0</v>
      </c>
      <c r="I487" s="57" t="n">
        <f aca="false">F487*H487</f>
        <v>0</v>
      </c>
      <c r="J487" s="57" t="n">
        <f aca="false">IF(D487="Income",F487,-F487)</f>
        <v>-98355.36</v>
      </c>
    </row>
    <row r="488" customFormat="false" ht="15" hidden="false" customHeight="false" outlineLevel="0" collapsed="false">
      <c r="A488" s="54" t="s">
        <v>700</v>
      </c>
      <c r="B488" s="54" t="s">
        <v>228</v>
      </c>
      <c r="C488" s="54" t="s">
        <v>123</v>
      </c>
      <c r="D488" s="54" t="s">
        <v>188</v>
      </c>
      <c r="E488" s="54" t="s">
        <v>121</v>
      </c>
      <c r="F488" s="55" t="n">
        <v>139994.18</v>
      </c>
      <c r="G488" s="54" t="s">
        <v>123</v>
      </c>
      <c r="H488" s="56" t="n">
        <f aca="false">VLOOKUP(E488,Treatment_Table!$B$5:$E$11,4,FALSE())</f>
        <v>0</v>
      </c>
      <c r="I488" s="57" t="n">
        <f aca="false">F488*H488</f>
        <v>0</v>
      </c>
      <c r="J488" s="57" t="n">
        <f aca="false">IF(D488="Income",F488,-F488)</f>
        <v>-139994.18</v>
      </c>
    </row>
    <row r="489" customFormat="false" ht="15" hidden="false" customHeight="false" outlineLevel="0" collapsed="false">
      <c r="A489" s="54" t="s">
        <v>701</v>
      </c>
      <c r="B489" s="54" t="s">
        <v>218</v>
      </c>
      <c r="C489" s="54" t="s">
        <v>135</v>
      </c>
      <c r="D489" s="54" t="s">
        <v>188</v>
      </c>
      <c r="E489" s="54" t="s">
        <v>134</v>
      </c>
      <c r="F489" s="55" t="n">
        <v>1012.22</v>
      </c>
      <c r="G489" s="54" t="s">
        <v>135</v>
      </c>
      <c r="H489" s="56" t="n">
        <f aca="false">VLOOKUP(E489,Treatment_Table!$B$5:$E$11,4,FALSE())</f>
        <v>1</v>
      </c>
      <c r="I489" s="57" t="n">
        <f aca="false">F489*H489</f>
        <v>1012.22</v>
      </c>
      <c r="J489" s="57" t="n">
        <f aca="false">IF(D489="Income",F489,-F489)</f>
        <v>-1012.22</v>
      </c>
    </row>
    <row r="490" customFormat="false" ht="15" hidden="false" customHeight="false" outlineLevel="0" collapsed="false">
      <c r="A490" s="54" t="s">
        <v>702</v>
      </c>
      <c r="B490" s="54" t="s">
        <v>228</v>
      </c>
      <c r="C490" s="54" t="s">
        <v>131</v>
      </c>
      <c r="D490" s="54" t="s">
        <v>188</v>
      </c>
      <c r="E490" s="54" t="s">
        <v>121</v>
      </c>
      <c r="F490" s="55" t="n">
        <v>87530.35</v>
      </c>
      <c r="G490" s="54" t="s">
        <v>131</v>
      </c>
      <c r="H490" s="56" t="n">
        <f aca="false">VLOOKUP(E490,Treatment_Table!$B$5:$E$11,4,FALSE())</f>
        <v>0</v>
      </c>
      <c r="I490" s="57" t="n">
        <f aca="false">F490*H490</f>
        <v>0</v>
      </c>
      <c r="J490" s="57" t="n">
        <f aca="false">IF(D490="Income",F490,-F490)</f>
        <v>-87530.35</v>
      </c>
    </row>
    <row r="491" customFormat="false" ht="15" hidden="false" customHeight="false" outlineLevel="0" collapsed="false">
      <c r="A491" s="54" t="s">
        <v>703</v>
      </c>
      <c r="B491" s="54" t="s">
        <v>216</v>
      </c>
      <c r="C491" s="54" t="s">
        <v>126</v>
      </c>
      <c r="D491" s="54" t="s">
        <v>188</v>
      </c>
      <c r="E491" s="54" t="s">
        <v>121</v>
      </c>
      <c r="F491" s="55" t="n">
        <v>14362.01</v>
      </c>
      <c r="G491" s="54" t="s">
        <v>126</v>
      </c>
      <c r="H491" s="56" t="n">
        <f aca="false">VLOOKUP(E491,Treatment_Table!$B$5:$E$11,4,FALSE())</f>
        <v>0</v>
      </c>
      <c r="I491" s="57" t="n">
        <f aca="false">F491*H491</f>
        <v>0</v>
      </c>
      <c r="J491" s="57" t="n">
        <f aca="false">IF(D491="Income",F491,-F491)</f>
        <v>-14362.01</v>
      </c>
    </row>
    <row r="492" customFormat="false" ht="15" hidden="false" customHeight="false" outlineLevel="0" collapsed="false">
      <c r="A492" s="54" t="s">
        <v>704</v>
      </c>
      <c r="B492" s="54" t="s">
        <v>235</v>
      </c>
      <c r="C492" s="54" t="s">
        <v>138</v>
      </c>
      <c r="D492" s="54" t="s">
        <v>188</v>
      </c>
      <c r="E492" s="54" t="s">
        <v>139</v>
      </c>
      <c r="F492" s="55" t="n">
        <v>5047.65</v>
      </c>
      <c r="G492" s="54" t="s">
        <v>138</v>
      </c>
      <c r="H492" s="56" t="n">
        <f aca="false">VLOOKUP(E492,Treatment_Table!$B$5:$E$11,4,FALSE())</f>
        <v>0.5</v>
      </c>
      <c r="I492" s="57" t="n">
        <f aca="false">F492*H492</f>
        <v>2523.825</v>
      </c>
      <c r="J492" s="57" t="n">
        <f aca="false">IF(D492="Income",F492,-F492)</f>
        <v>-5047.65</v>
      </c>
    </row>
    <row r="493" customFormat="false" ht="15" hidden="false" customHeight="false" outlineLevel="0" collapsed="false">
      <c r="A493" s="54" t="s">
        <v>705</v>
      </c>
      <c r="B493" s="54" t="s">
        <v>208</v>
      </c>
      <c r="C493" s="54" t="s">
        <v>130</v>
      </c>
      <c r="D493" s="54" t="s">
        <v>188</v>
      </c>
      <c r="E493" s="54" t="s">
        <v>121</v>
      </c>
      <c r="F493" s="55" t="n">
        <v>13050.94</v>
      </c>
      <c r="G493" s="54" t="s">
        <v>130</v>
      </c>
      <c r="H493" s="56" t="n">
        <f aca="false">VLOOKUP(E493,Treatment_Table!$B$5:$E$11,4,FALSE())</f>
        <v>0</v>
      </c>
      <c r="I493" s="57" t="n">
        <f aca="false">F493*H493</f>
        <v>0</v>
      </c>
      <c r="J493" s="57" t="n">
        <f aca="false">IF(D493="Income",F493,-F493)</f>
        <v>-13050.94</v>
      </c>
    </row>
    <row r="494" customFormat="false" ht="15" hidden="false" customHeight="false" outlineLevel="0" collapsed="false">
      <c r="A494" s="54" t="s">
        <v>706</v>
      </c>
      <c r="B494" s="54" t="s">
        <v>223</v>
      </c>
      <c r="C494" s="54" t="s">
        <v>130</v>
      </c>
      <c r="D494" s="54" t="s">
        <v>188</v>
      </c>
      <c r="E494" s="54" t="s">
        <v>121</v>
      </c>
      <c r="F494" s="55" t="n">
        <v>43657.93</v>
      </c>
      <c r="G494" s="54" t="s">
        <v>130</v>
      </c>
      <c r="H494" s="56" t="n">
        <f aca="false">VLOOKUP(E494,Treatment_Table!$B$5:$E$11,4,FALSE())</f>
        <v>0</v>
      </c>
      <c r="I494" s="57" t="n">
        <f aca="false">F494*H494</f>
        <v>0</v>
      </c>
      <c r="J494" s="57" t="n">
        <f aca="false">IF(D494="Income",F494,-F494)</f>
        <v>-43657.93</v>
      </c>
    </row>
    <row r="495" customFormat="false" ht="15" hidden="false" customHeight="false" outlineLevel="0" collapsed="false">
      <c r="A495" s="54" t="s">
        <v>707</v>
      </c>
      <c r="B495" s="54" t="s">
        <v>247</v>
      </c>
      <c r="C495" s="54" t="s">
        <v>131</v>
      </c>
      <c r="D495" s="54" t="s">
        <v>188</v>
      </c>
      <c r="E495" s="54" t="s">
        <v>121</v>
      </c>
      <c r="F495" s="55" t="n">
        <v>61534.45</v>
      </c>
      <c r="G495" s="54" t="s">
        <v>131</v>
      </c>
      <c r="H495" s="56" t="n">
        <f aca="false">VLOOKUP(E495,Treatment_Table!$B$5:$E$11,4,FALSE())</f>
        <v>0</v>
      </c>
      <c r="I495" s="57" t="n">
        <f aca="false">F495*H495</f>
        <v>0</v>
      </c>
      <c r="J495" s="57" t="n">
        <f aca="false">IF(D495="Income",F495,-F495)</f>
        <v>-61534.45</v>
      </c>
    </row>
    <row r="496" customFormat="false" ht="15" hidden="false" customHeight="false" outlineLevel="0" collapsed="false">
      <c r="A496" s="54" t="s">
        <v>708</v>
      </c>
      <c r="B496" s="54" t="s">
        <v>235</v>
      </c>
      <c r="C496" s="54" t="s">
        <v>131</v>
      </c>
      <c r="D496" s="54" t="s">
        <v>188</v>
      </c>
      <c r="E496" s="54" t="s">
        <v>121</v>
      </c>
      <c r="F496" s="55" t="n">
        <v>66030.51</v>
      </c>
      <c r="G496" s="54" t="s">
        <v>131</v>
      </c>
      <c r="H496" s="56" t="n">
        <f aca="false">VLOOKUP(E496,Treatment_Table!$B$5:$E$11,4,FALSE())</f>
        <v>0</v>
      </c>
      <c r="I496" s="57" t="n">
        <f aca="false">F496*H496</f>
        <v>0</v>
      </c>
      <c r="J496" s="57" t="n">
        <f aca="false">IF(D496="Income",F496,-F496)</f>
        <v>-66030.51</v>
      </c>
    </row>
    <row r="497" customFormat="false" ht="15" hidden="false" customHeight="false" outlineLevel="0" collapsed="false">
      <c r="A497" s="54" t="s">
        <v>709</v>
      </c>
      <c r="B497" s="54" t="s">
        <v>208</v>
      </c>
      <c r="C497" s="54" t="s">
        <v>131</v>
      </c>
      <c r="D497" s="54" t="s">
        <v>188</v>
      </c>
      <c r="E497" s="54" t="s">
        <v>121</v>
      </c>
      <c r="F497" s="55" t="n">
        <v>78175.73</v>
      </c>
      <c r="G497" s="54" t="s">
        <v>131</v>
      </c>
      <c r="H497" s="56" t="n">
        <f aca="false">VLOOKUP(E497,Treatment_Table!$B$5:$E$11,4,FALSE())</f>
        <v>0</v>
      </c>
      <c r="I497" s="57" t="n">
        <f aca="false">F497*H497</f>
        <v>0</v>
      </c>
      <c r="J497" s="57" t="n">
        <f aca="false">IF(D497="Income",F497,-F497)</f>
        <v>-78175.73</v>
      </c>
    </row>
    <row r="498" customFormat="false" ht="15" hidden="false" customHeight="false" outlineLevel="0" collapsed="false">
      <c r="A498" s="54" t="s">
        <v>710</v>
      </c>
      <c r="B498" s="54" t="s">
        <v>247</v>
      </c>
      <c r="C498" s="54" t="s">
        <v>131</v>
      </c>
      <c r="D498" s="54" t="s">
        <v>188</v>
      </c>
      <c r="E498" s="54" t="s">
        <v>121</v>
      </c>
      <c r="F498" s="55" t="n">
        <v>95353.58</v>
      </c>
      <c r="G498" s="54" t="s">
        <v>131</v>
      </c>
      <c r="H498" s="56" t="n">
        <f aca="false">VLOOKUP(E498,Treatment_Table!$B$5:$E$11,4,FALSE())</f>
        <v>0</v>
      </c>
      <c r="I498" s="57" t="n">
        <f aca="false">F498*H498</f>
        <v>0</v>
      </c>
      <c r="J498" s="57" t="n">
        <f aca="false">IF(D498="Income",F498,-F498)</f>
        <v>-95353.58</v>
      </c>
    </row>
    <row r="499" customFormat="false" ht="15" hidden="false" customHeight="false" outlineLevel="0" collapsed="false">
      <c r="A499" s="54" t="s">
        <v>711</v>
      </c>
      <c r="B499" s="54" t="s">
        <v>216</v>
      </c>
      <c r="C499" s="54" t="s">
        <v>126</v>
      </c>
      <c r="D499" s="54" t="s">
        <v>188</v>
      </c>
      <c r="E499" s="54" t="s">
        <v>121</v>
      </c>
      <c r="F499" s="55" t="n">
        <v>45349.46</v>
      </c>
      <c r="G499" s="54" t="s">
        <v>126</v>
      </c>
      <c r="H499" s="56" t="n">
        <f aca="false">VLOOKUP(E499,Treatment_Table!$B$5:$E$11,4,FALSE())</f>
        <v>0</v>
      </c>
      <c r="I499" s="57" t="n">
        <f aca="false">F499*H499</f>
        <v>0</v>
      </c>
      <c r="J499" s="57" t="n">
        <f aca="false">IF(D499="Income",F499,-F499)</f>
        <v>-45349.46</v>
      </c>
    </row>
    <row r="500" customFormat="false" ht="15" hidden="false" customHeight="false" outlineLevel="0" collapsed="false">
      <c r="A500" s="54" t="s">
        <v>712</v>
      </c>
      <c r="B500" s="54" t="s">
        <v>210</v>
      </c>
      <c r="C500" s="54" t="s">
        <v>123</v>
      </c>
      <c r="D500" s="54" t="s">
        <v>188</v>
      </c>
      <c r="E500" s="54" t="s">
        <v>121</v>
      </c>
      <c r="F500" s="55" t="n">
        <v>93737.6</v>
      </c>
      <c r="G500" s="54" t="s">
        <v>123</v>
      </c>
      <c r="H500" s="56" t="n">
        <f aca="false">VLOOKUP(E500,Treatment_Table!$B$5:$E$11,4,FALSE())</f>
        <v>0</v>
      </c>
      <c r="I500" s="57" t="n">
        <f aca="false">F500*H500</f>
        <v>0</v>
      </c>
      <c r="J500" s="57" t="n">
        <f aca="false">IF(D500="Income",F500,-F500)</f>
        <v>-93737.6</v>
      </c>
    </row>
    <row r="501" customFormat="false" ht="15" hidden="false" customHeight="false" outlineLevel="0" collapsed="false">
      <c r="A501" s="54" t="s">
        <v>713</v>
      </c>
      <c r="B501" s="54" t="s">
        <v>247</v>
      </c>
      <c r="C501" s="54" t="s">
        <v>138</v>
      </c>
      <c r="D501" s="54" t="s">
        <v>188</v>
      </c>
      <c r="E501" s="54" t="s">
        <v>139</v>
      </c>
      <c r="F501" s="55" t="n">
        <v>8804.06</v>
      </c>
      <c r="G501" s="54" t="s">
        <v>138</v>
      </c>
      <c r="H501" s="56" t="n">
        <f aca="false">VLOOKUP(E501,Treatment_Table!$B$5:$E$11,4,FALSE())</f>
        <v>0.5</v>
      </c>
      <c r="I501" s="57" t="n">
        <f aca="false">F501*H501</f>
        <v>4402.03</v>
      </c>
      <c r="J501" s="57" t="n">
        <f aca="false">IF(D501="Income",F501,-F501)</f>
        <v>-8804.06</v>
      </c>
    </row>
    <row r="502" customFormat="false" ht="15" hidden="false" customHeight="false" outlineLevel="0" collapsed="false">
      <c r="A502" s="54" t="s">
        <v>714</v>
      </c>
      <c r="B502" s="54" t="s">
        <v>223</v>
      </c>
      <c r="C502" s="54" t="s">
        <v>129</v>
      </c>
      <c r="D502" s="54" t="s">
        <v>188</v>
      </c>
      <c r="E502" s="54" t="s">
        <v>121</v>
      </c>
      <c r="F502" s="55" t="n">
        <v>13402.75</v>
      </c>
      <c r="G502" s="54" t="s">
        <v>129</v>
      </c>
      <c r="H502" s="56" t="n">
        <f aca="false">VLOOKUP(E502,Treatment_Table!$B$5:$E$11,4,FALSE())</f>
        <v>0</v>
      </c>
      <c r="I502" s="57" t="n">
        <f aca="false">F502*H502</f>
        <v>0</v>
      </c>
      <c r="J502" s="57" t="n">
        <f aca="false">IF(D502="Income",F502,-F502)</f>
        <v>-13402.75</v>
      </c>
    </row>
    <row r="503" customFormat="false" ht="15" hidden="false" customHeight="false" outlineLevel="0" collapsed="false">
      <c r="A503" s="54" t="s">
        <v>715</v>
      </c>
      <c r="B503" s="54" t="s">
        <v>218</v>
      </c>
      <c r="C503" s="54" t="s">
        <v>130</v>
      </c>
      <c r="D503" s="54" t="s">
        <v>188</v>
      </c>
      <c r="E503" s="54" t="s">
        <v>121</v>
      </c>
      <c r="F503" s="55" t="n">
        <v>24133.8</v>
      </c>
      <c r="G503" s="54" t="s">
        <v>130</v>
      </c>
      <c r="H503" s="56" t="n">
        <f aca="false">VLOOKUP(E503,Treatment_Table!$B$5:$E$11,4,FALSE())</f>
        <v>0</v>
      </c>
      <c r="I503" s="57" t="n">
        <f aca="false">F503*H503</f>
        <v>0</v>
      </c>
      <c r="J503" s="57" t="n">
        <f aca="false">IF(D503="Income",F503,-F503)</f>
        <v>-24133.8</v>
      </c>
    </row>
    <row r="504" customFormat="false" ht="15" hidden="false" customHeight="false" outlineLevel="0" collapsed="false">
      <c r="A504" s="54" t="s">
        <v>716</v>
      </c>
      <c r="B504" s="54" t="s">
        <v>247</v>
      </c>
      <c r="C504" s="54" t="s">
        <v>124</v>
      </c>
      <c r="D504" s="54" t="s">
        <v>188</v>
      </c>
      <c r="E504" s="54" t="s">
        <v>121</v>
      </c>
      <c r="F504" s="55" t="n">
        <v>17954.2</v>
      </c>
      <c r="G504" s="54" t="s">
        <v>124</v>
      </c>
      <c r="H504" s="56" t="n">
        <f aca="false">VLOOKUP(E504,Treatment_Table!$B$5:$E$11,4,FALSE())</f>
        <v>0</v>
      </c>
      <c r="I504" s="57" t="n">
        <f aca="false">F504*H504</f>
        <v>0</v>
      </c>
      <c r="J504" s="57" t="n">
        <f aca="false">IF(D504="Income",F504,-F504)</f>
        <v>-17954.2</v>
      </c>
    </row>
    <row r="505" customFormat="false" ht="15" hidden="false" customHeight="false" outlineLevel="0" collapsed="false">
      <c r="A505" s="54" t="s">
        <v>717</v>
      </c>
      <c r="B505" s="54" t="s">
        <v>230</v>
      </c>
      <c r="C505" s="54" t="s">
        <v>128</v>
      </c>
      <c r="D505" s="54" t="s">
        <v>188</v>
      </c>
      <c r="E505" s="54" t="s">
        <v>121</v>
      </c>
      <c r="F505" s="55" t="n">
        <v>59621.94</v>
      </c>
      <c r="G505" s="54" t="s">
        <v>128</v>
      </c>
      <c r="H505" s="56" t="n">
        <f aca="false">VLOOKUP(E505,Treatment_Table!$B$5:$E$11,4,FALSE())</f>
        <v>0</v>
      </c>
      <c r="I505" s="57" t="n">
        <f aca="false">F505*H505</f>
        <v>0</v>
      </c>
      <c r="J505" s="57" t="n">
        <f aca="false">IF(D505="Income",F505,-F505)</f>
        <v>-59621.94</v>
      </c>
    </row>
    <row r="506" customFormat="false" ht="15" hidden="false" customHeight="false" outlineLevel="0" collapsed="false">
      <c r="A506" s="54" t="s">
        <v>718</v>
      </c>
      <c r="B506" s="54" t="s">
        <v>247</v>
      </c>
      <c r="C506" s="54" t="s">
        <v>138</v>
      </c>
      <c r="D506" s="54" t="s">
        <v>188</v>
      </c>
      <c r="E506" s="54" t="s">
        <v>139</v>
      </c>
      <c r="F506" s="55" t="n">
        <v>4125.63</v>
      </c>
      <c r="G506" s="54" t="s">
        <v>138</v>
      </c>
      <c r="H506" s="56" t="n">
        <f aca="false">VLOOKUP(E506,Treatment_Table!$B$5:$E$11,4,FALSE())</f>
        <v>0.5</v>
      </c>
      <c r="I506" s="57" t="n">
        <f aca="false">F506*H506</f>
        <v>2062.815</v>
      </c>
      <c r="J506" s="57" t="n">
        <f aca="false">IF(D506="Income",F506,-F506)</f>
        <v>-4125.63</v>
      </c>
    </row>
    <row r="507" customFormat="false" ht="15" hidden="false" customHeight="false" outlineLevel="0" collapsed="false">
      <c r="A507" s="54" t="s">
        <v>719</v>
      </c>
      <c r="B507" s="54" t="s">
        <v>230</v>
      </c>
      <c r="C507" s="54" t="s">
        <v>123</v>
      </c>
      <c r="D507" s="54" t="s">
        <v>188</v>
      </c>
      <c r="E507" s="54" t="s">
        <v>121</v>
      </c>
      <c r="F507" s="55" t="n">
        <v>79163.45</v>
      </c>
      <c r="G507" s="54" t="s">
        <v>123</v>
      </c>
      <c r="H507" s="56" t="n">
        <f aca="false">VLOOKUP(E507,Treatment_Table!$B$5:$E$11,4,FALSE())</f>
        <v>0</v>
      </c>
      <c r="I507" s="57" t="n">
        <f aca="false">F507*H507</f>
        <v>0</v>
      </c>
      <c r="J507" s="57" t="n">
        <f aca="false">IF(D507="Income",F507,-F507)</f>
        <v>-79163.45</v>
      </c>
    </row>
    <row r="508" customFormat="false" ht="15" hidden="false" customHeight="false" outlineLevel="0" collapsed="false">
      <c r="A508" s="54" t="s">
        <v>720</v>
      </c>
      <c r="B508" s="54" t="s">
        <v>208</v>
      </c>
      <c r="C508" s="54" t="s">
        <v>123</v>
      </c>
      <c r="D508" s="54" t="s">
        <v>188</v>
      </c>
      <c r="E508" s="54" t="s">
        <v>121</v>
      </c>
      <c r="F508" s="55" t="n">
        <v>180644.66</v>
      </c>
      <c r="G508" s="54" t="s">
        <v>123</v>
      </c>
      <c r="H508" s="56" t="n">
        <f aca="false">VLOOKUP(E508,Treatment_Table!$B$5:$E$11,4,FALSE())</f>
        <v>0</v>
      </c>
      <c r="I508" s="57" t="n">
        <f aca="false">F508*H508</f>
        <v>0</v>
      </c>
      <c r="J508" s="57" t="n">
        <f aca="false">IF(D508="Income",F508,-F508)</f>
        <v>-180644.66</v>
      </c>
    </row>
    <row r="509" customFormat="false" ht="15" hidden="false" customHeight="false" outlineLevel="0" collapsed="false">
      <c r="A509" s="54" t="s">
        <v>721</v>
      </c>
      <c r="B509" s="54" t="s">
        <v>208</v>
      </c>
      <c r="C509" s="54" t="s">
        <v>123</v>
      </c>
      <c r="D509" s="54" t="s">
        <v>188</v>
      </c>
      <c r="E509" s="54" t="s">
        <v>121</v>
      </c>
      <c r="F509" s="55" t="n">
        <v>347361.17</v>
      </c>
      <c r="G509" s="54" t="s">
        <v>123</v>
      </c>
      <c r="H509" s="56" t="n">
        <f aca="false">VLOOKUP(E509,Treatment_Table!$B$5:$E$11,4,FALSE())</f>
        <v>0</v>
      </c>
      <c r="I509" s="57" t="n">
        <f aca="false">F509*H509</f>
        <v>0</v>
      </c>
      <c r="J509" s="57" t="n">
        <f aca="false">IF(D509="Income",F509,-F509)</f>
        <v>-347361.17</v>
      </c>
    </row>
    <row r="510" customFormat="false" ht="15" hidden="false" customHeight="false" outlineLevel="0" collapsed="false">
      <c r="A510" s="54" t="s">
        <v>722</v>
      </c>
      <c r="B510" s="54" t="s">
        <v>235</v>
      </c>
      <c r="C510" s="54" t="s">
        <v>133</v>
      </c>
      <c r="D510" s="54" t="s">
        <v>188</v>
      </c>
      <c r="E510" s="54" t="s">
        <v>134</v>
      </c>
      <c r="F510" s="55" t="n">
        <v>9175.3</v>
      </c>
      <c r="G510" s="54" t="s">
        <v>133</v>
      </c>
      <c r="H510" s="56" t="n">
        <f aca="false">VLOOKUP(E510,Treatment_Table!$B$5:$E$11,4,FALSE())</f>
        <v>1</v>
      </c>
      <c r="I510" s="57" t="n">
        <f aca="false">F510*H510</f>
        <v>9175.3</v>
      </c>
      <c r="J510" s="57" t="n">
        <f aca="false">IF(D510="Income",F510,-F510)</f>
        <v>-9175.3</v>
      </c>
    </row>
    <row r="511" customFormat="false" ht="15" hidden="false" customHeight="false" outlineLevel="0" collapsed="false">
      <c r="A511" s="54" t="s">
        <v>723</v>
      </c>
      <c r="B511" s="54" t="s">
        <v>205</v>
      </c>
      <c r="C511" s="54" t="s">
        <v>131</v>
      </c>
      <c r="D511" s="54" t="s">
        <v>188</v>
      </c>
      <c r="E511" s="54" t="s">
        <v>121</v>
      </c>
      <c r="F511" s="55" t="n">
        <v>97595.75</v>
      </c>
      <c r="G511" s="54" t="s">
        <v>131</v>
      </c>
      <c r="H511" s="56" t="n">
        <f aca="false">VLOOKUP(E511,Treatment_Table!$B$5:$E$11,4,FALSE())</f>
        <v>0</v>
      </c>
      <c r="I511" s="57" t="n">
        <f aca="false">F511*H511</f>
        <v>0</v>
      </c>
      <c r="J511" s="57" t="n">
        <f aca="false">IF(D511="Income",F511,-F511)</f>
        <v>-97595.75</v>
      </c>
    </row>
    <row r="512" customFormat="false" ht="15" hidden="false" customHeight="false" outlineLevel="0" collapsed="false">
      <c r="A512" s="54" t="s">
        <v>724</v>
      </c>
      <c r="B512" s="54" t="s">
        <v>210</v>
      </c>
      <c r="C512" s="54" t="s">
        <v>123</v>
      </c>
      <c r="D512" s="54" t="s">
        <v>188</v>
      </c>
      <c r="E512" s="54" t="s">
        <v>121</v>
      </c>
      <c r="F512" s="55" t="n">
        <v>75501.65</v>
      </c>
      <c r="G512" s="54" t="s">
        <v>123</v>
      </c>
      <c r="H512" s="56" t="n">
        <f aca="false">VLOOKUP(E512,Treatment_Table!$B$5:$E$11,4,FALSE())</f>
        <v>0</v>
      </c>
      <c r="I512" s="57" t="n">
        <f aca="false">F512*H512</f>
        <v>0</v>
      </c>
      <c r="J512" s="57" t="n">
        <f aca="false">IF(D512="Income",F512,-F512)</f>
        <v>-75501.65</v>
      </c>
    </row>
    <row r="513" customFormat="false" ht="15" hidden="false" customHeight="false" outlineLevel="0" collapsed="false">
      <c r="A513" s="54" t="s">
        <v>725</v>
      </c>
      <c r="B513" s="54" t="s">
        <v>205</v>
      </c>
      <c r="C513" s="54" t="s">
        <v>131</v>
      </c>
      <c r="D513" s="54" t="s">
        <v>188</v>
      </c>
      <c r="E513" s="54" t="s">
        <v>121</v>
      </c>
      <c r="F513" s="55" t="n">
        <v>109786.86</v>
      </c>
      <c r="G513" s="54" t="s">
        <v>131</v>
      </c>
      <c r="H513" s="56" t="n">
        <f aca="false">VLOOKUP(E513,Treatment_Table!$B$5:$E$11,4,FALSE())</f>
        <v>0</v>
      </c>
      <c r="I513" s="57" t="n">
        <f aca="false">F513*H513</f>
        <v>0</v>
      </c>
      <c r="J513" s="57" t="n">
        <f aca="false">IF(D513="Income",F513,-F513)</f>
        <v>-109786.86</v>
      </c>
    </row>
    <row r="514" customFormat="false" ht="15" hidden="false" customHeight="false" outlineLevel="0" collapsed="false">
      <c r="A514" s="54" t="s">
        <v>726</v>
      </c>
      <c r="B514" s="54" t="s">
        <v>230</v>
      </c>
      <c r="C514" s="54" t="s">
        <v>131</v>
      </c>
      <c r="D514" s="54" t="s">
        <v>188</v>
      </c>
      <c r="E514" s="54" t="s">
        <v>121</v>
      </c>
      <c r="F514" s="55" t="n">
        <v>41029.5</v>
      </c>
      <c r="G514" s="54" t="s">
        <v>131</v>
      </c>
      <c r="H514" s="56" t="n">
        <f aca="false">VLOOKUP(E514,Treatment_Table!$B$5:$E$11,4,FALSE())</f>
        <v>0</v>
      </c>
      <c r="I514" s="57" t="n">
        <f aca="false">F514*H514</f>
        <v>0</v>
      </c>
      <c r="J514" s="57" t="n">
        <f aca="false">IF(D514="Income",F514,-F514)</f>
        <v>-41029.5</v>
      </c>
    </row>
    <row r="515" customFormat="false" ht="15" hidden="false" customHeight="false" outlineLevel="0" collapsed="false">
      <c r="A515" s="54" t="s">
        <v>727</v>
      </c>
      <c r="B515" s="54" t="s">
        <v>228</v>
      </c>
      <c r="C515" s="54" t="s">
        <v>129</v>
      </c>
      <c r="D515" s="54" t="s">
        <v>188</v>
      </c>
      <c r="E515" s="54" t="s">
        <v>121</v>
      </c>
      <c r="F515" s="55" t="n">
        <v>12297.32</v>
      </c>
      <c r="G515" s="54" t="s">
        <v>129</v>
      </c>
      <c r="H515" s="56" t="n">
        <f aca="false">VLOOKUP(E515,Treatment_Table!$B$5:$E$11,4,FALSE())</f>
        <v>0</v>
      </c>
      <c r="I515" s="57" t="n">
        <f aca="false">F515*H515</f>
        <v>0</v>
      </c>
      <c r="J515" s="57" t="n">
        <f aca="false">IF(D515="Income",F515,-F515)</f>
        <v>-12297.32</v>
      </c>
    </row>
    <row r="516" customFormat="false" ht="15" hidden="false" customHeight="false" outlineLevel="0" collapsed="false">
      <c r="A516" s="54" t="s">
        <v>728</v>
      </c>
      <c r="B516" s="54" t="s">
        <v>210</v>
      </c>
      <c r="C516" s="54" t="s">
        <v>128</v>
      </c>
      <c r="D516" s="54" t="s">
        <v>188</v>
      </c>
      <c r="E516" s="54" t="s">
        <v>121</v>
      </c>
      <c r="F516" s="55" t="n">
        <v>43971.05</v>
      </c>
      <c r="G516" s="54" t="s">
        <v>128</v>
      </c>
      <c r="H516" s="56" t="n">
        <f aca="false">VLOOKUP(E516,Treatment_Table!$B$5:$E$11,4,FALSE())</f>
        <v>0</v>
      </c>
      <c r="I516" s="57" t="n">
        <f aca="false">F516*H516</f>
        <v>0</v>
      </c>
      <c r="J516" s="57" t="n">
        <f aca="false">IF(D516="Income",F516,-F516)</f>
        <v>-43971.05</v>
      </c>
    </row>
    <row r="517" customFormat="false" ht="15" hidden="false" customHeight="false" outlineLevel="0" collapsed="false">
      <c r="A517" s="54" t="s">
        <v>729</v>
      </c>
      <c r="B517" s="54" t="s">
        <v>230</v>
      </c>
      <c r="C517" s="54" t="s">
        <v>131</v>
      </c>
      <c r="D517" s="54" t="s">
        <v>188</v>
      </c>
      <c r="E517" s="54" t="s">
        <v>121</v>
      </c>
      <c r="F517" s="55" t="n">
        <v>78405.3</v>
      </c>
      <c r="G517" s="54" t="s">
        <v>131</v>
      </c>
      <c r="H517" s="56" t="n">
        <f aca="false">VLOOKUP(E517,Treatment_Table!$B$5:$E$11,4,FALSE())</f>
        <v>0</v>
      </c>
      <c r="I517" s="57" t="n">
        <f aca="false">F517*H517</f>
        <v>0</v>
      </c>
      <c r="J517" s="57" t="n">
        <f aca="false">IF(D517="Income",F517,-F517)</f>
        <v>-78405.3</v>
      </c>
    </row>
    <row r="518" customFormat="false" ht="15" hidden="false" customHeight="false" outlineLevel="0" collapsed="false">
      <c r="A518" s="54" t="s">
        <v>730</v>
      </c>
      <c r="B518" s="54" t="s">
        <v>223</v>
      </c>
      <c r="C518" s="54" t="s">
        <v>131</v>
      </c>
      <c r="D518" s="54" t="s">
        <v>188</v>
      </c>
      <c r="E518" s="54" t="s">
        <v>121</v>
      </c>
      <c r="F518" s="55" t="n">
        <v>134983.42</v>
      </c>
      <c r="G518" s="54" t="s">
        <v>131</v>
      </c>
      <c r="H518" s="56" t="n">
        <f aca="false">VLOOKUP(E518,Treatment_Table!$B$5:$E$11,4,FALSE())</f>
        <v>0</v>
      </c>
      <c r="I518" s="57" t="n">
        <f aca="false">F518*H518</f>
        <v>0</v>
      </c>
      <c r="J518" s="57" t="n">
        <f aca="false">IF(D518="Income",F518,-F518)</f>
        <v>-134983.42</v>
      </c>
    </row>
    <row r="519" customFormat="false" ht="15" hidden="false" customHeight="false" outlineLevel="0" collapsed="false">
      <c r="A519" s="54" t="s">
        <v>731</v>
      </c>
      <c r="B519" s="54" t="s">
        <v>216</v>
      </c>
      <c r="C519" s="54" t="s">
        <v>131</v>
      </c>
      <c r="D519" s="54" t="s">
        <v>188</v>
      </c>
      <c r="E519" s="54" t="s">
        <v>121</v>
      </c>
      <c r="F519" s="55" t="n">
        <v>192620.76</v>
      </c>
      <c r="G519" s="54" t="s">
        <v>131</v>
      </c>
      <c r="H519" s="56" t="n">
        <f aca="false">VLOOKUP(E519,Treatment_Table!$B$5:$E$11,4,FALSE())</f>
        <v>0</v>
      </c>
      <c r="I519" s="57" t="n">
        <f aca="false">F519*H519</f>
        <v>0</v>
      </c>
      <c r="J519" s="57" t="n">
        <f aca="false">IF(D519="Income",F519,-F519)</f>
        <v>-192620.76</v>
      </c>
    </row>
    <row r="520" customFormat="false" ht="15" hidden="false" customHeight="false" outlineLevel="0" collapsed="false">
      <c r="A520" s="54" t="s">
        <v>732</v>
      </c>
      <c r="B520" s="54" t="s">
        <v>205</v>
      </c>
      <c r="C520" s="54" t="s">
        <v>131</v>
      </c>
      <c r="D520" s="54" t="s">
        <v>188</v>
      </c>
      <c r="E520" s="54" t="s">
        <v>121</v>
      </c>
      <c r="F520" s="55" t="n">
        <v>112296.98</v>
      </c>
      <c r="G520" s="54" t="s">
        <v>131</v>
      </c>
      <c r="H520" s="56" t="n">
        <f aca="false">VLOOKUP(E520,Treatment_Table!$B$5:$E$11,4,FALSE())</f>
        <v>0</v>
      </c>
      <c r="I520" s="57" t="n">
        <f aca="false">F520*H520</f>
        <v>0</v>
      </c>
      <c r="J520" s="57" t="n">
        <f aca="false">IF(D520="Income",F520,-F520)</f>
        <v>-112296.98</v>
      </c>
    </row>
    <row r="521" customFormat="false" ht="15" hidden="false" customHeight="false" outlineLevel="0" collapsed="false">
      <c r="A521" s="54" t="s">
        <v>733</v>
      </c>
      <c r="B521" s="54" t="s">
        <v>228</v>
      </c>
      <c r="C521" s="54" t="s">
        <v>138</v>
      </c>
      <c r="D521" s="54" t="s">
        <v>188</v>
      </c>
      <c r="E521" s="54" t="s">
        <v>139</v>
      </c>
      <c r="F521" s="55" t="n">
        <v>5505.85</v>
      </c>
      <c r="G521" s="54" t="s">
        <v>138</v>
      </c>
      <c r="H521" s="56" t="n">
        <f aca="false">VLOOKUP(E521,Treatment_Table!$B$5:$E$11,4,FALSE())</f>
        <v>0.5</v>
      </c>
      <c r="I521" s="57" t="n">
        <f aca="false">F521*H521</f>
        <v>2752.925</v>
      </c>
      <c r="J521" s="57" t="n">
        <f aca="false">IF(D521="Income",F521,-F521)</f>
        <v>-5505.85</v>
      </c>
    </row>
    <row r="522" customFormat="false" ht="15" hidden="false" customHeight="false" outlineLevel="0" collapsed="false">
      <c r="A522" s="54" t="s">
        <v>734</v>
      </c>
      <c r="B522" s="54" t="s">
        <v>228</v>
      </c>
      <c r="C522" s="54" t="s">
        <v>138</v>
      </c>
      <c r="D522" s="54" t="s">
        <v>188</v>
      </c>
      <c r="E522" s="54" t="s">
        <v>139</v>
      </c>
      <c r="F522" s="55" t="n">
        <v>7501.77</v>
      </c>
      <c r="G522" s="54" t="s">
        <v>138</v>
      </c>
      <c r="H522" s="56" t="n">
        <f aca="false">VLOOKUP(E522,Treatment_Table!$B$5:$E$11,4,FALSE())</f>
        <v>0.5</v>
      </c>
      <c r="I522" s="57" t="n">
        <f aca="false">F522*H522</f>
        <v>3750.885</v>
      </c>
      <c r="J522" s="57" t="n">
        <f aca="false">IF(D522="Income",F522,-F522)</f>
        <v>-7501.77</v>
      </c>
    </row>
    <row r="523" customFormat="false" ht="15" hidden="false" customHeight="false" outlineLevel="0" collapsed="false">
      <c r="A523" s="54" t="s">
        <v>735</v>
      </c>
      <c r="B523" s="54" t="s">
        <v>228</v>
      </c>
      <c r="C523" s="54" t="s">
        <v>131</v>
      </c>
      <c r="D523" s="54" t="s">
        <v>188</v>
      </c>
      <c r="E523" s="54" t="s">
        <v>121</v>
      </c>
      <c r="F523" s="55" t="n">
        <v>80043.58</v>
      </c>
      <c r="G523" s="54" t="s">
        <v>131</v>
      </c>
      <c r="H523" s="56" t="n">
        <f aca="false">VLOOKUP(E523,Treatment_Table!$B$5:$E$11,4,FALSE())</f>
        <v>0</v>
      </c>
      <c r="I523" s="57" t="n">
        <f aca="false">F523*H523</f>
        <v>0</v>
      </c>
      <c r="J523" s="57" t="n">
        <f aca="false">IF(D523="Income",F523,-F523)</f>
        <v>-80043.58</v>
      </c>
    </row>
    <row r="524" customFormat="false" ht="15" hidden="false" customHeight="false" outlineLevel="0" collapsed="false">
      <c r="A524" s="54" t="s">
        <v>736</v>
      </c>
      <c r="B524" s="54" t="s">
        <v>230</v>
      </c>
      <c r="C524" s="54" t="s">
        <v>130</v>
      </c>
      <c r="D524" s="54" t="s">
        <v>188</v>
      </c>
      <c r="E524" s="54" t="s">
        <v>121</v>
      </c>
      <c r="F524" s="55" t="n">
        <v>53587.53</v>
      </c>
      <c r="G524" s="54" t="s">
        <v>130</v>
      </c>
      <c r="H524" s="56" t="n">
        <f aca="false">VLOOKUP(E524,Treatment_Table!$B$5:$E$11,4,FALSE())</f>
        <v>0</v>
      </c>
      <c r="I524" s="57" t="n">
        <f aca="false">F524*H524</f>
        <v>0</v>
      </c>
      <c r="J524" s="57" t="n">
        <f aca="false">IF(D524="Income",F524,-F524)</f>
        <v>-53587.53</v>
      </c>
    </row>
    <row r="525" customFormat="false" ht="15" hidden="false" customHeight="false" outlineLevel="0" collapsed="false">
      <c r="A525" s="54" t="s">
        <v>737</v>
      </c>
      <c r="B525" s="54" t="s">
        <v>230</v>
      </c>
      <c r="C525" s="54" t="s">
        <v>123</v>
      </c>
      <c r="D525" s="54" t="s">
        <v>188</v>
      </c>
      <c r="E525" s="54" t="s">
        <v>121</v>
      </c>
      <c r="F525" s="55" t="n">
        <v>227551.07</v>
      </c>
      <c r="G525" s="54" t="s">
        <v>123</v>
      </c>
      <c r="H525" s="56" t="n">
        <f aca="false">VLOOKUP(E525,Treatment_Table!$B$5:$E$11,4,FALSE())</f>
        <v>0</v>
      </c>
      <c r="I525" s="57" t="n">
        <f aca="false">F525*H525</f>
        <v>0</v>
      </c>
      <c r="J525" s="57" t="n">
        <f aca="false">IF(D525="Income",F525,-F525)</f>
        <v>-227551.07</v>
      </c>
    </row>
    <row r="526" customFormat="false" ht="15" hidden="false" customHeight="false" outlineLevel="0" collapsed="false">
      <c r="A526" s="54" t="s">
        <v>738</v>
      </c>
      <c r="B526" s="54" t="s">
        <v>210</v>
      </c>
      <c r="C526" s="54" t="s">
        <v>131</v>
      </c>
      <c r="D526" s="54" t="s">
        <v>188</v>
      </c>
      <c r="E526" s="54" t="s">
        <v>121</v>
      </c>
      <c r="F526" s="55" t="n">
        <v>30548.3</v>
      </c>
      <c r="G526" s="54" t="s">
        <v>131</v>
      </c>
      <c r="H526" s="56" t="n">
        <f aca="false">VLOOKUP(E526,Treatment_Table!$B$5:$E$11,4,FALSE())</f>
        <v>0</v>
      </c>
      <c r="I526" s="57" t="n">
        <f aca="false">F526*H526</f>
        <v>0</v>
      </c>
      <c r="J526" s="57" t="n">
        <f aca="false">IF(D526="Income",F526,-F526)</f>
        <v>-30548.3</v>
      </c>
    </row>
    <row r="527" customFormat="false" ht="15" hidden="false" customHeight="false" outlineLevel="0" collapsed="false">
      <c r="A527" s="54" t="s">
        <v>739</v>
      </c>
      <c r="B527" s="54" t="s">
        <v>218</v>
      </c>
      <c r="C527" s="54" t="s">
        <v>138</v>
      </c>
      <c r="D527" s="54" t="s">
        <v>188</v>
      </c>
      <c r="E527" s="54" t="s">
        <v>139</v>
      </c>
      <c r="F527" s="55" t="n">
        <v>5997.53</v>
      </c>
      <c r="G527" s="54" t="s">
        <v>138</v>
      </c>
      <c r="H527" s="56" t="n">
        <f aca="false">VLOOKUP(E527,Treatment_Table!$B$5:$E$11,4,FALSE())</f>
        <v>0.5</v>
      </c>
      <c r="I527" s="57" t="n">
        <f aca="false">F527*H527</f>
        <v>2998.765</v>
      </c>
      <c r="J527" s="57" t="n">
        <f aca="false">IF(D527="Income",F527,-F527)</f>
        <v>-5997.53</v>
      </c>
    </row>
    <row r="528" customFormat="false" ht="15" hidden="false" customHeight="false" outlineLevel="0" collapsed="false">
      <c r="A528" s="54" t="s">
        <v>740</v>
      </c>
      <c r="B528" s="54" t="s">
        <v>223</v>
      </c>
      <c r="C528" s="54" t="s">
        <v>131</v>
      </c>
      <c r="D528" s="54" t="s">
        <v>188</v>
      </c>
      <c r="E528" s="54" t="s">
        <v>121</v>
      </c>
      <c r="F528" s="55" t="n">
        <v>220807.93</v>
      </c>
      <c r="G528" s="54" t="s">
        <v>131</v>
      </c>
      <c r="H528" s="56" t="n">
        <f aca="false">VLOOKUP(E528,Treatment_Table!$B$5:$E$11,4,FALSE())</f>
        <v>0</v>
      </c>
      <c r="I528" s="57" t="n">
        <f aca="false">F528*H528</f>
        <v>0</v>
      </c>
      <c r="J528" s="57" t="n">
        <f aca="false">IF(D528="Income",F528,-F528)</f>
        <v>-220807.93</v>
      </c>
    </row>
    <row r="529" customFormat="false" ht="15" hidden="false" customHeight="false" outlineLevel="0" collapsed="false">
      <c r="A529" s="54" t="s">
        <v>741</v>
      </c>
      <c r="B529" s="54" t="s">
        <v>218</v>
      </c>
      <c r="C529" s="54" t="s">
        <v>131</v>
      </c>
      <c r="D529" s="54" t="s">
        <v>188</v>
      </c>
      <c r="E529" s="54" t="s">
        <v>121</v>
      </c>
      <c r="F529" s="55" t="n">
        <v>56239.59</v>
      </c>
      <c r="G529" s="54" t="s">
        <v>131</v>
      </c>
      <c r="H529" s="56" t="n">
        <f aca="false">VLOOKUP(E529,Treatment_Table!$B$5:$E$11,4,FALSE())</f>
        <v>0</v>
      </c>
      <c r="I529" s="57" t="n">
        <f aca="false">F529*H529</f>
        <v>0</v>
      </c>
      <c r="J529" s="57" t="n">
        <f aca="false">IF(D529="Income",F529,-F529)</f>
        <v>-56239.59</v>
      </c>
    </row>
    <row r="530" customFormat="false" ht="15" hidden="false" customHeight="false" outlineLevel="0" collapsed="false">
      <c r="A530" s="54" t="s">
        <v>742</v>
      </c>
      <c r="B530" s="54" t="s">
        <v>247</v>
      </c>
      <c r="C530" s="54" t="s">
        <v>124</v>
      </c>
      <c r="D530" s="54" t="s">
        <v>188</v>
      </c>
      <c r="E530" s="54" t="s">
        <v>121</v>
      </c>
      <c r="F530" s="55" t="n">
        <v>34474.11</v>
      </c>
      <c r="G530" s="54" t="s">
        <v>124</v>
      </c>
      <c r="H530" s="56" t="n">
        <f aca="false">VLOOKUP(E530,Treatment_Table!$B$5:$E$11,4,FALSE())</f>
        <v>0</v>
      </c>
      <c r="I530" s="57" t="n">
        <f aca="false">F530*H530</f>
        <v>0</v>
      </c>
      <c r="J530" s="57" t="n">
        <f aca="false">IF(D530="Income",F530,-F530)</f>
        <v>-34474.11</v>
      </c>
    </row>
    <row r="531" customFormat="false" ht="15" hidden="false" customHeight="false" outlineLevel="0" collapsed="false">
      <c r="A531" s="54" t="s">
        <v>743</v>
      </c>
      <c r="B531" s="54" t="s">
        <v>218</v>
      </c>
      <c r="C531" s="54" t="s">
        <v>131</v>
      </c>
      <c r="D531" s="54" t="s">
        <v>188</v>
      </c>
      <c r="E531" s="54" t="s">
        <v>121</v>
      </c>
      <c r="F531" s="55" t="n">
        <v>58529.41</v>
      </c>
      <c r="G531" s="54" t="s">
        <v>131</v>
      </c>
      <c r="H531" s="56" t="n">
        <f aca="false">VLOOKUP(E531,Treatment_Table!$B$5:$E$11,4,FALSE())</f>
        <v>0</v>
      </c>
      <c r="I531" s="57" t="n">
        <f aca="false">F531*H531</f>
        <v>0</v>
      </c>
      <c r="J531" s="57" t="n">
        <f aca="false">IF(D531="Income",F531,-F531)</f>
        <v>-58529.41</v>
      </c>
    </row>
    <row r="532" customFormat="false" ht="15" hidden="false" customHeight="false" outlineLevel="0" collapsed="false">
      <c r="A532" s="54" t="s">
        <v>744</v>
      </c>
      <c r="B532" s="54" t="s">
        <v>216</v>
      </c>
      <c r="C532" s="54" t="s">
        <v>132</v>
      </c>
      <c r="D532" s="54" t="s">
        <v>188</v>
      </c>
      <c r="E532" s="54" t="s">
        <v>121</v>
      </c>
      <c r="F532" s="55" t="n">
        <v>19929.98</v>
      </c>
      <c r="G532" s="54" t="s">
        <v>132</v>
      </c>
      <c r="H532" s="56" t="n">
        <f aca="false">VLOOKUP(E532,Treatment_Table!$B$5:$E$11,4,FALSE())</f>
        <v>0</v>
      </c>
      <c r="I532" s="57" t="n">
        <f aca="false">F532*H532</f>
        <v>0</v>
      </c>
      <c r="J532" s="57" t="n">
        <f aca="false">IF(D532="Income",F532,-F532)</f>
        <v>-19929.98</v>
      </c>
    </row>
    <row r="533" customFormat="false" ht="15" hidden="false" customHeight="false" outlineLevel="0" collapsed="false">
      <c r="A533" s="54" t="s">
        <v>745</v>
      </c>
      <c r="B533" s="54" t="s">
        <v>223</v>
      </c>
      <c r="C533" s="54" t="s">
        <v>122</v>
      </c>
      <c r="D533" s="54" t="s">
        <v>188</v>
      </c>
      <c r="E533" s="54" t="s">
        <v>121</v>
      </c>
      <c r="F533" s="55" t="n">
        <v>3788.56</v>
      </c>
      <c r="G533" s="54" t="s">
        <v>122</v>
      </c>
      <c r="H533" s="56" t="n">
        <f aca="false">VLOOKUP(E533,Treatment_Table!$B$5:$E$11,4,FALSE())</f>
        <v>0</v>
      </c>
      <c r="I533" s="57" t="n">
        <f aca="false">F533*H533</f>
        <v>0</v>
      </c>
      <c r="J533" s="57" t="n">
        <f aca="false">IF(D533="Income",F533,-F533)</f>
        <v>-3788.56</v>
      </c>
    </row>
    <row r="534" customFormat="false" ht="15" hidden="false" customHeight="false" outlineLevel="0" collapsed="false">
      <c r="A534" s="54" t="s">
        <v>746</v>
      </c>
      <c r="B534" s="54" t="s">
        <v>205</v>
      </c>
      <c r="C534" s="54" t="s">
        <v>131</v>
      </c>
      <c r="D534" s="54" t="s">
        <v>188</v>
      </c>
      <c r="E534" s="54" t="s">
        <v>121</v>
      </c>
      <c r="F534" s="55" t="n">
        <v>70357.32</v>
      </c>
      <c r="G534" s="54" t="s">
        <v>131</v>
      </c>
      <c r="H534" s="56" t="n">
        <f aca="false">VLOOKUP(E534,Treatment_Table!$B$5:$E$11,4,FALSE())</f>
        <v>0</v>
      </c>
      <c r="I534" s="57" t="n">
        <f aca="false">F534*H534</f>
        <v>0</v>
      </c>
      <c r="J534" s="57" t="n">
        <f aca="false">IF(D534="Income",F534,-F534)</f>
        <v>-70357.32</v>
      </c>
    </row>
    <row r="535" customFormat="false" ht="15" hidden="false" customHeight="false" outlineLevel="0" collapsed="false">
      <c r="A535" s="54" t="s">
        <v>747</v>
      </c>
      <c r="B535" s="54" t="s">
        <v>214</v>
      </c>
      <c r="C535" s="54" t="s">
        <v>132</v>
      </c>
      <c r="D535" s="54" t="s">
        <v>188</v>
      </c>
      <c r="E535" s="54" t="s">
        <v>121</v>
      </c>
      <c r="F535" s="55" t="n">
        <v>9511.14</v>
      </c>
      <c r="G535" s="54" t="s">
        <v>132</v>
      </c>
      <c r="H535" s="56" t="n">
        <f aca="false">VLOOKUP(E535,Treatment_Table!$B$5:$E$11,4,FALSE())</f>
        <v>0</v>
      </c>
      <c r="I535" s="57" t="n">
        <f aca="false">F535*H535</f>
        <v>0</v>
      </c>
      <c r="J535" s="57" t="n">
        <f aca="false">IF(D535="Income",F535,-F535)</f>
        <v>-9511.14</v>
      </c>
    </row>
    <row r="536" customFormat="false" ht="15" hidden="false" customHeight="false" outlineLevel="0" collapsed="false">
      <c r="A536" s="54" t="s">
        <v>748</v>
      </c>
      <c r="B536" s="54" t="s">
        <v>210</v>
      </c>
      <c r="C536" s="54" t="s">
        <v>131</v>
      </c>
      <c r="D536" s="54" t="s">
        <v>188</v>
      </c>
      <c r="E536" s="54" t="s">
        <v>121</v>
      </c>
      <c r="F536" s="55" t="n">
        <v>128928.53</v>
      </c>
      <c r="G536" s="54" t="s">
        <v>131</v>
      </c>
      <c r="H536" s="56" t="n">
        <f aca="false">VLOOKUP(E536,Treatment_Table!$B$5:$E$11,4,FALSE())</f>
        <v>0</v>
      </c>
      <c r="I536" s="57" t="n">
        <f aca="false">F536*H536</f>
        <v>0</v>
      </c>
      <c r="J536" s="57" t="n">
        <f aca="false">IF(D536="Income",F536,-F536)</f>
        <v>-128928.53</v>
      </c>
    </row>
    <row r="537" customFormat="false" ht="15" hidden="false" customHeight="false" outlineLevel="0" collapsed="false">
      <c r="A537" s="54" t="s">
        <v>749</v>
      </c>
      <c r="B537" s="54" t="s">
        <v>210</v>
      </c>
      <c r="C537" s="54" t="s">
        <v>129</v>
      </c>
      <c r="D537" s="54" t="s">
        <v>188</v>
      </c>
      <c r="E537" s="54" t="s">
        <v>121</v>
      </c>
      <c r="F537" s="55" t="n">
        <v>151661.96</v>
      </c>
      <c r="G537" s="54" t="s">
        <v>129</v>
      </c>
      <c r="H537" s="56" t="n">
        <f aca="false">VLOOKUP(E537,Treatment_Table!$B$5:$E$11,4,FALSE())</f>
        <v>0</v>
      </c>
      <c r="I537" s="57" t="n">
        <f aca="false">F537*H537</f>
        <v>0</v>
      </c>
      <c r="J537" s="57" t="n">
        <f aca="false">IF(D537="Income",F537,-F537)</f>
        <v>-151661.96</v>
      </c>
    </row>
    <row r="538" customFormat="false" ht="15" hidden="false" customHeight="false" outlineLevel="0" collapsed="false">
      <c r="A538" s="54" t="s">
        <v>750</v>
      </c>
      <c r="B538" s="54" t="s">
        <v>223</v>
      </c>
      <c r="C538" s="54" t="s">
        <v>123</v>
      </c>
      <c r="D538" s="54" t="s">
        <v>188</v>
      </c>
      <c r="E538" s="54" t="s">
        <v>121</v>
      </c>
      <c r="F538" s="55" t="n">
        <v>99889.91</v>
      </c>
      <c r="G538" s="54" t="s">
        <v>123</v>
      </c>
      <c r="H538" s="56" t="n">
        <f aca="false">VLOOKUP(E538,Treatment_Table!$B$5:$E$11,4,FALSE())</f>
        <v>0</v>
      </c>
      <c r="I538" s="57" t="n">
        <f aca="false">F538*H538</f>
        <v>0</v>
      </c>
      <c r="J538" s="57" t="n">
        <f aca="false">IF(D538="Income",F538,-F538)</f>
        <v>-99889.91</v>
      </c>
    </row>
    <row r="539" customFormat="false" ht="15" hidden="false" customHeight="false" outlineLevel="0" collapsed="false">
      <c r="A539" s="54" t="s">
        <v>751</v>
      </c>
      <c r="B539" s="54" t="s">
        <v>223</v>
      </c>
      <c r="C539" s="54" t="s">
        <v>129</v>
      </c>
      <c r="D539" s="54" t="s">
        <v>188</v>
      </c>
      <c r="E539" s="54" t="s">
        <v>121</v>
      </c>
      <c r="F539" s="55" t="n">
        <v>21328.51</v>
      </c>
      <c r="G539" s="54" t="s">
        <v>129</v>
      </c>
      <c r="H539" s="56" t="n">
        <f aca="false">VLOOKUP(E539,Treatment_Table!$B$5:$E$11,4,FALSE())</f>
        <v>0</v>
      </c>
      <c r="I539" s="57" t="n">
        <f aca="false">F539*H539</f>
        <v>0</v>
      </c>
      <c r="J539" s="57" t="n">
        <f aca="false">IF(D539="Income",F539,-F539)</f>
        <v>-21328.51</v>
      </c>
    </row>
    <row r="540" customFormat="false" ht="15" hidden="false" customHeight="false" outlineLevel="0" collapsed="false">
      <c r="A540" s="54" t="s">
        <v>752</v>
      </c>
      <c r="B540" s="54" t="s">
        <v>210</v>
      </c>
      <c r="C540" s="54" t="s">
        <v>130</v>
      </c>
      <c r="D540" s="54" t="s">
        <v>188</v>
      </c>
      <c r="E540" s="54" t="s">
        <v>121</v>
      </c>
      <c r="F540" s="55" t="n">
        <v>62224.12</v>
      </c>
      <c r="G540" s="54" t="s">
        <v>130</v>
      </c>
      <c r="H540" s="56" t="n">
        <f aca="false">VLOOKUP(E540,Treatment_Table!$B$5:$E$11,4,FALSE())</f>
        <v>0</v>
      </c>
      <c r="I540" s="57" t="n">
        <f aca="false">F540*H540</f>
        <v>0</v>
      </c>
      <c r="J540" s="57" t="n">
        <f aca="false">IF(D540="Income",F540,-F540)</f>
        <v>-62224.12</v>
      </c>
    </row>
    <row r="541" customFormat="false" ht="15" hidden="false" customHeight="false" outlineLevel="0" collapsed="false">
      <c r="A541" s="54" t="s">
        <v>753</v>
      </c>
      <c r="B541" s="54" t="s">
        <v>228</v>
      </c>
      <c r="C541" s="54" t="s">
        <v>138</v>
      </c>
      <c r="D541" s="54" t="s">
        <v>188</v>
      </c>
      <c r="E541" s="54" t="s">
        <v>139</v>
      </c>
      <c r="F541" s="55" t="n">
        <v>4636.87</v>
      </c>
      <c r="G541" s="54" t="s">
        <v>138</v>
      </c>
      <c r="H541" s="56" t="n">
        <f aca="false">VLOOKUP(E541,Treatment_Table!$B$5:$E$11,4,FALSE())</f>
        <v>0.5</v>
      </c>
      <c r="I541" s="57" t="n">
        <f aca="false">F541*H541</f>
        <v>2318.435</v>
      </c>
      <c r="J541" s="57" t="n">
        <f aca="false">IF(D541="Income",F541,-F541)</f>
        <v>-4636.87</v>
      </c>
    </row>
    <row r="542" customFormat="false" ht="15" hidden="false" customHeight="false" outlineLevel="0" collapsed="false">
      <c r="A542" s="54" t="s">
        <v>754</v>
      </c>
      <c r="B542" s="54" t="s">
        <v>228</v>
      </c>
      <c r="C542" s="54" t="s">
        <v>131</v>
      </c>
      <c r="D542" s="54" t="s">
        <v>188</v>
      </c>
      <c r="E542" s="54" t="s">
        <v>121</v>
      </c>
      <c r="F542" s="55" t="n">
        <v>54153.4</v>
      </c>
      <c r="G542" s="54" t="s">
        <v>131</v>
      </c>
      <c r="H542" s="56" t="n">
        <f aca="false">VLOOKUP(E542,Treatment_Table!$B$5:$E$11,4,FALSE())</f>
        <v>0</v>
      </c>
      <c r="I542" s="57" t="n">
        <f aca="false">F542*H542</f>
        <v>0</v>
      </c>
      <c r="J542" s="57" t="n">
        <f aca="false">IF(D542="Income",F542,-F542)</f>
        <v>-54153.4</v>
      </c>
    </row>
    <row r="543" customFormat="false" ht="15" hidden="false" customHeight="false" outlineLevel="0" collapsed="false">
      <c r="A543" s="54" t="s">
        <v>755</v>
      </c>
      <c r="B543" s="54" t="s">
        <v>228</v>
      </c>
      <c r="C543" s="54" t="s">
        <v>131</v>
      </c>
      <c r="D543" s="54" t="s">
        <v>188</v>
      </c>
      <c r="E543" s="54" t="s">
        <v>121</v>
      </c>
      <c r="F543" s="55" t="n">
        <v>44419.73</v>
      </c>
      <c r="G543" s="54" t="s">
        <v>131</v>
      </c>
      <c r="H543" s="56" t="n">
        <f aca="false">VLOOKUP(E543,Treatment_Table!$B$5:$E$11,4,FALSE())</f>
        <v>0</v>
      </c>
      <c r="I543" s="57" t="n">
        <f aca="false">F543*H543</f>
        <v>0</v>
      </c>
      <c r="J543" s="57" t="n">
        <f aca="false">IF(D543="Income",F543,-F543)</f>
        <v>-44419.73</v>
      </c>
    </row>
    <row r="544" customFormat="false" ht="15" hidden="false" customHeight="false" outlineLevel="0" collapsed="false">
      <c r="A544" s="54" t="s">
        <v>756</v>
      </c>
      <c r="B544" s="54" t="s">
        <v>223</v>
      </c>
      <c r="C544" s="54" t="s">
        <v>138</v>
      </c>
      <c r="D544" s="54" t="s">
        <v>188</v>
      </c>
      <c r="E544" s="54" t="s">
        <v>139</v>
      </c>
      <c r="F544" s="55" t="n">
        <v>4066.35</v>
      </c>
      <c r="G544" s="54" t="s">
        <v>138</v>
      </c>
      <c r="H544" s="56" t="n">
        <f aca="false">VLOOKUP(E544,Treatment_Table!$B$5:$E$11,4,FALSE())</f>
        <v>0.5</v>
      </c>
      <c r="I544" s="57" t="n">
        <f aca="false">F544*H544</f>
        <v>2033.175</v>
      </c>
      <c r="J544" s="57" t="n">
        <f aca="false">IF(D544="Income",F544,-F544)</f>
        <v>-4066.35</v>
      </c>
    </row>
    <row r="545" customFormat="false" ht="15" hidden="false" customHeight="false" outlineLevel="0" collapsed="false">
      <c r="A545" s="54" t="s">
        <v>757</v>
      </c>
      <c r="B545" s="54" t="s">
        <v>235</v>
      </c>
      <c r="C545" s="54" t="s">
        <v>140</v>
      </c>
      <c r="D545" s="54" t="s">
        <v>188</v>
      </c>
      <c r="E545" s="54" t="s">
        <v>141</v>
      </c>
      <c r="F545" s="55" t="n">
        <v>87938.25</v>
      </c>
      <c r="G545" s="54" t="s">
        <v>140</v>
      </c>
      <c r="H545" s="56" t="n">
        <f aca="false">VLOOKUP(E545,Treatment_Table!$B$5:$E$11,4,FALSE())</f>
        <v>0</v>
      </c>
      <c r="I545" s="57" t="n">
        <f aca="false">F545*H545</f>
        <v>0</v>
      </c>
      <c r="J545" s="57" t="n">
        <f aca="false">IF(D545="Income",F545,-F545)</f>
        <v>-87938.25</v>
      </c>
    </row>
    <row r="546" customFormat="false" ht="15" hidden="false" customHeight="false" outlineLevel="0" collapsed="false">
      <c r="A546" s="54" t="s">
        <v>758</v>
      </c>
      <c r="B546" s="54" t="s">
        <v>235</v>
      </c>
      <c r="C546" s="54" t="s">
        <v>130</v>
      </c>
      <c r="D546" s="54" t="s">
        <v>188</v>
      </c>
      <c r="E546" s="54" t="s">
        <v>121</v>
      </c>
      <c r="F546" s="55" t="n">
        <v>32228.53</v>
      </c>
      <c r="G546" s="54" t="s">
        <v>130</v>
      </c>
      <c r="H546" s="56" t="n">
        <f aca="false">VLOOKUP(E546,Treatment_Table!$B$5:$E$11,4,FALSE())</f>
        <v>0</v>
      </c>
      <c r="I546" s="57" t="n">
        <f aca="false">F546*H546</f>
        <v>0</v>
      </c>
      <c r="J546" s="57" t="n">
        <f aca="false">IF(D546="Income",F546,-F546)</f>
        <v>-32228.53</v>
      </c>
    </row>
    <row r="547" customFormat="false" ht="15" hidden="false" customHeight="false" outlineLevel="0" collapsed="false">
      <c r="A547" s="54" t="s">
        <v>759</v>
      </c>
      <c r="B547" s="54" t="s">
        <v>214</v>
      </c>
      <c r="C547" s="54" t="s">
        <v>132</v>
      </c>
      <c r="D547" s="54" t="s">
        <v>188</v>
      </c>
      <c r="E547" s="54" t="s">
        <v>121</v>
      </c>
      <c r="F547" s="55" t="n">
        <v>8853.92</v>
      </c>
      <c r="G547" s="54" t="s">
        <v>132</v>
      </c>
      <c r="H547" s="56" t="n">
        <f aca="false">VLOOKUP(E547,Treatment_Table!$B$5:$E$11,4,FALSE())</f>
        <v>0</v>
      </c>
      <c r="I547" s="57" t="n">
        <f aca="false">F547*H547</f>
        <v>0</v>
      </c>
      <c r="J547" s="57" t="n">
        <f aca="false">IF(D547="Income",F547,-F547)</f>
        <v>-8853.92</v>
      </c>
    </row>
    <row r="548" customFormat="false" ht="15" hidden="false" customHeight="false" outlineLevel="0" collapsed="false">
      <c r="A548" s="54" t="s">
        <v>760</v>
      </c>
      <c r="B548" s="54" t="s">
        <v>218</v>
      </c>
      <c r="C548" s="54" t="s">
        <v>130</v>
      </c>
      <c r="D548" s="54" t="s">
        <v>188</v>
      </c>
      <c r="E548" s="54" t="s">
        <v>121</v>
      </c>
      <c r="F548" s="55" t="n">
        <v>60428.09</v>
      </c>
      <c r="G548" s="54" t="s">
        <v>130</v>
      </c>
      <c r="H548" s="56" t="n">
        <f aca="false">VLOOKUP(E548,Treatment_Table!$B$5:$E$11,4,FALSE())</f>
        <v>0</v>
      </c>
      <c r="I548" s="57" t="n">
        <f aca="false">F548*H548</f>
        <v>0</v>
      </c>
      <c r="J548" s="57" t="n">
        <f aca="false">IF(D548="Income",F548,-F548)</f>
        <v>-60428.09</v>
      </c>
    </row>
    <row r="549" customFormat="false" ht="15" hidden="false" customHeight="false" outlineLevel="0" collapsed="false">
      <c r="A549" s="54" t="s">
        <v>761</v>
      </c>
      <c r="B549" s="54" t="s">
        <v>228</v>
      </c>
      <c r="C549" s="54" t="s">
        <v>131</v>
      </c>
      <c r="D549" s="54" t="s">
        <v>188</v>
      </c>
      <c r="E549" s="54" t="s">
        <v>121</v>
      </c>
      <c r="F549" s="55" t="n">
        <v>69486.14</v>
      </c>
      <c r="G549" s="54" t="s">
        <v>131</v>
      </c>
      <c r="H549" s="56" t="n">
        <f aca="false">VLOOKUP(E549,Treatment_Table!$B$5:$E$11,4,FALSE())</f>
        <v>0</v>
      </c>
      <c r="I549" s="57" t="n">
        <f aca="false">F549*H549</f>
        <v>0</v>
      </c>
      <c r="J549" s="57" t="n">
        <f aca="false">IF(D549="Income",F549,-F549)</f>
        <v>-69486.14</v>
      </c>
    </row>
    <row r="550" customFormat="false" ht="15" hidden="false" customHeight="false" outlineLevel="0" collapsed="false">
      <c r="A550" s="54" t="s">
        <v>762</v>
      </c>
      <c r="B550" s="54" t="s">
        <v>235</v>
      </c>
      <c r="C550" s="54" t="s">
        <v>131</v>
      </c>
      <c r="D550" s="54" t="s">
        <v>188</v>
      </c>
      <c r="E550" s="54" t="s">
        <v>121</v>
      </c>
      <c r="F550" s="55" t="n">
        <v>159669.71</v>
      </c>
      <c r="G550" s="54" t="s">
        <v>131</v>
      </c>
      <c r="H550" s="56" t="n">
        <f aca="false">VLOOKUP(E550,Treatment_Table!$B$5:$E$11,4,FALSE())</f>
        <v>0</v>
      </c>
      <c r="I550" s="57" t="n">
        <f aca="false">F550*H550</f>
        <v>0</v>
      </c>
      <c r="J550" s="57" t="n">
        <f aca="false">IF(D550="Income",F550,-F550)</f>
        <v>-159669.71</v>
      </c>
    </row>
    <row r="551" customFormat="false" ht="15" hidden="false" customHeight="false" outlineLevel="0" collapsed="false">
      <c r="A551" s="54" t="s">
        <v>763</v>
      </c>
      <c r="B551" s="54" t="s">
        <v>235</v>
      </c>
      <c r="C551" s="54" t="s">
        <v>123</v>
      </c>
      <c r="D551" s="54" t="s">
        <v>188</v>
      </c>
      <c r="E551" s="54" t="s">
        <v>121</v>
      </c>
      <c r="F551" s="55" t="n">
        <v>96720.42</v>
      </c>
      <c r="G551" s="54" t="s">
        <v>123</v>
      </c>
      <c r="H551" s="56" t="n">
        <f aca="false">VLOOKUP(E551,Treatment_Table!$B$5:$E$11,4,FALSE())</f>
        <v>0</v>
      </c>
      <c r="I551" s="57" t="n">
        <f aca="false">F551*H551</f>
        <v>0</v>
      </c>
      <c r="J551" s="57" t="n">
        <f aca="false">IF(D551="Income",F551,-F551)</f>
        <v>-96720.42</v>
      </c>
    </row>
    <row r="552" customFormat="false" ht="15" hidden="false" customHeight="false" outlineLevel="0" collapsed="false">
      <c r="A552" s="54" t="s">
        <v>764</v>
      </c>
      <c r="B552" s="54" t="s">
        <v>247</v>
      </c>
      <c r="C552" s="54" t="s">
        <v>130</v>
      </c>
      <c r="D552" s="54" t="s">
        <v>188</v>
      </c>
      <c r="E552" s="54" t="s">
        <v>121</v>
      </c>
      <c r="F552" s="55" t="n">
        <v>41654.64</v>
      </c>
      <c r="G552" s="54" t="s">
        <v>130</v>
      </c>
      <c r="H552" s="56" t="n">
        <f aca="false">VLOOKUP(E552,Treatment_Table!$B$5:$E$11,4,FALSE())</f>
        <v>0</v>
      </c>
      <c r="I552" s="57" t="n">
        <f aca="false">F552*H552</f>
        <v>0</v>
      </c>
      <c r="J552" s="57" t="n">
        <f aca="false">IF(D552="Income",F552,-F552)</f>
        <v>-41654.64</v>
      </c>
    </row>
    <row r="553" customFormat="false" ht="15" hidden="false" customHeight="false" outlineLevel="0" collapsed="false">
      <c r="A553" s="54" t="s">
        <v>765</v>
      </c>
      <c r="B553" s="54" t="s">
        <v>208</v>
      </c>
      <c r="C553" s="54" t="s">
        <v>132</v>
      </c>
      <c r="D553" s="54" t="s">
        <v>188</v>
      </c>
      <c r="E553" s="54" t="s">
        <v>121</v>
      </c>
      <c r="F553" s="55" t="n">
        <v>1602.1</v>
      </c>
      <c r="G553" s="54" t="s">
        <v>132</v>
      </c>
      <c r="H553" s="56" t="n">
        <f aca="false">VLOOKUP(E553,Treatment_Table!$B$5:$E$11,4,FALSE())</f>
        <v>0</v>
      </c>
      <c r="I553" s="57" t="n">
        <f aca="false">F553*H553</f>
        <v>0</v>
      </c>
      <c r="J553" s="57" t="n">
        <f aca="false">IF(D553="Income",F553,-F553)</f>
        <v>-1602.1</v>
      </c>
    </row>
    <row r="554" customFormat="false" ht="15" hidden="false" customHeight="false" outlineLevel="0" collapsed="false">
      <c r="A554" s="54" t="s">
        <v>766</v>
      </c>
      <c r="B554" s="54" t="s">
        <v>247</v>
      </c>
      <c r="C554" s="54" t="s">
        <v>123</v>
      </c>
      <c r="D554" s="54" t="s">
        <v>188</v>
      </c>
      <c r="E554" s="54" t="s">
        <v>121</v>
      </c>
      <c r="F554" s="55" t="n">
        <v>49257.69</v>
      </c>
      <c r="G554" s="54" t="s">
        <v>123</v>
      </c>
      <c r="H554" s="56" t="n">
        <f aca="false">VLOOKUP(E554,Treatment_Table!$B$5:$E$11,4,FALSE())</f>
        <v>0</v>
      </c>
      <c r="I554" s="57" t="n">
        <f aca="false">F554*H554</f>
        <v>0</v>
      </c>
      <c r="J554" s="57" t="n">
        <f aca="false">IF(D554="Income",F554,-F554)</f>
        <v>-49257.69</v>
      </c>
    </row>
    <row r="555" customFormat="false" ht="15" hidden="false" customHeight="false" outlineLevel="0" collapsed="false">
      <c r="A555" s="54" t="s">
        <v>767</v>
      </c>
      <c r="B555" s="54" t="s">
        <v>230</v>
      </c>
      <c r="C555" s="54" t="s">
        <v>131</v>
      </c>
      <c r="D555" s="54" t="s">
        <v>188</v>
      </c>
      <c r="E555" s="54" t="s">
        <v>121</v>
      </c>
      <c r="F555" s="55" t="n">
        <v>41344.34</v>
      </c>
      <c r="G555" s="54" t="s">
        <v>131</v>
      </c>
      <c r="H555" s="56" t="n">
        <f aca="false">VLOOKUP(E555,Treatment_Table!$B$5:$E$11,4,FALSE())</f>
        <v>0</v>
      </c>
      <c r="I555" s="57" t="n">
        <f aca="false">F555*H555</f>
        <v>0</v>
      </c>
      <c r="J555" s="57" t="n">
        <f aca="false">IF(D555="Income",F555,-F555)</f>
        <v>-41344.34</v>
      </c>
    </row>
    <row r="556" customFormat="false" ht="15" hidden="false" customHeight="false" outlineLevel="0" collapsed="false">
      <c r="A556" s="54" t="s">
        <v>768</v>
      </c>
      <c r="B556" s="54" t="s">
        <v>243</v>
      </c>
      <c r="C556" s="54" t="s">
        <v>131</v>
      </c>
      <c r="D556" s="54" t="s">
        <v>188</v>
      </c>
      <c r="E556" s="54" t="s">
        <v>121</v>
      </c>
      <c r="F556" s="55" t="n">
        <v>125238.33</v>
      </c>
      <c r="G556" s="54" t="s">
        <v>131</v>
      </c>
      <c r="H556" s="56" t="n">
        <f aca="false">VLOOKUP(E556,Treatment_Table!$B$5:$E$11,4,FALSE())</f>
        <v>0</v>
      </c>
      <c r="I556" s="57" t="n">
        <f aca="false">F556*H556</f>
        <v>0</v>
      </c>
      <c r="J556" s="57" t="n">
        <f aca="false">IF(D556="Income",F556,-F556)</f>
        <v>-125238.33</v>
      </c>
    </row>
    <row r="557" customFormat="false" ht="15" hidden="false" customHeight="false" outlineLevel="0" collapsed="false">
      <c r="A557" s="54" t="s">
        <v>769</v>
      </c>
      <c r="B557" s="54" t="s">
        <v>247</v>
      </c>
      <c r="C557" s="54" t="s">
        <v>138</v>
      </c>
      <c r="D557" s="54" t="s">
        <v>188</v>
      </c>
      <c r="E557" s="54" t="s">
        <v>139</v>
      </c>
      <c r="F557" s="55" t="n">
        <v>2975.78</v>
      </c>
      <c r="G557" s="54" t="s">
        <v>138</v>
      </c>
      <c r="H557" s="56" t="n">
        <f aca="false">VLOOKUP(E557,Treatment_Table!$B$5:$E$11,4,FALSE())</f>
        <v>0.5</v>
      </c>
      <c r="I557" s="57" t="n">
        <f aca="false">F557*H557</f>
        <v>1487.89</v>
      </c>
      <c r="J557" s="57" t="n">
        <f aca="false">IF(D557="Income",F557,-F557)</f>
        <v>-2975.78</v>
      </c>
    </row>
    <row r="558" customFormat="false" ht="15" hidden="false" customHeight="false" outlineLevel="0" collapsed="false">
      <c r="A558" s="54" t="s">
        <v>770</v>
      </c>
      <c r="B558" s="54" t="s">
        <v>235</v>
      </c>
      <c r="C558" s="54" t="s">
        <v>123</v>
      </c>
      <c r="D558" s="54" t="s">
        <v>188</v>
      </c>
      <c r="E558" s="54" t="s">
        <v>121</v>
      </c>
      <c r="F558" s="55" t="n">
        <v>249908.5</v>
      </c>
      <c r="G558" s="54" t="s">
        <v>123</v>
      </c>
      <c r="H558" s="56" t="n">
        <f aca="false">VLOOKUP(E558,Treatment_Table!$B$5:$E$11,4,FALSE())</f>
        <v>0</v>
      </c>
      <c r="I558" s="57" t="n">
        <f aca="false">F558*H558</f>
        <v>0</v>
      </c>
      <c r="J558" s="57" t="n">
        <f aca="false">IF(D558="Income",F558,-F558)</f>
        <v>-249908.5</v>
      </c>
    </row>
    <row r="559" customFormat="false" ht="15" hidden="false" customHeight="false" outlineLevel="0" collapsed="false">
      <c r="A559" s="54" t="s">
        <v>771</v>
      </c>
      <c r="B559" s="54" t="s">
        <v>208</v>
      </c>
      <c r="C559" s="54" t="s">
        <v>124</v>
      </c>
      <c r="D559" s="54" t="s">
        <v>188</v>
      </c>
      <c r="E559" s="54" t="s">
        <v>121</v>
      </c>
      <c r="F559" s="55" t="n">
        <v>36266.76</v>
      </c>
      <c r="G559" s="54" t="s">
        <v>124</v>
      </c>
      <c r="H559" s="56" t="n">
        <f aca="false">VLOOKUP(E559,Treatment_Table!$B$5:$E$11,4,FALSE())</f>
        <v>0</v>
      </c>
      <c r="I559" s="57" t="n">
        <f aca="false">F559*H559</f>
        <v>0</v>
      </c>
      <c r="J559" s="57" t="n">
        <f aca="false">IF(D559="Income",F559,-F559)</f>
        <v>-36266.76</v>
      </c>
    </row>
    <row r="560" customFormat="false" ht="15" hidden="false" customHeight="false" outlineLevel="0" collapsed="false">
      <c r="A560" s="54" t="s">
        <v>772</v>
      </c>
      <c r="B560" s="54" t="s">
        <v>230</v>
      </c>
      <c r="C560" s="54" t="s">
        <v>127</v>
      </c>
      <c r="D560" s="54" t="s">
        <v>188</v>
      </c>
      <c r="E560" s="54" t="s">
        <v>121</v>
      </c>
      <c r="F560" s="55" t="n">
        <v>9797.62</v>
      </c>
      <c r="G560" s="54" t="s">
        <v>127</v>
      </c>
      <c r="H560" s="56" t="n">
        <f aca="false">VLOOKUP(E560,Treatment_Table!$B$5:$E$11,4,FALSE())</f>
        <v>0</v>
      </c>
      <c r="I560" s="57" t="n">
        <f aca="false">F560*H560</f>
        <v>0</v>
      </c>
      <c r="J560" s="57" t="n">
        <f aca="false">IF(D560="Income",F560,-F560)</f>
        <v>-9797.62</v>
      </c>
    </row>
    <row r="561" customFormat="false" ht="15" hidden="false" customHeight="false" outlineLevel="0" collapsed="false">
      <c r="A561" s="54" t="s">
        <v>773</v>
      </c>
      <c r="B561" s="54" t="s">
        <v>216</v>
      </c>
      <c r="C561" s="54" t="s">
        <v>131</v>
      </c>
      <c r="D561" s="54" t="s">
        <v>188</v>
      </c>
      <c r="E561" s="54" t="s">
        <v>121</v>
      </c>
      <c r="F561" s="55" t="n">
        <v>107691.75</v>
      </c>
      <c r="G561" s="54" t="s">
        <v>131</v>
      </c>
      <c r="H561" s="56" t="n">
        <f aca="false">VLOOKUP(E561,Treatment_Table!$B$5:$E$11,4,FALSE())</f>
        <v>0</v>
      </c>
      <c r="I561" s="57" t="n">
        <f aca="false">F561*H561</f>
        <v>0</v>
      </c>
      <c r="J561" s="57" t="n">
        <f aca="false">IF(D561="Income",F561,-F561)</f>
        <v>-107691.75</v>
      </c>
    </row>
    <row r="562" customFormat="false" ht="15" hidden="false" customHeight="false" outlineLevel="0" collapsed="false">
      <c r="A562" s="54" t="s">
        <v>774</v>
      </c>
      <c r="B562" s="54" t="s">
        <v>216</v>
      </c>
      <c r="C562" s="54" t="s">
        <v>124</v>
      </c>
      <c r="D562" s="54" t="s">
        <v>188</v>
      </c>
      <c r="E562" s="54" t="s">
        <v>121</v>
      </c>
      <c r="F562" s="55" t="n">
        <v>61684.19</v>
      </c>
      <c r="G562" s="54" t="s">
        <v>124</v>
      </c>
      <c r="H562" s="56" t="n">
        <f aca="false">VLOOKUP(E562,Treatment_Table!$B$5:$E$11,4,FALSE())</f>
        <v>0</v>
      </c>
      <c r="I562" s="57" t="n">
        <f aca="false">F562*H562</f>
        <v>0</v>
      </c>
      <c r="J562" s="57" t="n">
        <f aca="false">IF(D562="Income",F562,-F562)</f>
        <v>-61684.19</v>
      </c>
    </row>
    <row r="563" customFormat="false" ht="15" hidden="false" customHeight="false" outlineLevel="0" collapsed="false">
      <c r="A563" s="54" t="s">
        <v>775</v>
      </c>
      <c r="B563" s="54" t="s">
        <v>223</v>
      </c>
      <c r="C563" s="54" t="s">
        <v>132</v>
      </c>
      <c r="D563" s="54" t="s">
        <v>188</v>
      </c>
      <c r="E563" s="54" t="s">
        <v>121</v>
      </c>
      <c r="F563" s="55" t="n">
        <v>3665.14</v>
      </c>
      <c r="G563" s="54" t="s">
        <v>132</v>
      </c>
      <c r="H563" s="56" t="n">
        <f aca="false">VLOOKUP(E563,Treatment_Table!$B$5:$E$11,4,FALSE())</f>
        <v>0</v>
      </c>
      <c r="I563" s="57" t="n">
        <f aca="false">F563*H563</f>
        <v>0</v>
      </c>
      <c r="J563" s="57" t="n">
        <f aca="false">IF(D563="Income",F563,-F563)</f>
        <v>-3665.14</v>
      </c>
    </row>
    <row r="564" customFormat="false" ht="15" hidden="false" customHeight="false" outlineLevel="0" collapsed="false">
      <c r="A564" s="54" t="s">
        <v>776</v>
      </c>
      <c r="B564" s="54" t="s">
        <v>208</v>
      </c>
      <c r="C564" s="54" t="s">
        <v>130</v>
      </c>
      <c r="D564" s="54" t="s">
        <v>188</v>
      </c>
      <c r="E564" s="54" t="s">
        <v>121</v>
      </c>
      <c r="F564" s="55" t="n">
        <v>34232.45</v>
      </c>
      <c r="G564" s="54" t="s">
        <v>130</v>
      </c>
      <c r="H564" s="56" t="n">
        <f aca="false">VLOOKUP(E564,Treatment_Table!$B$5:$E$11,4,FALSE())</f>
        <v>0</v>
      </c>
      <c r="I564" s="57" t="n">
        <f aca="false">F564*H564</f>
        <v>0</v>
      </c>
      <c r="J564" s="57" t="n">
        <f aca="false">IF(D564="Income",F564,-F564)</f>
        <v>-34232.45</v>
      </c>
    </row>
    <row r="565" customFormat="false" ht="15" hidden="false" customHeight="false" outlineLevel="0" collapsed="false">
      <c r="A565" s="54" t="s">
        <v>777</v>
      </c>
      <c r="B565" s="54" t="s">
        <v>247</v>
      </c>
      <c r="C565" s="54" t="s">
        <v>127</v>
      </c>
      <c r="D565" s="54" t="s">
        <v>188</v>
      </c>
      <c r="E565" s="54" t="s">
        <v>121</v>
      </c>
      <c r="F565" s="55" t="n">
        <v>10128.59</v>
      </c>
      <c r="G565" s="54" t="s">
        <v>127</v>
      </c>
      <c r="H565" s="56" t="n">
        <f aca="false">VLOOKUP(E565,Treatment_Table!$B$5:$E$11,4,FALSE())</f>
        <v>0</v>
      </c>
      <c r="I565" s="57" t="n">
        <f aca="false">F565*H565</f>
        <v>0</v>
      </c>
      <c r="J565" s="57" t="n">
        <f aca="false">IF(D565="Income",F565,-F565)</f>
        <v>-10128.59</v>
      </c>
    </row>
    <row r="566" customFormat="false" ht="15" hidden="false" customHeight="false" outlineLevel="0" collapsed="false">
      <c r="A566" s="54" t="s">
        <v>778</v>
      </c>
      <c r="B566" s="54" t="s">
        <v>243</v>
      </c>
      <c r="C566" s="54" t="s">
        <v>123</v>
      </c>
      <c r="D566" s="54" t="s">
        <v>188</v>
      </c>
      <c r="E566" s="54" t="s">
        <v>121</v>
      </c>
      <c r="F566" s="55" t="n">
        <v>50870.04</v>
      </c>
      <c r="G566" s="54" t="s">
        <v>123</v>
      </c>
      <c r="H566" s="56" t="n">
        <f aca="false">VLOOKUP(E566,Treatment_Table!$B$5:$E$11,4,FALSE())</f>
        <v>0</v>
      </c>
      <c r="I566" s="57" t="n">
        <f aca="false">F566*H566</f>
        <v>0</v>
      </c>
      <c r="J566" s="57" t="n">
        <f aca="false">IF(D566="Income",F566,-F566)</f>
        <v>-50870.04</v>
      </c>
    </row>
    <row r="567" customFormat="false" ht="15" hidden="false" customHeight="false" outlineLevel="0" collapsed="false">
      <c r="A567" s="54" t="s">
        <v>779</v>
      </c>
      <c r="B567" s="54" t="s">
        <v>230</v>
      </c>
      <c r="C567" s="54" t="s">
        <v>131</v>
      </c>
      <c r="D567" s="54" t="s">
        <v>188</v>
      </c>
      <c r="E567" s="54" t="s">
        <v>121</v>
      </c>
      <c r="F567" s="55" t="n">
        <v>78047.78</v>
      </c>
      <c r="G567" s="54" t="s">
        <v>131</v>
      </c>
      <c r="H567" s="56" t="n">
        <f aca="false">VLOOKUP(E567,Treatment_Table!$B$5:$E$11,4,FALSE())</f>
        <v>0</v>
      </c>
      <c r="I567" s="57" t="n">
        <f aca="false">F567*H567</f>
        <v>0</v>
      </c>
      <c r="J567" s="57" t="n">
        <f aca="false">IF(D567="Income",F567,-F567)</f>
        <v>-78047.78</v>
      </c>
    </row>
    <row r="568" customFormat="false" ht="15" hidden="false" customHeight="false" outlineLevel="0" collapsed="false">
      <c r="A568" s="54" t="s">
        <v>780</v>
      </c>
      <c r="B568" s="54" t="s">
        <v>210</v>
      </c>
      <c r="C568" s="54" t="s">
        <v>123</v>
      </c>
      <c r="D568" s="54" t="s">
        <v>188</v>
      </c>
      <c r="E568" s="54" t="s">
        <v>121</v>
      </c>
      <c r="F568" s="55" t="n">
        <v>382287.2</v>
      </c>
      <c r="G568" s="54" t="s">
        <v>123</v>
      </c>
      <c r="H568" s="56" t="n">
        <f aca="false">VLOOKUP(E568,Treatment_Table!$B$5:$E$11,4,FALSE())</f>
        <v>0</v>
      </c>
      <c r="I568" s="57" t="n">
        <f aca="false">F568*H568</f>
        <v>0</v>
      </c>
      <c r="J568" s="57" t="n">
        <f aca="false">IF(D568="Income",F568,-F568)</f>
        <v>-382287.2</v>
      </c>
    </row>
    <row r="569" customFormat="false" ht="15" hidden="false" customHeight="false" outlineLevel="0" collapsed="false">
      <c r="A569" s="54" t="s">
        <v>781</v>
      </c>
      <c r="B569" s="54" t="s">
        <v>214</v>
      </c>
      <c r="C569" s="54" t="s">
        <v>138</v>
      </c>
      <c r="D569" s="54" t="s">
        <v>188</v>
      </c>
      <c r="E569" s="54" t="s">
        <v>139</v>
      </c>
      <c r="F569" s="55" t="n">
        <v>8784.75</v>
      </c>
      <c r="G569" s="54" t="s">
        <v>138</v>
      </c>
      <c r="H569" s="56" t="n">
        <f aca="false">VLOOKUP(E569,Treatment_Table!$B$5:$E$11,4,FALSE())</f>
        <v>0.5</v>
      </c>
      <c r="I569" s="57" t="n">
        <f aca="false">F569*H569</f>
        <v>4392.375</v>
      </c>
      <c r="J569" s="57" t="n">
        <f aca="false">IF(D569="Income",F569,-F569)</f>
        <v>-8784.75</v>
      </c>
    </row>
    <row r="570" customFormat="false" ht="15" hidden="false" customHeight="false" outlineLevel="0" collapsed="false">
      <c r="A570" s="54" t="s">
        <v>782</v>
      </c>
      <c r="B570" s="54" t="s">
        <v>218</v>
      </c>
      <c r="C570" s="54" t="s">
        <v>128</v>
      </c>
      <c r="D570" s="54" t="s">
        <v>188</v>
      </c>
      <c r="E570" s="54" t="s">
        <v>121</v>
      </c>
      <c r="F570" s="55" t="n">
        <v>14208.29</v>
      </c>
      <c r="G570" s="54" t="s">
        <v>128</v>
      </c>
      <c r="H570" s="56" t="n">
        <f aca="false">VLOOKUP(E570,Treatment_Table!$B$5:$E$11,4,FALSE())</f>
        <v>0</v>
      </c>
      <c r="I570" s="57" t="n">
        <f aca="false">F570*H570</f>
        <v>0</v>
      </c>
      <c r="J570" s="57" t="n">
        <f aca="false">IF(D570="Income",F570,-F570)</f>
        <v>-14208.29</v>
      </c>
    </row>
    <row r="571" customFormat="false" ht="15" hidden="false" customHeight="false" outlineLevel="0" collapsed="false">
      <c r="A571" s="54" t="s">
        <v>783</v>
      </c>
      <c r="B571" s="54" t="s">
        <v>205</v>
      </c>
      <c r="C571" s="54" t="s">
        <v>124</v>
      </c>
      <c r="D571" s="54" t="s">
        <v>188</v>
      </c>
      <c r="E571" s="54" t="s">
        <v>121</v>
      </c>
      <c r="F571" s="55" t="n">
        <v>82906.32</v>
      </c>
      <c r="G571" s="54" t="s">
        <v>124</v>
      </c>
      <c r="H571" s="56" t="n">
        <f aca="false">VLOOKUP(E571,Treatment_Table!$B$5:$E$11,4,FALSE())</f>
        <v>0</v>
      </c>
      <c r="I571" s="57" t="n">
        <f aca="false">F571*H571</f>
        <v>0</v>
      </c>
      <c r="J571" s="57" t="n">
        <f aca="false">IF(D571="Income",F571,-F571)</f>
        <v>-82906.32</v>
      </c>
    </row>
    <row r="572" customFormat="false" ht="15" hidden="false" customHeight="false" outlineLevel="0" collapsed="false">
      <c r="A572" s="54" t="s">
        <v>784</v>
      </c>
      <c r="B572" s="54" t="s">
        <v>228</v>
      </c>
      <c r="C572" s="54" t="s">
        <v>123</v>
      </c>
      <c r="D572" s="54" t="s">
        <v>188</v>
      </c>
      <c r="E572" s="54" t="s">
        <v>121</v>
      </c>
      <c r="F572" s="55" t="n">
        <v>134206.86</v>
      </c>
      <c r="G572" s="54" t="s">
        <v>123</v>
      </c>
      <c r="H572" s="56" t="n">
        <f aca="false">VLOOKUP(E572,Treatment_Table!$B$5:$E$11,4,FALSE())</f>
        <v>0</v>
      </c>
      <c r="I572" s="57" t="n">
        <f aca="false">F572*H572</f>
        <v>0</v>
      </c>
      <c r="J572" s="57" t="n">
        <f aca="false">IF(D572="Income",F572,-F572)</f>
        <v>-134206.86</v>
      </c>
    </row>
    <row r="573" customFormat="false" ht="15" hidden="false" customHeight="false" outlineLevel="0" collapsed="false">
      <c r="A573" s="54" t="s">
        <v>785</v>
      </c>
      <c r="B573" s="54" t="s">
        <v>247</v>
      </c>
      <c r="C573" s="54" t="s">
        <v>131</v>
      </c>
      <c r="D573" s="54" t="s">
        <v>188</v>
      </c>
      <c r="E573" s="54" t="s">
        <v>121</v>
      </c>
      <c r="F573" s="55" t="n">
        <v>70572.69</v>
      </c>
      <c r="G573" s="54" t="s">
        <v>131</v>
      </c>
      <c r="H573" s="56" t="n">
        <f aca="false">VLOOKUP(E573,Treatment_Table!$B$5:$E$11,4,FALSE())</f>
        <v>0</v>
      </c>
      <c r="I573" s="57" t="n">
        <f aca="false">F573*H573</f>
        <v>0</v>
      </c>
      <c r="J573" s="57" t="n">
        <f aca="false">IF(D573="Income",F573,-F573)</f>
        <v>-70572.69</v>
      </c>
    </row>
    <row r="574" customFormat="false" ht="15" hidden="false" customHeight="false" outlineLevel="0" collapsed="false">
      <c r="A574" s="54" t="s">
        <v>786</v>
      </c>
      <c r="B574" s="54" t="s">
        <v>235</v>
      </c>
      <c r="C574" s="54" t="s">
        <v>123</v>
      </c>
      <c r="D574" s="54" t="s">
        <v>188</v>
      </c>
      <c r="E574" s="54" t="s">
        <v>121</v>
      </c>
      <c r="F574" s="55" t="n">
        <v>150455.71</v>
      </c>
      <c r="G574" s="54" t="s">
        <v>123</v>
      </c>
      <c r="H574" s="56" t="n">
        <f aca="false">VLOOKUP(E574,Treatment_Table!$B$5:$E$11,4,FALSE())</f>
        <v>0</v>
      </c>
      <c r="I574" s="57" t="n">
        <f aca="false">F574*H574</f>
        <v>0</v>
      </c>
      <c r="J574" s="57" t="n">
        <f aca="false">IF(D574="Income",F574,-F574)</f>
        <v>-150455.71</v>
      </c>
    </row>
    <row r="575" customFormat="false" ht="15" hidden="false" customHeight="false" outlineLevel="0" collapsed="false">
      <c r="A575" s="54" t="s">
        <v>787</v>
      </c>
      <c r="B575" s="54" t="s">
        <v>243</v>
      </c>
      <c r="C575" s="54" t="s">
        <v>138</v>
      </c>
      <c r="D575" s="54" t="s">
        <v>188</v>
      </c>
      <c r="E575" s="54" t="s">
        <v>139</v>
      </c>
      <c r="F575" s="55" t="n">
        <v>7859.7</v>
      </c>
      <c r="G575" s="54" t="s">
        <v>138</v>
      </c>
      <c r="H575" s="56" t="n">
        <f aca="false">VLOOKUP(E575,Treatment_Table!$B$5:$E$11,4,FALSE())</f>
        <v>0.5</v>
      </c>
      <c r="I575" s="57" t="n">
        <f aca="false">F575*H575</f>
        <v>3929.85</v>
      </c>
      <c r="J575" s="57" t="n">
        <f aca="false">IF(D575="Income",F575,-F575)</f>
        <v>-7859.7</v>
      </c>
    </row>
    <row r="576" customFormat="false" ht="15" hidden="false" customHeight="false" outlineLevel="0" collapsed="false">
      <c r="A576" s="54" t="s">
        <v>788</v>
      </c>
      <c r="B576" s="54" t="s">
        <v>208</v>
      </c>
      <c r="C576" s="54" t="s">
        <v>142</v>
      </c>
      <c r="D576" s="54" t="s">
        <v>188</v>
      </c>
      <c r="E576" s="54" t="s">
        <v>141</v>
      </c>
      <c r="F576" s="55" t="n">
        <v>123902.68</v>
      </c>
      <c r="G576" s="54" t="s">
        <v>142</v>
      </c>
      <c r="H576" s="56" t="n">
        <f aca="false">VLOOKUP(E576,Treatment_Table!$B$5:$E$11,4,FALSE())</f>
        <v>0</v>
      </c>
      <c r="I576" s="57" t="n">
        <f aca="false">F576*H576</f>
        <v>0</v>
      </c>
      <c r="J576" s="57" t="n">
        <f aca="false">IF(D576="Income",F576,-F576)</f>
        <v>-123902.68</v>
      </c>
    </row>
    <row r="577" customFormat="false" ht="15" hidden="false" customHeight="false" outlineLevel="0" collapsed="false">
      <c r="A577" s="54" t="s">
        <v>789</v>
      </c>
      <c r="B577" s="54" t="s">
        <v>205</v>
      </c>
      <c r="C577" s="54" t="s">
        <v>131</v>
      </c>
      <c r="D577" s="54" t="s">
        <v>188</v>
      </c>
      <c r="E577" s="54" t="s">
        <v>121</v>
      </c>
      <c r="F577" s="55" t="n">
        <v>228457.3</v>
      </c>
      <c r="G577" s="54" t="s">
        <v>131</v>
      </c>
      <c r="H577" s="56" t="n">
        <f aca="false">VLOOKUP(E577,Treatment_Table!$B$5:$E$11,4,FALSE())</f>
        <v>0</v>
      </c>
      <c r="I577" s="57" t="n">
        <f aca="false">F577*H577</f>
        <v>0</v>
      </c>
      <c r="J577" s="57" t="n">
        <f aca="false">IF(D577="Income",F577,-F577)</f>
        <v>-228457.3</v>
      </c>
    </row>
    <row r="578" customFormat="false" ht="15" hidden="false" customHeight="false" outlineLevel="0" collapsed="false">
      <c r="A578" s="54" t="s">
        <v>790</v>
      </c>
      <c r="B578" s="54" t="s">
        <v>208</v>
      </c>
      <c r="C578" s="54" t="s">
        <v>126</v>
      </c>
      <c r="D578" s="54" t="s">
        <v>188</v>
      </c>
      <c r="E578" s="54" t="s">
        <v>121</v>
      </c>
      <c r="F578" s="55" t="n">
        <v>21937.36</v>
      </c>
      <c r="G578" s="54" t="s">
        <v>126</v>
      </c>
      <c r="H578" s="56" t="n">
        <f aca="false">VLOOKUP(E578,Treatment_Table!$B$5:$E$11,4,FALSE())</f>
        <v>0</v>
      </c>
      <c r="I578" s="57" t="n">
        <f aca="false">F578*H578</f>
        <v>0</v>
      </c>
      <c r="J578" s="57" t="n">
        <f aca="false">IF(D578="Income",F578,-F578)</f>
        <v>-21937.36</v>
      </c>
    </row>
    <row r="579" customFormat="false" ht="15" hidden="false" customHeight="false" outlineLevel="0" collapsed="false">
      <c r="A579" s="54" t="s">
        <v>791</v>
      </c>
      <c r="B579" s="54" t="s">
        <v>228</v>
      </c>
      <c r="C579" s="54" t="s">
        <v>126</v>
      </c>
      <c r="D579" s="54" t="s">
        <v>188</v>
      </c>
      <c r="E579" s="54" t="s">
        <v>121</v>
      </c>
      <c r="F579" s="55" t="n">
        <v>15037.92</v>
      </c>
      <c r="G579" s="54" t="s">
        <v>126</v>
      </c>
      <c r="H579" s="56" t="n">
        <f aca="false">VLOOKUP(E579,Treatment_Table!$B$5:$E$11,4,FALSE())</f>
        <v>0</v>
      </c>
      <c r="I579" s="57" t="n">
        <f aca="false">F579*H579</f>
        <v>0</v>
      </c>
      <c r="J579" s="57" t="n">
        <f aca="false">IF(D579="Income",F579,-F579)</f>
        <v>-15037.92</v>
      </c>
    </row>
    <row r="580" customFormat="false" ht="15" hidden="false" customHeight="false" outlineLevel="0" collapsed="false">
      <c r="A580" s="54" t="s">
        <v>792</v>
      </c>
      <c r="B580" s="54" t="s">
        <v>208</v>
      </c>
      <c r="C580" s="54" t="s">
        <v>138</v>
      </c>
      <c r="D580" s="54" t="s">
        <v>188</v>
      </c>
      <c r="E580" s="54" t="s">
        <v>139</v>
      </c>
      <c r="F580" s="55" t="n">
        <v>8757.73</v>
      </c>
      <c r="G580" s="54" t="s">
        <v>138</v>
      </c>
      <c r="H580" s="56" t="n">
        <f aca="false">VLOOKUP(E580,Treatment_Table!$B$5:$E$11,4,FALSE())</f>
        <v>0.5</v>
      </c>
      <c r="I580" s="57" t="n">
        <f aca="false">F580*H580</f>
        <v>4378.865</v>
      </c>
      <c r="J580" s="57" t="n">
        <f aca="false">IF(D580="Income",F580,-F580)</f>
        <v>-8757.73</v>
      </c>
    </row>
    <row r="581" customFormat="false" ht="15" hidden="false" customHeight="false" outlineLevel="0" collapsed="false">
      <c r="A581" s="54" t="s">
        <v>793</v>
      </c>
      <c r="B581" s="54" t="s">
        <v>210</v>
      </c>
      <c r="C581" s="54" t="s">
        <v>131</v>
      </c>
      <c r="D581" s="54" t="s">
        <v>188</v>
      </c>
      <c r="E581" s="54" t="s">
        <v>121</v>
      </c>
      <c r="F581" s="55" t="n">
        <v>45067.26</v>
      </c>
      <c r="G581" s="54" t="s">
        <v>131</v>
      </c>
      <c r="H581" s="56" t="n">
        <f aca="false">VLOOKUP(E581,Treatment_Table!$B$5:$E$11,4,FALSE())</f>
        <v>0</v>
      </c>
      <c r="I581" s="57" t="n">
        <f aca="false">F581*H581</f>
        <v>0</v>
      </c>
      <c r="J581" s="57" t="n">
        <f aca="false">IF(D581="Income",F581,-F581)</f>
        <v>-45067.26</v>
      </c>
    </row>
    <row r="582" customFormat="false" ht="15" hidden="false" customHeight="false" outlineLevel="0" collapsed="false">
      <c r="A582" s="54" t="s">
        <v>794</v>
      </c>
      <c r="B582" s="54" t="s">
        <v>208</v>
      </c>
      <c r="C582" s="54" t="s">
        <v>138</v>
      </c>
      <c r="D582" s="54" t="s">
        <v>188</v>
      </c>
      <c r="E582" s="54" t="s">
        <v>139</v>
      </c>
      <c r="F582" s="55" t="n">
        <v>15045.9</v>
      </c>
      <c r="G582" s="54" t="s">
        <v>138</v>
      </c>
      <c r="H582" s="56" t="n">
        <f aca="false">VLOOKUP(E582,Treatment_Table!$B$5:$E$11,4,FALSE())</f>
        <v>0.5</v>
      </c>
      <c r="I582" s="57" t="n">
        <f aca="false">F582*H582</f>
        <v>7522.95</v>
      </c>
      <c r="J582" s="57" t="n">
        <f aca="false">IF(D582="Income",F582,-F582)</f>
        <v>-15045.9</v>
      </c>
    </row>
    <row r="583" customFormat="false" ht="15" hidden="false" customHeight="false" outlineLevel="0" collapsed="false">
      <c r="A583" s="54" t="s">
        <v>795</v>
      </c>
      <c r="B583" s="54" t="s">
        <v>208</v>
      </c>
      <c r="C583" s="54" t="s">
        <v>131</v>
      </c>
      <c r="D583" s="54" t="s">
        <v>188</v>
      </c>
      <c r="E583" s="54" t="s">
        <v>121</v>
      </c>
      <c r="F583" s="55" t="n">
        <v>137619.32</v>
      </c>
      <c r="G583" s="54" t="s">
        <v>131</v>
      </c>
      <c r="H583" s="56" t="n">
        <f aca="false">VLOOKUP(E583,Treatment_Table!$B$5:$E$11,4,FALSE())</f>
        <v>0</v>
      </c>
      <c r="I583" s="57" t="n">
        <f aca="false">F583*H583</f>
        <v>0</v>
      </c>
      <c r="J583" s="57" t="n">
        <f aca="false">IF(D583="Income",F583,-F583)</f>
        <v>-137619.32</v>
      </c>
    </row>
    <row r="584" customFormat="false" ht="15" hidden="false" customHeight="false" outlineLevel="0" collapsed="false">
      <c r="A584" s="54" t="s">
        <v>796</v>
      </c>
      <c r="B584" s="54" t="s">
        <v>205</v>
      </c>
      <c r="C584" s="54" t="s">
        <v>125</v>
      </c>
      <c r="D584" s="54" t="s">
        <v>188</v>
      </c>
      <c r="E584" s="54" t="s">
        <v>121</v>
      </c>
      <c r="F584" s="55" t="n">
        <v>5994.35</v>
      </c>
      <c r="G584" s="54" t="s">
        <v>125</v>
      </c>
      <c r="H584" s="56" t="n">
        <f aca="false">VLOOKUP(E584,Treatment_Table!$B$5:$E$11,4,FALSE())</f>
        <v>0</v>
      </c>
      <c r="I584" s="57" t="n">
        <f aca="false">F584*H584</f>
        <v>0</v>
      </c>
      <c r="J584" s="57" t="n">
        <f aca="false">IF(D584="Income",F584,-F584)</f>
        <v>-5994.35</v>
      </c>
    </row>
    <row r="585" customFormat="false" ht="15" hidden="false" customHeight="false" outlineLevel="0" collapsed="false">
      <c r="A585" s="54" t="s">
        <v>797</v>
      </c>
      <c r="B585" s="54" t="s">
        <v>243</v>
      </c>
      <c r="C585" s="54" t="s">
        <v>123</v>
      </c>
      <c r="D585" s="54" t="s">
        <v>188</v>
      </c>
      <c r="E585" s="54" t="s">
        <v>121</v>
      </c>
      <c r="F585" s="55" t="n">
        <v>449301.66</v>
      </c>
      <c r="G585" s="54" t="s">
        <v>123</v>
      </c>
      <c r="H585" s="56" t="n">
        <f aca="false">VLOOKUP(E585,Treatment_Table!$B$5:$E$11,4,FALSE())</f>
        <v>0</v>
      </c>
      <c r="I585" s="57" t="n">
        <f aca="false">F585*H585</f>
        <v>0</v>
      </c>
      <c r="J585" s="57" t="n">
        <f aca="false">IF(D585="Income",F585,-F585)</f>
        <v>-449301.66</v>
      </c>
    </row>
    <row r="586" customFormat="false" ht="15" hidden="false" customHeight="false" outlineLevel="0" collapsed="false">
      <c r="A586" s="54" t="s">
        <v>798</v>
      </c>
      <c r="B586" s="54" t="s">
        <v>235</v>
      </c>
      <c r="C586" s="54" t="s">
        <v>131</v>
      </c>
      <c r="D586" s="54" t="s">
        <v>188</v>
      </c>
      <c r="E586" s="54" t="s">
        <v>121</v>
      </c>
      <c r="F586" s="55" t="n">
        <v>55787.76</v>
      </c>
      <c r="G586" s="54" t="s">
        <v>131</v>
      </c>
      <c r="H586" s="56" t="n">
        <f aca="false">VLOOKUP(E586,Treatment_Table!$B$5:$E$11,4,FALSE())</f>
        <v>0</v>
      </c>
      <c r="I586" s="57" t="n">
        <f aca="false">F586*H586</f>
        <v>0</v>
      </c>
      <c r="J586" s="57" t="n">
        <f aca="false">IF(D586="Income",F586,-F586)</f>
        <v>-55787.76</v>
      </c>
    </row>
    <row r="587" customFormat="false" ht="15" hidden="false" customHeight="false" outlineLevel="0" collapsed="false">
      <c r="A587" s="54" t="s">
        <v>799</v>
      </c>
      <c r="B587" s="54" t="s">
        <v>208</v>
      </c>
      <c r="C587" s="54" t="s">
        <v>137</v>
      </c>
      <c r="D587" s="54" t="s">
        <v>188</v>
      </c>
      <c r="E587" s="54" t="s">
        <v>134</v>
      </c>
      <c r="F587" s="55" t="n">
        <v>11916.45</v>
      </c>
      <c r="G587" s="54" t="s">
        <v>137</v>
      </c>
      <c r="H587" s="56" t="n">
        <f aca="false">VLOOKUP(E587,Treatment_Table!$B$5:$E$11,4,FALSE())</f>
        <v>1</v>
      </c>
      <c r="I587" s="57" t="n">
        <f aca="false">F587*H587</f>
        <v>11916.45</v>
      </c>
      <c r="J587" s="57" t="n">
        <f aca="false">IF(D587="Income",F587,-F587)</f>
        <v>-11916.45</v>
      </c>
    </row>
    <row r="588" customFormat="false" ht="15" hidden="false" customHeight="false" outlineLevel="0" collapsed="false">
      <c r="A588" s="54" t="s">
        <v>800</v>
      </c>
      <c r="B588" s="54" t="s">
        <v>228</v>
      </c>
      <c r="C588" s="54" t="s">
        <v>126</v>
      </c>
      <c r="D588" s="54" t="s">
        <v>188</v>
      </c>
      <c r="E588" s="54" t="s">
        <v>121</v>
      </c>
      <c r="F588" s="55" t="n">
        <v>18707.84</v>
      </c>
      <c r="G588" s="54" t="s">
        <v>126</v>
      </c>
      <c r="H588" s="56" t="n">
        <f aca="false">VLOOKUP(E588,Treatment_Table!$B$5:$E$11,4,FALSE())</f>
        <v>0</v>
      </c>
      <c r="I588" s="57" t="n">
        <f aca="false">F588*H588</f>
        <v>0</v>
      </c>
      <c r="J588" s="57" t="n">
        <f aca="false">IF(D588="Income",F588,-F588)</f>
        <v>-18707.84</v>
      </c>
    </row>
    <row r="589" customFormat="false" ht="15" hidden="false" customHeight="false" outlineLevel="0" collapsed="false">
      <c r="A589" s="54" t="s">
        <v>801</v>
      </c>
      <c r="B589" s="54" t="s">
        <v>218</v>
      </c>
      <c r="C589" s="54" t="s">
        <v>124</v>
      </c>
      <c r="D589" s="54" t="s">
        <v>188</v>
      </c>
      <c r="E589" s="54" t="s">
        <v>121</v>
      </c>
      <c r="F589" s="55" t="n">
        <v>51370.06</v>
      </c>
      <c r="G589" s="54" t="s">
        <v>124</v>
      </c>
      <c r="H589" s="56" t="n">
        <f aca="false">VLOOKUP(E589,Treatment_Table!$B$5:$E$11,4,FALSE())</f>
        <v>0</v>
      </c>
      <c r="I589" s="57" t="n">
        <f aca="false">F589*H589</f>
        <v>0</v>
      </c>
      <c r="J589" s="57" t="n">
        <f aca="false">IF(D589="Income",F589,-F589)</f>
        <v>-51370.06</v>
      </c>
    </row>
    <row r="590" customFormat="false" ht="15" hidden="false" customHeight="false" outlineLevel="0" collapsed="false">
      <c r="A590" s="54" t="s">
        <v>802</v>
      </c>
      <c r="B590" s="54" t="s">
        <v>230</v>
      </c>
      <c r="C590" s="54" t="s">
        <v>132</v>
      </c>
      <c r="D590" s="54" t="s">
        <v>188</v>
      </c>
      <c r="E590" s="54" t="s">
        <v>121</v>
      </c>
      <c r="F590" s="55" t="n">
        <v>19330.96</v>
      </c>
      <c r="G590" s="54" t="s">
        <v>132</v>
      </c>
      <c r="H590" s="56" t="n">
        <f aca="false">VLOOKUP(E590,Treatment_Table!$B$5:$E$11,4,FALSE())</f>
        <v>0</v>
      </c>
      <c r="I590" s="57" t="n">
        <f aca="false">F590*H590</f>
        <v>0</v>
      </c>
      <c r="J590" s="57" t="n">
        <f aca="false">IF(D590="Income",F590,-F590)</f>
        <v>-19330.96</v>
      </c>
    </row>
    <row r="591" customFormat="false" ht="15" hidden="false" customHeight="false" outlineLevel="0" collapsed="false">
      <c r="A591" s="54" t="s">
        <v>803</v>
      </c>
      <c r="B591" s="54" t="s">
        <v>247</v>
      </c>
      <c r="C591" s="54" t="s">
        <v>123</v>
      </c>
      <c r="D591" s="54" t="s">
        <v>188</v>
      </c>
      <c r="E591" s="54" t="s">
        <v>121</v>
      </c>
      <c r="F591" s="55" t="n">
        <v>223583.69</v>
      </c>
      <c r="G591" s="54" t="s">
        <v>123</v>
      </c>
      <c r="H591" s="56" t="n">
        <f aca="false">VLOOKUP(E591,Treatment_Table!$B$5:$E$11,4,FALSE())</f>
        <v>0</v>
      </c>
      <c r="I591" s="57" t="n">
        <f aca="false">F591*H591</f>
        <v>0</v>
      </c>
      <c r="J591" s="57" t="n">
        <f aca="false">IF(D591="Income",F591,-F591)</f>
        <v>-223583.69</v>
      </c>
    </row>
    <row r="592" customFormat="false" ht="15" hidden="false" customHeight="false" outlineLevel="0" collapsed="false">
      <c r="A592" s="54" t="s">
        <v>804</v>
      </c>
      <c r="B592" s="54" t="s">
        <v>216</v>
      </c>
      <c r="C592" s="54" t="s">
        <v>123</v>
      </c>
      <c r="D592" s="54" t="s">
        <v>188</v>
      </c>
      <c r="E592" s="54" t="s">
        <v>121</v>
      </c>
      <c r="F592" s="55" t="n">
        <v>94538.13</v>
      </c>
      <c r="G592" s="54" t="s">
        <v>123</v>
      </c>
      <c r="H592" s="56" t="n">
        <f aca="false">VLOOKUP(E592,Treatment_Table!$B$5:$E$11,4,FALSE())</f>
        <v>0</v>
      </c>
      <c r="I592" s="57" t="n">
        <f aca="false">F592*H592</f>
        <v>0</v>
      </c>
      <c r="J592" s="57" t="n">
        <f aca="false">IF(D592="Income",F592,-F592)</f>
        <v>-94538.13</v>
      </c>
    </row>
    <row r="593" customFormat="false" ht="15" hidden="false" customHeight="false" outlineLevel="0" collapsed="false">
      <c r="A593" s="54" t="s">
        <v>805</v>
      </c>
      <c r="B593" s="54" t="s">
        <v>208</v>
      </c>
      <c r="C593" s="54" t="s">
        <v>120</v>
      </c>
      <c r="D593" s="54" t="s">
        <v>188</v>
      </c>
      <c r="E593" s="54" t="s">
        <v>121</v>
      </c>
      <c r="F593" s="55" t="n">
        <v>5644.11</v>
      </c>
      <c r="G593" s="54" t="s">
        <v>120</v>
      </c>
      <c r="H593" s="56" t="n">
        <f aca="false">VLOOKUP(E593,Treatment_Table!$B$5:$E$11,4,FALSE())</f>
        <v>0</v>
      </c>
      <c r="I593" s="57" t="n">
        <f aca="false">F593*H593</f>
        <v>0</v>
      </c>
      <c r="J593" s="57" t="n">
        <f aca="false">IF(D593="Income",F593,-F593)</f>
        <v>-5644.11</v>
      </c>
    </row>
    <row r="594" customFormat="false" ht="15" hidden="false" customHeight="false" outlineLevel="0" collapsed="false">
      <c r="A594" s="54" t="s">
        <v>806</v>
      </c>
      <c r="B594" s="54" t="s">
        <v>205</v>
      </c>
      <c r="C594" s="54" t="s">
        <v>135</v>
      </c>
      <c r="D594" s="54" t="s">
        <v>188</v>
      </c>
      <c r="E594" s="54" t="s">
        <v>134</v>
      </c>
      <c r="F594" s="55" t="n">
        <v>1731.53</v>
      </c>
      <c r="G594" s="54" t="s">
        <v>135</v>
      </c>
      <c r="H594" s="56" t="n">
        <f aca="false">VLOOKUP(E594,Treatment_Table!$B$5:$E$11,4,FALSE())</f>
        <v>1</v>
      </c>
      <c r="I594" s="57" t="n">
        <f aca="false">F594*H594</f>
        <v>1731.53</v>
      </c>
      <c r="J594" s="57" t="n">
        <f aca="false">IF(D594="Income",F594,-F594)</f>
        <v>-1731.53</v>
      </c>
    </row>
    <row r="595" customFormat="false" ht="15" hidden="false" customHeight="false" outlineLevel="0" collapsed="false">
      <c r="A595" s="54" t="s">
        <v>807</v>
      </c>
      <c r="B595" s="54" t="s">
        <v>223</v>
      </c>
      <c r="C595" s="54" t="s">
        <v>131</v>
      </c>
      <c r="D595" s="54" t="s">
        <v>188</v>
      </c>
      <c r="E595" s="54" t="s">
        <v>121</v>
      </c>
      <c r="F595" s="55" t="n">
        <v>33101.98</v>
      </c>
      <c r="G595" s="54" t="s">
        <v>131</v>
      </c>
      <c r="H595" s="56" t="n">
        <f aca="false">VLOOKUP(E595,Treatment_Table!$B$5:$E$11,4,FALSE())</f>
        <v>0</v>
      </c>
      <c r="I595" s="57" t="n">
        <f aca="false">F595*H595</f>
        <v>0</v>
      </c>
      <c r="J595" s="57" t="n">
        <f aca="false">IF(D595="Income",F595,-F595)</f>
        <v>-33101.98</v>
      </c>
    </row>
    <row r="596" customFormat="false" ht="15" hidden="false" customHeight="false" outlineLevel="0" collapsed="false">
      <c r="A596" s="54" t="s">
        <v>808</v>
      </c>
      <c r="B596" s="54" t="s">
        <v>214</v>
      </c>
      <c r="C596" s="54" t="s">
        <v>131</v>
      </c>
      <c r="D596" s="54" t="s">
        <v>188</v>
      </c>
      <c r="E596" s="54" t="s">
        <v>121</v>
      </c>
      <c r="F596" s="55" t="n">
        <v>47197.62</v>
      </c>
      <c r="G596" s="54" t="s">
        <v>131</v>
      </c>
      <c r="H596" s="56" t="n">
        <f aca="false">VLOOKUP(E596,Treatment_Table!$B$5:$E$11,4,FALSE())</f>
        <v>0</v>
      </c>
      <c r="I596" s="57" t="n">
        <f aca="false">F596*H596</f>
        <v>0</v>
      </c>
      <c r="J596" s="57" t="n">
        <f aca="false">IF(D596="Income",F596,-F596)</f>
        <v>-47197.62</v>
      </c>
    </row>
    <row r="597" customFormat="false" ht="15" hidden="false" customHeight="false" outlineLevel="0" collapsed="false">
      <c r="A597" s="54" t="s">
        <v>809</v>
      </c>
      <c r="B597" s="54" t="s">
        <v>218</v>
      </c>
      <c r="C597" s="54" t="s">
        <v>123</v>
      </c>
      <c r="D597" s="54" t="s">
        <v>188</v>
      </c>
      <c r="E597" s="54" t="s">
        <v>121</v>
      </c>
      <c r="F597" s="55" t="n">
        <v>51666.16</v>
      </c>
      <c r="G597" s="54" t="s">
        <v>123</v>
      </c>
      <c r="H597" s="56" t="n">
        <f aca="false">VLOOKUP(E597,Treatment_Table!$B$5:$E$11,4,FALSE())</f>
        <v>0</v>
      </c>
      <c r="I597" s="57" t="n">
        <f aca="false">F597*H597</f>
        <v>0</v>
      </c>
      <c r="J597" s="57" t="n">
        <f aca="false">IF(D597="Income",F597,-F597)</f>
        <v>-51666.16</v>
      </c>
    </row>
    <row r="598" customFormat="false" ht="15" hidden="false" customHeight="false" outlineLevel="0" collapsed="false">
      <c r="A598" s="54" t="s">
        <v>810</v>
      </c>
      <c r="B598" s="54" t="s">
        <v>214</v>
      </c>
      <c r="C598" s="54" t="s">
        <v>126</v>
      </c>
      <c r="D598" s="54" t="s">
        <v>188</v>
      </c>
      <c r="E598" s="54" t="s">
        <v>121</v>
      </c>
      <c r="F598" s="55" t="n">
        <v>24290.03</v>
      </c>
      <c r="G598" s="54" t="s">
        <v>126</v>
      </c>
      <c r="H598" s="56" t="n">
        <f aca="false">VLOOKUP(E598,Treatment_Table!$B$5:$E$11,4,FALSE())</f>
        <v>0</v>
      </c>
      <c r="I598" s="57" t="n">
        <f aca="false">F598*H598</f>
        <v>0</v>
      </c>
      <c r="J598" s="57" t="n">
        <f aca="false">IF(D598="Income",F598,-F598)</f>
        <v>-24290.03</v>
      </c>
    </row>
    <row r="599" customFormat="false" ht="15" hidden="false" customHeight="false" outlineLevel="0" collapsed="false">
      <c r="A599" s="54" t="s">
        <v>811</v>
      </c>
      <c r="B599" s="54" t="s">
        <v>235</v>
      </c>
      <c r="C599" s="54" t="s">
        <v>123</v>
      </c>
      <c r="D599" s="54" t="s">
        <v>188</v>
      </c>
      <c r="E599" s="54" t="s">
        <v>121</v>
      </c>
      <c r="F599" s="55" t="n">
        <v>80234.58</v>
      </c>
      <c r="G599" s="54" t="s">
        <v>123</v>
      </c>
      <c r="H599" s="56" t="n">
        <f aca="false">VLOOKUP(E599,Treatment_Table!$B$5:$E$11,4,FALSE())</f>
        <v>0</v>
      </c>
      <c r="I599" s="57" t="n">
        <f aca="false">F599*H599</f>
        <v>0</v>
      </c>
      <c r="J599" s="57" t="n">
        <f aca="false">IF(D599="Income",F599,-F599)</f>
        <v>-80234.58</v>
      </c>
    </row>
    <row r="600" customFormat="false" ht="15" hidden="false" customHeight="false" outlineLevel="0" collapsed="false">
      <c r="A600" s="54" t="s">
        <v>812</v>
      </c>
      <c r="B600" s="54" t="s">
        <v>216</v>
      </c>
      <c r="C600" s="54" t="s">
        <v>123</v>
      </c>
      <c r="D600" s="54" t="s">
        <v>188</v>
      </c>
      <c r="E600" s="54" t="s">
        <v>121</v>
      </c>
      <c r="F600" s="55" t="n">
        <v>59615.45</v>
      </c>
      <c r="G600" s="54" t="s">
        <v>123</v>
      </c>
      <c r="H600" s="56" t="n">
        <f aca="false">VLOOKUP(E600,Treatment_Table!$B$5:$E$11,4,FALSE())</f>
        <v>0</v>
      </c>
      <c r="I600" s="57" t="n">
        <f aca="false">F600*H600</f>
        <v>0</v>
      </c>
      <c r="J600" s="57" t="n">
        <f aca="false">IF(D600="Income",F600,-F600)</f>
        <v>-59615.45</v>
      </c>
    </row>
    <row r="601" customFormat="false" ht="15" hidden="false" customHeight="false" outlineLevel="0" collapsed="false">
      <c r="A601" s="54" t="s">
        <v>813</v>
      </c>
      <c r="B601" s="54" t="s">
        <v>228</v>
      </c>
      <c r="C601" s="54" t="s">
        <v>128</v>
      </c>
      <c r="D601" s="54" t="s">
        <v>188</v>
      </c>
      <c r="E601" s="54" t="s">
        <v>121</v>
      </c>
      <c r="F601" s="55" t="n">
        <v>17549.14</v>
      </c>
      <c r="G601" s="54" t="s">
        <v>128</v>
      </c>
      <c r="H601" s="56" t="n">
        <f aca="false">VLOOKUP(E601,Treatment_Table!$B$5:$E$11,4,FALSE())</f>
        <v>0</v>
      </c>
      <c r="I601" s="57" t="n">
        <f aca="false">F601*H601</f>
        <v>0</v>
      </c>
      <c r="J601" s="57" t="n">
        <f aca="false">IF(D601="Income",F601,-F601)</f>
        <v>-17549.14</v>
      </c>
    </row>
    <row r="602" customFormat="false" ht="15" hidden="false" customHeight="false" outlineLevel="0" collapsed="false">
      <c r="A602" s="54" t="s">
        <v>814</v>
      </c>
      <c r="B602" s="54" t="s">
        <v>216</v>
      </c>
      <c r="C602" s="54" t="s">
        <v>131</v>
      </c>
      <c r="D602" s="54" t="s">
        <v>188</v>
      </c>
      <c r="E602" s="54" t="s">
        <v>121</v>
      </c>
      <c r="F602" s="55" t="n">
        <v>134718.61</v>
      </c>
      <c r="G602" s="54" t="s">
        <v>131</v>
      </c>
      <c r="H602" s="56" t="n">
        <f aca="false">VLOOKUP(E602,Treatment_Table!$B$5:$E$11,4,FALSE())</f>
        <v>0</v>
      </c>
      <c r="I602" s="57" t="n">
        <f aca="false">F602*H602</f>
        <v>0</v>
      </c>
      <c r="J602" s="57" t="n">
        <f aca="false">IF(D602="Income",F602,-F602)</f>
        <v>-134718.61</v>
      </c>
    </row>
    <row r="603" customFormat="false" ht="15" hidden="false" customHeight="false" outlineLevel="0" collapsed="false">
      <c r="A603" s="54" t="s">
        <v>815</v>
      </c>
      <c r="B603" s="54" t="s">
        <v>247</v>
      </c>
      <c r="C603" s="54" t="s">
        <v>129</v>
      </c>
      <c r="D603" s="54" t="s">
        <v>188</v>
      </c>
      <c r="E603" s="54" t="s">
        <v>121</v>
      </c>
      <c r="F603" s="55" t="n">
        <v>29267.91</v>
      </c>
      <c r="G603" s="54" t="s">
        <v>129</v>
      </c>
      <c r="H603" s="56" t="n">
        <f aca="false">VLOOKUP(E603,Treatment_Table!$B$5:$E$11,4,FALSE())</f>
        <v>0</v>
      </c>
      <c r="I603" s="57" t="n">
        <f aca="false">F603*H603</f>
        <v>0</v>
      </c>
      <c r="J603" s="57" t="n">
        <f aca="false">IF(D603="Income",F603,-F603)</f>
        <v>-29267.91</v>
      </c>
    </row>
    <row r="604" customFormat="false" ht="15" hidden="false" customHeight="false" outlineLevel="0" collapsed="false">
      <c r="A604" s="54" t="s">
        <v>816</v>
      </c>
      <c r="B604" s="54" t="s">
        <v>230</v>
      </c>
      <c r="C604" s="54" t="s">
        <v>131</v>
      </c>
      <c r="D604" s="54" t="s">
        <v>188</v>
      </c>
      <c r="E604" s="54" t="s">
        <v>121</v>
      </c>
      <c r="F604" s="55" t="n">
        <v>71993.51</v>
      </c>
      <c r="G604" s="54" t="s">
        <v>131</v>
      </c>
      <c r="H604" s="56" t="n">
        <f aca="false">VLOOKUP(E604,Treatment_Table!$B$5:$E$11,4,FALSE())</f>
        <v>0</v>
      </c>
      <c r="I604" s="57" t="n">
        <f aca="false">F604*H604</f>
        <v>0</v>
      </c>
      <c r="J604" s="57" t="n">
        <f aca="false">IF(D604="Income",F604,-F604)</f>
        <v>-71993.51</v>
      </c>
    </row>
    <row r="605" customFormat="false" ht="15" hidden="false" customHeight="false" outlineLevel="0" collapsed="false">
      <c r="A605" s="54" t="s">
        <v>817</v>
      </c>
      <c r="B605" s="54" t="s">
        <v>216</v>
      </c>
      <c r="C605" s="54" t="s">
        <v>130</v>
      </c>
      <c r="D605" s="54" t="s">
        <v>188</v>
      </c>
      <c r="E605" s="54" t="s">
        <v>121</v>
      </c>
      <c r="F605" s="55" t="n">
        <v>32923.51</v>
      </c>
      <c r="G605" s="54" t="s">
        <v>130</v>
      </c>
      <c r="H605" s="56" t="n">
        <f aca="false">VLOOKUP(E605,Treatment_Table!$B$5:$E$11,4,FALSE())</f>
        <v>0</v>
      </c>
      <c r="I605" s="57" t="n">
        <f aca="false">F605*H605</f>
        <v>0</v>
      </c>
      <c r="J605" s="57" t="n">
        <f aca="false">IF(D605="Income",F605,-F605)</f>
        <v>-32923.51</v>
      </c>
    </row>
    <row r="606" customFormat="false" ht="15" hidden="false" customHeight="false" outlineLevel="0" collapsed="false">
      <c r="A606" s="54" t="s">
        <v>818</v>
      </c>
      <c r="B606" s="54" t="s">
        <v>223</v>
      </c>
      <c r="C606" s="54" t="s">
        <v>126</v>
      </c>
      <c r="D606" s="54" t="s">
        <v>188</v>
      </c>
      <c r="E606" s="54" t="s">
        <v>121</v>
      </c>
      <c r="F606" s="55" t="n">
        <v>10465.06</v>
      </c>
      <c r="G606" s="54" t="s">
        <v>126</v>
      </c>
      <c r="H606" s="56" t="n">
        <f aca="false">VLOOKUP(E606,Treatment_Table!$B$5:$E$11,4,FALSE())</f>
        <v>0</v>
      </c>
      <c r="I606" s="57" t="n">
        <f aca="false">F606*H606</f>
        <v>0</v>
      </c>
      <c r="J606" s="57" t="n">
        <f aca="false">IF(D606="Income",F606,-F606)</f>
        <v>-10465.06</v>
      </c>
    </row>
    <row r="607" customFormat="false" ht="15" hidden="false" customHeight="false" outlineLevel="0" collapsed="false">
      <c r="A607" s="54" t="s">
        <v>819</v>
      </c>
      <c r="B607" s="54" t="s">
        <v>243</v>
      </c>
      <c r="C607" s="54" t="s">
        <v>123</v>
      </c>
      <c r="D607" s="54" t="s">
        <v>188</v>
      </c>
      <c r="E607" s="54" t="s">
        <v>121</v>
      </c>
      <c r="F607" s="55" t="n">
        <v>51330.57</v>
      </c>
      <c r="G607" s="54" t="s">
        <v>123</v>
      </c>
      <c r="H607" s="56" t="n">
        <f aca="false">VLOOKUP(E607,Treatment_Table!$B$5:$E$11,4,FALSE())</f>
        <v>0</v>
      </c>
      <c r="I607" s="57" t="n">
        <f aca="false">F607*H607</f>
        <v>0</v>
      </c>
      <c r="J607" s="57" t="n">
        <f aca="false">IF(D607="Income",F607,-F607)</f>
        <v>-51330.57</v>
      </c>
    </row>
    <row r="608" customFormat="false" ht="15" hidden="false" customHeight="false" outlineLevel="0" collapsed="false">
      <c r="A608" s="54" t="s">
        <v>820</v>
      </c>
      <c r="B608" s="54" t="s">
        <v>223</v>
      </c>
      <c r="C608" s="54" t="s">
        <v>130</v>
      </c>
      <c r="D608" s="54" t="s">
        <v>188</v>
      </c>
      <c r="E608" s="54" t="s">
        <v>121</v>
      </c>
      <c r="F608" s="55" t="n">
        <v>39651.09</v>
      </c>
      <c r="G608" s="54" t="s">
        <v>130</v>
      </c>
      <c r="H608" s="56" t="n">
        <f aca="false">VLOOKUP(E608,Treatment_Table!$B$5:$E$11,4,FALSE())</f>
        <v>0</v>
      </c>
      <c r="I608" s="57" t="n">
        <f aca="false">F608*H608</f>
        <v>0</v>
      </c>
      <c r="J608" s="57" t="n">
        <f aca="false">IF(D608="Income",F608,-F608)</f>
        <v>-39651.09</v>
      </c>
    </row>
    <row r="609" customFormat="false" ht="15" hidden="false" customHeight="false" outlineLevel="0" collapsed="false">
      <c r="A609" s="54" t="s">
        <v>821</v>
      </c>
      <c r="B609" s="54" t="s">
        <v>228</v>
      </c>
      <c r="C609" s="54" t="s">
        <v>126</v>
      </c>
      <c r="D609" s="54" t="s">
        <v>188</v>
      </c>
      <c r="E609" s="54" t="s">
        <v>121</v>
      </c>
      <c r="F609" s="55" t="n">
        <v>31787.41</v>
      </c>
      <c r="G609" s="54" t="s">
        <v>126</v>
      </c>
      <c r="H609" s="56" t="n">
        <f aca="false">VLOOKUP(E609,Treatment_Table!$B$5:$E$11,4,FALSE())</f>
        <v>0</v>
      </c>
      <c r="I609" s="57" t="n">
        <f aca="false">F609*H609</f>
        <v>0</v>
      </c>
      <c r="J609" s="57" t="n">
        <f aca="false">IF(D609="Income",F609,-F609)</f>
        <v>-31787.41</v>
      </c>
    </row>
    <row r="610" customFormat="false" ht="15" hidden="false" customHeight="false" outlineLevel="0" collapsed="false">
      <c r="A610" s="54" t="s">
        <v>822</v>
      </c>
      <c r="B610" s="54" t="s">
        <v>228</v>
      </c>
      <c r="C610" s="54" t="s">
        <v>128</v>
      </c>
      <c r="D610" s="54" t="s">
        <v>188</v>
      </c>
      <c r="E610" s="54" t="s">
        <v>121</v>
      </c>
      <c r="F610" s="55" t="n">
        <v>19071.15</v>
      </c>
      <c r="G610" s="54" t="s">
        <v>128</v>
      </c>
      <c r="H610" s="56" t="n">
        <f aca="false">VLOOKUP(E610,Treatment_Table!$B$5:$E$11,4,FALSE())</f>
        <v>0</v>
      </c>
      <c r="I610" s="57" t="n">
        <f aca="false">F610*H610</f>
        <v>0</v>
      </c>
      <c r="J610" s="57" t="n">
        <f aca="false">IF(D610="Income",F610,-F610)</f>
        <v>-19071.15</v>
      </c>
    </row>
    <row r="611" customFormat="false" ht="15" hidden="false" customHeight="false" outlineLevel="0" collapsed="false">
      <c r="A611" s="54" t="s">
        <v>823</v>
      </c>
      <c r="B611" s="54" t="s">
        <v>205</v>
      </c>
      <c r="C611" s="54" t="s">
        <v>140</v>
      </c>
      <c r="D611" s="54" t="s">
        <v>188</v>
      </c>
      <c r="E611" s="54" t="s">
        <v>141</v>
      </c>
      <c r="F611" s="55" t="n">
        <v>42432.91</v>
      </c>
      <c r="G611" s="54" t="s">
        <v>140</v>
      </c>
      <c r="H611" s="56" t="n">
        <f aca="false">VLOOKUP(E611,Treatment_Table!$B$5:$E$11,4,FALSE())</f>
        <v>0</v>
      </c>
      <c r="I611" s="57" t="n">
        <f aca="false">F611*H611</f>
        <v>0</v>
      </c>
      <c r="J611" s="57" t="n">
        <f aca="false">IF(D611="Income",F611,-F611)</f>
        <v>-42432.91</v>
      </c>
    </row>
    <row r="612" customFormat="false" ht="15" hidden="false" customHeight="false" outlineLevel="0" collapsed="false">
      <c r="A612" s="54" t="s">
        <v>824</v>
      </c>
      <c r="B612" s="54" t="s">
        <v>243</v>
      </c>
      <c r="C612" s="54" t="s">
        <v>123</v>
      </c>
      <c r="D612" s="54" t="s">
        <v>188</v>
      </c>
      <c r="E612" s="54" t="s">
        <v>121</v>
      </c>
      <c r="F612" s="55" t="n">
        <v>123485.42</v>
      </c>
      <c r="G612" s="54" t="s">
        <v>123</v>
      </c>
      <c r="H612" s="56" t="n">
        <f aca="false">VLOOKUP(E612,Treatment_Table!$B$5:$E$11,4,FALSE())</f>
        <v>0</v>
      </c>
      <c r="I612" s="57" t="n">
        <f aca="false">F612*H612</f>
        <v>0</v>
      </c>
      <c r="J612" s="57" t="n">
        <f aca="false">IF(D612="Income",F612,-F612)</f>
        <v>-123485.42</v>
      </c>
    </row>
    <row r="613" customFormat="false" ht="15" hidden="false" customHeight="false" outlineLevel="0" collapsed="false">
      <c r="A613" s="54" t="s">
        <v>825</v>
      </c>
      <c r="B613" s="54" t="s">
        <v>208</v>
      </c>
      <c r="C613" s="54" t="s">
        <v>126</v>
      </c>
      <c r="D613" s="54" t="s">
        <v>188</v>
      </c>
      <c r="E613" s="54" t="s">
        <v>121</v>
      </c>
      <c r="F613" s="55" t="n">
        <v>47174.42</v>
      </c>
      <c r="G613" s="54" t="s">
        <v>126</v>
      </c>
      <c r="H613" s="56" t="n">
        <f aca="false">VLOOKUP(E613,Treatment_Table!$B$5:$E$11,4,FALSE())</f>
        <v>0</v>
      </c>
      <c r="I613" s="57" t="n">
        <f aca="false">F613*H613</f>
        <v>0</v>
      </c>
      <c r="J613" s="57" t="n">
        <f aca="false">IF(D613="Income",F613,-F613)</f>
        <v>-47174.42</v>
      </c>
    </row>
    <row r="614" customFormat="false" ht="15" hidden="false" customHeight="false" outlineLevel="0" collapsed="false">
      <c r="A614" s="54" t="s">
        <v>826</v>
      </c>
      <c r="B614" s="54" t="s">
        <v>214</v>
      </c>
      <c r="C614" s="54" t="s">
        <v>126</v>
      </c>
      <c r="D614" s="54" t="s">
        <v>188</v>
      </c>
      <c r="E614" s="54" t="s">
        <v>121</v>
      </c>
      <c r="F614" s="55" t="n">
        <v>15441.15</v>
      </c>
      <c r="G614" s="54" t="s">
        <v>126</v>
      </c>
      <c r="H614" s="56" t="n">
        <f aca="false">VLOOKUP(E614,Treatment_Table!$B$5:$E$11,4,FALSE())</f>
        <v>0</v>
      </c>
      <c r="I614" s="57" t="n">
        <f aca="false">F614*H614</f>
        <v>0</v>
      </c>
      <c r="J614" s="57" t="n">
        <f aca="false">IF(D614="Income",F614,-F614)</f>
        <v>-15441.15</v>
      </c>
    </row>
    <row r="615" customFormat="false" ht="15" hidden="false" customHeight="false" outlineLevel="0" collapsed="false">
      <c r="A615" s="54" t="s">
        <v>827</v>
      </c>
      <c r="B615" s="54" t="s">
        <v>247</v>
      </c>
      <c r="C615" s="54" t="s">
        <v>131</v>
      </c>
      <c r="D615" s="54" t="s">
        <v>188</v>
      </c>
      <c r="E615" s="54" t="s">
        <v>121</v>
      </c>
      <c r="F615" s="55" t="n">
        <v>23440.26</v>
      </c>
      <c r="G615" s="54" t="s">
        <v>131</v>
      </c>
      <c r="H615" s="56" t="n">
        <f aca="false">VLOOKUP(E615,Treatment_Table!$B$5:$E$11,4,FALSE())</f>
        <v>0</v>
      </c>
      <c r="I615" s="57" t="n">
        <f aca="false">F615*H615</f>
        <v>0</v>
      </c>
      <c r="J615" s="57" t="n">
        <f aca="false">IF(D615="Income",F615,-F615)</f>
        <v>-23440.26</v>
      </c>
    </row>
    <row r="616" customFormat="false" ht="15" hidden="false" customHeight="false" outlineLevel="0" collapsed="false">
      <c r="A616" s="54" t="s">
        <v>828</v>
      </c>
      <c r="B616" s="54" t="s">
        <v>205</v>
      </c>
      <c r="C616" s="54" t="s">
        <v>131</v>
      </c>
      <c r="D616" s="54" t="s">
        <v>188</v>
      </c>
      <c r="E616" s="54" t="s">
        <v>121</v>
      </c>
      <c r="F616" s="55" t="n">
        <v>105679.68</v>
      </c>
      <c r="G616" s="54" t="s">
        <v>131</v>
      </c>
      <c r="H616" s="56" t="n">
        <f aca="false">VLOOKUP(E616,Treatment_Table!$B$5:$E$11,4,FALSE())</f>
        <v>0</v>
      </c>
      <c r="I616" s="57" t="n">
        <f aca="false">F616*H616</f>
        <v>0</v>
      </c>
      <c r="J616" s="57" t="n">
        <f aca="false">IF(D616="Income",F616,-F616)</f>
        <v>-105679.68</v>
      </c>
    </row>
    <row r="617" customFormat="false" ht="15" hidden="false" customHeight="false" outlineLevel="0" collapsed="false">
      <c r="A617" s="54" t="s">
        <v>829</v>
      </c>
      <c r="B617" s="54" t="s">
        <v>228</v>
      </c>
      <c r="C617" s="54" t="s">
        <v>131</v>
      </c>
      <c r="D617" s="54" t="s">
        <v>188</v>
      </c>
      <c r="E617" s="54" t="s">
        <v>121</v>
      </c>
      <c r="F617" s="55" t="n">
        <v>31342.64</v>
      </c>
      <c r="G617" s="54" t="s">
        <v>131</v>
      </c>
      <c r="H617" s="56" t="n">
        <f aca="false">VLOOKUP(E617,Treatment_Table!$B$5:$E$11,4,FALSE())</f>
        <v>0</v>
      </c>
      <c r="I617" s="57" t="n">
        <f aca="false">F617*H617</f>
        <v>0</v>
      </c>
      <c r="J617" s="57" t="n">
        <f aca="false">IF(D617="Income",F617,-F617)</f>
        <v>-31342.64</v>
      </c>
    </row>
    <row r="618" customFormat="false" ht="15" hidden="false" customHeight="false" outlineLevel="0" collapsed="false">
      <c r="A618" s="54" t="s">
        <v>830</v>
      </c>
      <c r="B618" s="54" t="s">
        <v>235</v>
      </c>
      <c r="C618" s="54" t="s">
        <v>138</v>
      </c>
      <c r="D618" s="54" t="s">
        <v>188</v>
      </c>
      <c r="E618" s="54" t="s">
        <v>139</v>
      </c>
      <c r="F618" s="55" t="n">
        <v>2804.98</v>
      </c>
      <c r="G618" s="54" t="s">
        <v>138</v>
      </c>
      <c r="H618" s="56" t="n">
        <f aca="false">VLOOKUP(E618,Treatment_Table!$B$5:$E$11,4,FALSE())</f>
        <v>0.5</v>
      </c>
      <c r="I618" s="57" t="n">
        <f aca="false">F618*H618</f>
        <v>1402.49</v>
      </c>
      <c r="J618" s="57" t="n">
        <f aca="false">IF(D618="Income",F618,-F618)</f>
        <v>-2804.98</v>
      </c>
    </row>
    <row r="619" customFormat="false" ht="15" hidden="false" customHeight="false" outlineLevel="0" collapsed="false">
      <c r="A619" s="54" t="s">
        <v>831</v>
      </c>
      <c r="B619" s="54" t="s">
        <v>208</v>
      </c>
      <c r="C619" s="54" t="s">
        <v>142</v>
      </c>
      <c r="D619" s="54" t="s">
        <v>188</v>
      </c>
      <c r="E619" s="54" t="s">
        <v>141</v>
      </c>
      <c r="F619" s="55" t="n">
        <v>35655.61</v>
      </c>
      <c r="G619" s="54" t="s">
        <v>142</v>
      </c>
      <c r="H619" s="56" t="n">
        <f aca="false">VLOOKUP(E619,Treatment_Table!$B$5:$E$11,4,FALSE())</f>
        <v>0</v>
      </c>
      <c r="I619" s="57" t="n">
        <f aca="false">F619*H619</f>
        <v>0</v>
      </c>
      <c r="J619" s="57" t="n">
        <f aca="false">IF(D619="Income",F619,-F619)</f>
        <v>-35655.61</v>
      </c>
    </row>
    <row r="620" customFormat="false" ht="15" hidden="false" customHeight="false" outlineLevel="0" collapsed="false">
      <c r="A620" s="54" t="s">
        <v>832</v>
      </c>
      <c r="B620" s="54" t="s">
        <v>230</v>
      </c>
      <c r="C620" s="54" t="s">
        <v>131</v>
      </c>
      <c r="D620" s="54" t="s">
        <v>188</v>
      </c>
      <c r="E620" s="54" t="s">
        <v>121</v>
      </c>
      <c r="F620" s="55" t="n">
        <v>40252.45</v>
      </c>
      <c r="G620" s="54" t="s">
        <v>131</v>
      </c>
      <c r="H620" s="56" t="n">
        <f aca="false">VLOOKUP(E620,Treatment_Table!$B$5:$E$11,4,FALSE())</f>
        <v>0</v>
      </c>
      <c r="I620" s="57" t="n">
        <f aca="false">F620*H620</f>
        <v>0</v>
      </c>
      <c r="J620" s="57" t="n">
        <f aca="false">IF(D620="Income",F620,-F620)</f>
        <v>-40252.45</v>
      </c>
    </row>
    <row r="621" customFormat="false" ht="15" hidden="false" customHeight="false" outlineLevel="0" collapsed="false">
      <c r="A621" s="54" t="s">
        <v>833</v>
      </c>
      <c r="B621" s="54" t="s">
        <v>243</v>
      </c>
      <c r="C621" s="54" t="s">
        <v>123</v>
      </c>
      <c r="D621" s="54" t="s">
        <v>188</v>
      </c>
      <c r="E621" s="54" t="s">
        <v>121</v>
      </c>
      <c r="F621" s="55" t="n">
        <v>93668.42</v>
      </c>
      <c r="G621" s="54" t="s">
        <v>123</v>
      </c>
      <c r="H621" s="56" t="n">
        <f aca="false">VLOOKUP(E621,Treatment_Table!$B$5:$E$11,4,FALSE())</f>
        <v>0</v>
      </c>
      <c r="I621" s="57" t="n">
        <f aca="false">F621*H621</f>
        <v>0</v>
      </c>
      <c r="J621" s="57" t="n">
        <f aca="false">IF(D621="Income",F621,-F621)</f>
        <v>-93668.42</v>
      </c>
    </row>
    <row r="622" customFormat="false" ht="15" hidden="false" customHeight="false" outlineLevel="0" collapsed="false">
      <c r="A622" s="54" t="s">
        <v>834</v>
      </c>
      <c r="B622" s="54" t="s">
        <v>247</v>
      </c>
      <c r="C622" s="54" t="s">
        <v>130</v>
      </c>
      <c r="D622" s="54" t="s">
        <v>188</v>
      </c>
      <c r="E622" s="54" t="s">
        <v>121</v>
      </c>
      <c r="F622" s="55" t="n">
        <v>38700.76</v>
      </c>
      <c r="G622" s="54" t="s">
        <v>130</v>
      </c>
      <c r="H622" s="56" t="n">
        <f aca="false">VLOOKUP(E622,Treatment_Table!$B$5:$E$11,4,FALSE())</f>
        <v>0</v>
      </c>
      <c r="I622" s="57" t="n">
        <f aca="false">F622*H622</f>
        <v>0</v>
      </c>
      <c r="J622" s="57" t="n">
        <f aca="false">IF(D622="Income",F622,-F622)</f>
        <v>-38700.76</v>
      </c>
    </row>
    <row r="623" customFormat="false" ht="15" hidden="false" customHeight="false" outlineLevel="0" collapsed="false">
      <c r="A623" s="54" t="s">
        <v>835</v>
      </c>
      <c r="B623" s="54" t="s">
        <v>210</v>
      </c>
      <c r="C623" s="54" t="s">
        <v>131</v>
      </c>
      <c r="D623" s="54" t="s">
        <v>188</v>
      </c>
      <c r="E623" s="54" t="s">
        <v>121</v>
      </c>
      <c r="F623" s="55" t="n">
        <v>282400.2</v>
      </c>
      <c r="G623" s="54" t="s">
        <v>131</v>
      </c>
      <c r="H623" s="56" t="n">
        <f aca="false">VLOOKUP(E623,Treatment_Table!$B$5:$E$11,4,FALSE())</f>
        <v>0</v>
      </c>
      <c r="I623" s="57" t="n">
        <f aca="false">F623*H623</f>
        <v>0</v>
      </c>
      <c r="J623" s="57" t="n">
        <f aca="false">IF(D623="Income",F623,-F623)</f>
        <v>-282400.2</v>
      </c>
    </row>
    <row r="624" customFormat="false" ht="15" hidden="false" customHeight="false" outlineLevel="0" collapsed="false">
      <c r="A624" s="54" t="s">
        <v>836</v>
      </c>
      <c r="B624" s="54" t="s">
        <v>223</v>
      </c>
      <c r="C624" s="54" t="s">
        <v>123</v>
      </c>
      <c r="D624" s="54" t="s">
        <v>188</v>
      </c>
      <c r="E624" s="54" t="s">
        <v>121</v>
      </c>
      <c r="F624" s="55" t="n">
        <v>109002.06</v>
      </c>
      <c r="G624" s="54" t="s">
        <v>123</v>
      </c>
      <c r="H624" s="56" t="n">
        <f aca="false">VLOOKUP(E624,Treatment_Table!$B$5:$E$11,4,FALSE())</f>
        <v>0</v>
      </c>
      <c r="I624" s="57" t="n">
        <f aca="false">F624*H624</f>
        <v>0</v>
      </c>
      <c r="J624" s="57" t="n">
        <f aca="false">IF(D624="Income",F624,-F624)</f>
        <v>-109002.06</v>
      </c>
    </row>
    <row r="625" customFormat="false" ht="15" hidden="false" customHeight="false" outlineLevel="0" collapsed="false">
      <c r="A625" s="54" t="s">
        <v>837</v>
      </c>
      <c r="B625" s="54" t="s">
        <v>218</v>
      </c>
      <c r="C625" s="54" t="s">
        <v>132</v>
      </c>
      <c r="D625" s="54" t="s">
        <v>188</v>
      </c>
      <c r="E625" s="54" t="s">
        <v>121</v>
      </c>
      <c r="F625" s="55" t="n">
        <v>4750.88</v>
      </c>
      <c r="G625" s="54" t="s">
        <v>132</v>
      </c>
      <c r="H625" s="56" t="n">
        <f aca="false">VLOOKUP(E625,Treatment_Table!$B$5:$E$11,4,FALSE())</f>
        <v>0</v>
      </c>
      <c r="I625" s="57" t="n">
        <f aca="false">F625*H625</f>
        <v>0</v>
      </c>
      <c r="J625" s="57" t="n">
        <f aca="false">IF(D625="Income",F625,-F625)</f>
        <v>-4750.88</v>
      </c>
    </row>
    <row r="626" customFormat="false" ht="15" hidden="false" customHeight="false" outlineLevel="0" collapsed="false">
      <c r="A626" s="54" t="s">
        <v>838</v>
      </c>
      <c r="B626" s="54" t="s">
        <v>205</v>
      </c>
      <c r="C626" s="54" t="s">
        <v>128</v>
      </c>
      <c r="D626" s="54" t="s">
        <v>188</v>
      </c>
      <c r="E626" s="54" t="s">
        <v>121</v>
      </c>
      <c r="F626" s="55" t="n">
        <v>18487.32</v>
      </c>
      <c r="G626" s="54" t="s">
        <v>128</v>
      </c>
      <c r="H626" s="56" t="n">
        <f aca="false">VLOOKUP(E626,Treatment_Table!$B$5:$E$11,4,FALSE())</f>
        <v>0</v>
      </c>
      <c r="I626" s="57" t="n">
        <f aca="false">F626*H626</f>
        <v>0</v>
      </c>
      <c r="J626" s="57" t="n">
        <f aca="false">IF(D626="Income",F626,-F626)</f>
        <v>-18487.32</v>
      </c>
    </row>
    <row r="627" customFormat="false" ht="15" hidden="false" customHeight="false" outlineLevel="0" collapsed="false">
      <c r="A627" s="54" t="s">
        <v>839</v>
      </c>
      <c r="B627" s="54" t="s">
        <v>235</v>
      </c>
      <c r="C627" s="54" t="s">
        <v>129</v>
      </c>
      <c r="D627" s="54" t="s">
        <v>188</v>
      </c>
      <c r="E627" s="54" t="s">
        <v>121</v>
      </c>
      <c r="F627" s="55" t="n">
        <v>66082.42</v>
      </c>
      <c r="G627" s="54" t="s">
        <v>129</v>
      </c>
      <c r="H627" s="56" t="n">
        <f aca="false">VLOOKUP(E627,Treatment_Table!$B$5:$E$11,4,FALSE())</f>
        <v>0</v>
      </c>
      <c r="I627" s="57" t="n">
        <f aca="false">F627*H627</f>
        <v>0</v>
      </c>
      <c r="J627" s="57" t="n">
        <f aca="false">IF(D627="Income",F627,-F627)</f>
        <v>-66082.42</v>
      </c>
    </row>
    <row r="628" customFormat="false" ht="15" hidden="false" customHeight="false" outlineLevel="0" collapsed="false">
      <c r="A628" s="54" t="s">
        <v>840</v>
      </c>
      <c r="B628" s="54" t="s">
        <v>208</v>
      </c>
      <c r="C628" s="54" t="s">
        <v>132</v>
      </c>
      <c r="D628" s="54" t="s">
        <v>188</v>
      </c>
      <c r="E628" s="54" t="s">
        <v>121</v>
      </c>
      <c r="F628" s="55" t="n">
        <v>11310.17</v>
      </c>
      <c r="G628" s="54" t="s">
        <v>132</v>
      </c>
      <c r="H628" s="56" t="n">
        <f aca="false">VLOOKUP(E628,Treatment_Table!$B$5:$E$11,4,FALSE())</f>
        <v>0</v>
      </c>
      <c r="I628" s="57" t="n">
        <f aca="false">F628*H628</f>
        <v>0</v>
      </c>
      <c r="J628" s="57" t="n">
        <f aca="false">IF(D628="Income",F628,-F628)</f>
        <v>-11310.17</v>
      </c>
    </row>
    <row r="629" customFormat="false" ht="15" hidden="false" customHeight="false" outlineLevel="0" collapsed="false">
      <c r="A629" s="54" t="s">
        <v>841</v>
      </c>
      <c r="B629" s="54" t="s">
        <v>214</v>
      </c>
      <c r="C629" s="54" t="s">
        <v>129</v>
      </c>
      <c r="D629" s="54" t="s">
        <v>188</v>
      </c>
      <c r="E629" s="54" t="s">
        <v>121</v>
      </c>
      <c r="F629" s="55" t="n">
        <v>10522.87</v>
      </c>
      <c r="G629" s="54" t="s">
        <v>129</v>
      </c>
      <c r="H629" s="56" t="n">
        <f aca="false">VLOOKUP(E629,Treatment_Table!$B$5:$E$11,4,FALSE())</f>
        <v>0</v>
      </c>
      <c r="I629" s="57" t="n">
        <f aca="false">F629*H629</f>
        <v>0</v>
      </c>
      <c r="J629" s="57" t="n">
        <f aca="false">IF(D629="Income",F629,-F629)</f>
        <v>-10522.87</v>
      </c>
    </row>
    <row r="630" customFormat="false" ht="15" hidden="false" customHeight="false" outlineLevel="0" collapsed="false">
      <c r="A630" s="54" t="s">
        <v>842</v>
      </c>
      <c r="B630" s="54" t="s">
        <v>223</v>
      </c>
      <c r="C630" s="54" t="s">
        <v>124</v>
      </c>
      <c r="D630" s="54" t="s">
        <v>188</v>
      </c>
      <c r="E630" s="54" t="s">
        <v>121</v>
      </c>
      <c r="F630" s="55" t="n">
        <v>70246.58</v>
      </c>
      <c r="G630" s="54" t="s">
        <v>124</v>
      </c>
      <c r="H630" s="56" t="n">
        <f aca="false">VLOOKUP(E630,Treatment_Table!$B$5:$E$11,4,FALSE())</f>
        <v>0</v>
      </c>
      <c r="I630" s="57" t="n">
        <f aca="false">F630*H630</f>
        <v>0</v>
      </c>
      <c r="J630" s="57" t="n">
        <f aca="false">IF(D630="Income",F630,-F630)</f>
        <v>-70246.58</v>
      </c>
    </row>
    <row r="631" customFormat="false" ht="15" hidden="false" customHeight="false" outlineLevel="0" collapsed="false">
      <c r="A631" s="54" t="s">
        <v>843</v>
      </c>
      <c r="B631" s="54" t="s">
        <v>228</v>
      </c>
      <c r="C631" s="54" t="s">
        <v>132</v>
      </c>
      <c r="D631" s="54" t="s">
        <v>188</v>
      </c>
      <c r="E631" s="54" t="s">
        <v>121</v>
      </c>
      <c r="F631" s="55" t="n">
        <v>4248.04</v>
      </c>
      <c r="G631" s="54" t="s">
        <v>132</v>
      </c>
      <c r="H631" s="56" t="n">
        <f aca="false">VLOOKUP(E631,Treatment_Table!$B$5:$E$11,4,FALSE())</f>
        <v>0</v>
      </c>
      <c r="I631" s="57" t="n">
        <f aca="false">F631*H631</f>
        <v>0</v>
      </c>
      <c r="J631" s="57" t="n">
        <f aca="false">IF(D631="Income",F631,-F631)</f>
        <v>-4248.04</v>
      </c>
    </row>
    <row r="632" customFormat="false" ht="15" hidden="false" customHeight="false" outlineLevel="0" collapsed="false">
      <c r="A632" s="54" t="s">
        <v>844</v>
      </c>
      <c r="B632" s="54" t="s">
        <v>223</v>
      </c>
      <c r="C632" s="54" t="s">
        <v>123</v>
      </c>
      <c r="D632" s="54" t="s">
        <v>188</v>
      </c>
      <c r="E632" s="54" t="s">
        <v>121</v>
      </c>
      <c r="F632" s="55" t="n">
        <v>109921.75</v>
      </c>
      <c r="G632" s="54" t="s">
        <v>123</v>
      </c>
      <c r="H632" s="56" t="n">
        <f aca="false">VLOOKUP(E632,Treatment_Table!$B$5:$E$11,4,FALSE())</f>
        <v>0</v>
      </c>
      <c r="I632" s="57" t="n">
        <f aca="false">F632*H632</f>
        <v>0</v>
      </c>
      <c r="J632" s="57" t="n">
        <f aca="false">IF(D632="Income",F632,-F632)</f>
        <v>-109921.75</v>
      </c>
    </row>
    <row r="633" customFormat="false" ht="15" hidden="false" customHeight="false" outlineLevel="0" collapsed="false">
      <c r="A633" s="54" t="s">
        <v>845</v>
      </c>
      <c r="B633" s="54" t="s">
        <v>243</v>
      </c>
      <c r="C633" s="54" t="s">
        <v>131</v>
      </c>
      <c r="D633" s="54" t="s">
        <v>188</v>
      </c>
      <c r="E633" s="54" t="s">
        <v>121</v>
      </c>
      <c r="F633" s="55" t="n">
        <v>111459.74</v>
      </c>
      <c r="G633" s="54" t="s">
        <v>131</v>
      </c>
      <c r="H633" s="56" t="n">
        <f aca="false">VLOOKUP(E633,Treatment_Table!$B$5:$E$11,4,FALSE())</f>
        <v>0</v>
      </c>
      <c r="I633" s="57" t="n">
        <f aca="false">F633*H633</f>
        <v>0</v>
      </c>
      <c r="J633" s="57" t="n">
        <f aca="false">IF(D633="Income",F633,-F633)</f>
        <v>-111459.74</v>
      </c>
    </row>
    <row r="634" customFormat="false" ht="15" hidden="false" customHeight="false" outlineLevel="0" collapsed="false">
      <c r="A634" s="54" t="s">
        <v>846</v>
      </c>
      <c r="B634" s="54" t="s">
        <v>216</v>
      </c>
      <c r="C634" s="54" t="s">
        <v>133</v>
      </c>
      <c r="D634" s="54" t="s">
        <v>188</v>
      </c>
      <c r="E634" s="54" t="s">
        <v>134</v>
      </c>
      <c r="F634" s="55" t="n">
        <v>2467.7</v>
      </c>
      <c r="G634" s="54" t="s">
        <v>133</v>
      </c>
      <c r="H634" s="56" t="n">
        <f aca="false">VLOOKUP(E634,Treatment_Table!$B$5:$E$11,4,FALSE())</f>
        <v>1</v>
      </c>
      <c r="I634" s="57" t="n">
        <f aca="false">F634*H634</f>
        <v>2467.7</v>
      </c>
      <c r="J634" s="57" t="n">
        <f aca="false">IF(D634="Income",F634,-F634)</f>
        <v>-2467.7</v>
      </c>
    </row>
    <row r="635" customFormat="false" ht="15" hidden="false" customHeight="false" outlineLevel="0" collapsed="false">
      <c r="A635" s="54" t="s">
        <v>847</v>
      </c>
      <c r="B635" s="54" t="s">
        <v>210</v>
      </c>
      <c r="C635" s="54" t="s">
        <v>131</v>
      </c>
      <c r="D635" s="54" t="s">
        <v>188</v>
      </c>
      <c r="E635" s="54" t="s">
        <v>121</v>
      </c>
      <c r="F635" s="55" t="n">
        <v>44628.99</v>
      </c>
      <c r="G635" s="54" t="s">
        <v>131</v>
      </c>
      <c r="H635" s="56" t="n">
        <f aca="false">VLOOKUP(E635,Treatment_Table!$B$5:$E$11,4,FALSE())</f>
        <v>0</v>
      </c>
      <c r="I635" s="57" t="n">
        <f aca="false">F635*H635</f>
        <v>0</v>
      </c>
      <c r="J635" s="57" t="n">
        <f aca="false">IF(D635="Income",F635,-F635)</f>
        <v>-44628.99</v>
      </c>
    </row>
    <row r="636" customFormat="false" ht="15" hidden="false" customHeight="false" outlineLevel="0" collapsed="false">
      <c r="A636" s="54" t="s">
        <v>848</v>
      </c>
      <c r="B636" s="54" t="s">
        <v>218</v>
      </c>
      <c r="C636" s="54" t="s">
        <v>129</v>
      </c>
      <c r="D636" s="54" t="s">
        <v>188</v>
      </c>
      <c r="E636" s="54" t="s">
        <v>121</v>
      </c>
      <c r="F636" s="55" t="n">
        <v>33637.28</v>
      </c>
      <c r="G636" s="54" t="s">
        <v>129</v>
      </c>
      <c r="H636" s="56" t="n">
        <f aca="false">VLOOKUP(E636,Treatment_Table!$B$5:$E$11,4,FALSE())</f>
        <v>0</v>
      </c>
      <c r="I636" s="57" t="n">
        <f aca="false">F636*H636</f>
        <v>0</v>
      </c>
      <c r="J636" s="57" t="n">
        <f aca="false">IF(D636="Income",F636,-F636)</f>
        <v>-33637.28</v>
      </c>
    </row>
    <row r="637" customFormat="false" ht="15" hidden="false" customHeight="false" outlineLevel="0" collapsed="false">
      <c r="A637" s="54" t="s">
        <v>849</v>
      </c>
      <c r="B637" s="54" t="s">
        <v>214</v>
      </c>
      <c r="C637" s="54" t="s">
        <v>123</v>
      </c>
      <c r="D637" s="54" t="s">
        <v>188</v>
      </c>
      <c r="E637" s="54" t="s">
        <v>121</v>
      </c>
      <c r="F637" s="55" t="n">
        <v>314050.01</v>
      </c>
      <c r="G637" s="54" t="s">
        <v>123</v>
      </c>
      <c r="H637" s="56" t="n">
        <f aca="false">VLOOKUP(E637,Treatment_Table!$B$5:$E$11,4,FALSE())</f>
        <v>0</v>
      </c>
      <c r="I637" s="57" t="n">
        <f aca="false">F637*H637</f>
        <v>0</v>
      </c>
      <c r="J637" s="57" t="n">
        <f aca="false">IF(D637="Income",F637,-F637)</f>
        <v>-314050.01</v>
      </c>
    </row>
    <row r="638" customFormat="false" ht="15" hidden="false" customHeight="false" outlineLevel="0" collapsed="false">
      <c r="A638" s="54" t="s">
        <v>850</v>
      </c>
      <c r="B638" s="54" t="s">
        <v>243</v>
      </c>
      <c r="C638" s="54" t="s">
        <v>129</v>
      </c>
      <c r="D638" s="54" t="s">
        <v>188</v>
      </c>
      <c r="E638" s="54" t="s">
        <v>121</v>
      </c>
      <c r="F638" s="55" t="n">
        <v>95957.69</v>
      </c>
      <c r="G638" s="54" t="s">
        <v>129</v>
      </c>
      <c r="H638" s="56" t="n">
        <f aca="false">VLOOKUP(E638,Treatment_Table!$B$5:$E$11,4,FALSE())</f>
        <v>0</v>
      </c>
      <c r="I638" s="57" t="n">
        <f aca="false">F638*H638</f>
        <v>0</v>
      </c>
      <c r="J638" s="57" t="n">
        <f aca="false">IF(D638="Income",F638,-F638)</f>
        <v>-95957.69</v>
      </c>
    </row>
    <row r="639" customFormat="false" ht="15" hidden="false" customHeight="false" outlineLevel="0" collapsed="false">
      <c r="A639" s="54" t="s">
        <v>851</v>
      </c>
      <c r="B639" s="54" t="s">
        <v>205</v>
      </c>
      <c r="C639" s="54" t="s">
        <v>132</v>
      </c>
      <c r="D639" s="54" t="s">
        <v>188</v>
      </c>
      <c r="E639" s="54" t="s">
        <v>121</v>
      </c>
      <c r="F639" s="55" t="n">
        <v>5863.85</v>
      </c>
      <c r="G639" s="54" t="s">
        <v>132</v>
      </c>
      <c r="H639" s="56" t="n">
        <f aca="false">VLOOKUP(E639,Treatment_Table!$B$5:$E$11,4,FALSE())</f>
        <v>0</v>
      </c>
      <c r="I639" s="57" t="n">
        <f aca="false">F639*H639</f>
        <v>0</v>
      </c>
      <c r="J639" s="57" t="n">
        <f aca="false">IF(D639="Income",F639,-F639)</f>
        <v>-5863.85</v>
      </c>
    </row>
    <row r="640" customFormat="false" ht="15" hidden="false" customHeight="false" outlineLevel="0" collapsed="false">
      <c r="A640" s="54" t="s">
        <v>852</v>
      </c>
      <c r="B640" s="54" t="s">
        <v>243</v>
      </c>
      <c r="C640" s="54" t="s">
        <v>123</v>
      </c>
      <c r="D640" s="54" t="s">
        <v>188</v>
      </c>
      <c r="E640" s="54" t="s">
        <v>121</v>
      </c>
      <c r="F640" s="55" t="n">
        <v>25245.89</v>
      </c>
      <c r="G640" s="54" t="s">
        <v>123</v>
      </c>
      <c r="H640" s="56" t="n">
        <f aca="false">VLOOKUP(E640,Treatment_Table!$B$5:$E$11,4,FALSE())</f>
        <v>0</v>
      </c>
      <c r="I640" s="57" t="n">
        <f aca="false">F640*H640</f>
        <v>0</v>
      </c>
      <c r="J640" s="57" t="n">
        <f aca="false">IF(D640="Income",F640,-F640)</f>
        <v>-25245.89</v>
      </c>
    </row>
    <row r="641" customFormat="false" ht="15" hidden="false" customHeight="false" outlineLevel="0" collapsed="false">
      <c r="A641" s="54" t="s">
        <v>853</v>
      </c>
      <c r="B641" s="54" t="s">
        <v>230</v>
      </c>
      <c r="C641" s="54" t="s">
        <v>131</v>
      </c>
      <c r="D641" s="54" t="s">
        <v>188</v>
      </c>
      <c r="E641" s="54" t="s">
        <v>121</v>
      </c>
      <c r="F641" s="55" t="n">
        <v>35963.81</v>
      </c>
      <c r="G641" s="54" t="s">
        <v>131</v>
      </c>
      <c r="H641" s="56" t="n">
        <f aca="false">VLOOKUP(E641,Treatment_Table!$B$5:$E$11,4,FALSE())</f>
        <v>0</v>
      </c>
      <c r="I641" s="57" t="n">
        <f aca="false">F641*H641</f>
        <v>0</v>
      </c>
      <c r="J641" s="57" t="n">
        <f aca="false">IF(D641="Income",F641,-F641)</f>
        <v>-35963.81</v>
      </c>
    </row>
    <row r="642" customFormat="false" ht="15" hidden="false" customHeight="false" outlineLevel="0" collapsed="false">
      <c r="A642" s="54" t="s">
        <v>854</v>
      </c>
      <c r="B642" s="54" t="s">
        <v>228</v>
      </c>
      <c r="C642" s="54" t="s">
        <v>126</v>
      </c>
      <c r="D642" s="54" t="s">
        <v>188</v>
      </c>
      <c r="E642" s="54" t="s">
        <v>121</v>
      </c>
      <c r="F642" s="55" t="n">
        <v>37388.96</v>
      </c>
      <c r="G642" s="54" t="s">
        <v>126</v>
      </c>
      <c r="H642" s="56" t="n">
        <f aca="false">VLOOKUP(E642,Treatment_Table!$B$5:$E$11,4,FALSE())</f>
        <v>0</v>
      </c>
      <c r="I642" s="57" t="n">
        <f aca="false">F642*H642</f>
        <v>0</v>
      </c>
      <c r="J642" s="57" t="n">
        <f aca="false">IF(D642="Income",F642,-F642)</f>
        <v>-37388.96</v>
      </c>
    </row>
    <row r="643" customFormat="false" ht="15" hidden="false" customHeight="false" outlineLevel="0" collapsed="false">
      <c r="A643" s="54" t="s">
        <v>855</v>
      </c>
      <c r="B643" s="54" t="s">
        <v>243</v>
      </c>
      <c r="C643" s="54" t="s">
        <v>128</v>
      </c>
      <c r="D643" s="54" t="s">
        <v>188</v>
      </c>
      <c r="E643" s="54" t="s">
        <v>121</v>
      </c>
      <c r="F643" s="55" t="n">
        <v>9690.82</v>
      </c>
      <c r="G643" s="54" t="s">
        <v>128</v>
      </c>
      <c r="H643" s="56" t="n">
        <f aca="false">VLOOKUP(E643,Treatment_Table!$B$5:$E$11,4,FALSE())</f>
        <v>0</v>
      </c>
      <c r="I643" s="57" t="n">
        <f aca="false">F643*H643</f>
        <v>0</v>
      </c>
      <c r="J643" s="57" t="n">
        <f aca="false">IF(D643="Income",F643,-F643)</f>
        <v>-9690.82</v>
      </c>
    </row>
    <row r="644" customFormat="false" ht="15" hidden="false" customHeight="false" outlineLevel="0" collapsed="false">
      <c r="A644" s="54" t="s">
        <v>856</v>
      </c>
      <c r="B644" s="54" t="s">
        <v>243</v>
      </c>
      <c r="C644" s="54" t="s">
        <v>126</v>
      </c>
      <c r="D644" s="54" t="s">
        <v>188</v>
      </c>
      <c r="E644" s="54" t="s">
        <v>121</v>
      </c>
      <c r="F644" s="55" t="n">
        <v>11961.24</v>
      </c>
      <c r="G644" s="54" t="s">
        <v>126</v>
      </c>
      <c r="H644" s="56" t="n">
        <f aca="false">VLOOKUP(E644,Treatment_Table!$B$5:$E$11,4,FALSE())</f>
        <v>0</v>
      </c>
      <c r="I644" s="57" t="n">
        <f aca="false">F644*H644</f>
        <v>0</v>
      </c>
      <c r="J644" s="57" t="n">
        <f aca="false">IF(D644="Income",F644,-F644)</f>
        <v>-11961.24</v>
      </c>
    </row>
    <row r="645" customFormat="false" ht="15" hidden="false" customHeight="false" outlineLevel="0" collapsed="false">
      <c r="A645" s="54" t="s">
        <v>857</v>
      </c>
      <c r="B645" s="54" t="s">
        <v>216</v>
      </c>
      <c r="C645" s="54" t="s">
        <v>128</v>
      </c>
      <c r="D645" s="54" t="s">
        <v>188</v>
      </c>
      <c r="E645" s="54" t="s">
        <v>121</v>
      </c>
      <c r="F645" s="55" t="n">
        <v>43186.87</v>
      </c>
      <c r="G645" s="54" t="s">
        <v>128</v>
      </c>
      <c r="H645" s="56" t="n">
        <f aca="false">VLOOKUP(E645,Treatment_Table!$B$5:$E$11,4,FALSE())</f>
        <v>0</v>
      </c>
      <c r="I645" s="57" t="n">
        <f aca="false">F645*H645</f>
        <v>0</v>
      </c>
      <c r="J645" s="57" t="n">
        <f aca="false">IF(D645="Income",F645,-F645)</f>
        <v>-43186.87</v>
      </c>
    </row>
    <row r="646" customFormat="false" ht="15" hidden="false" customHeight="false" outlineLevel="0" collapsed="false">
      <c r="A646" s="54" t="s">
        <v>858</v>
      </c>
      <c r="B646" s="54" t="s">
        <v>216</v>
      </c>
      <c r="C646" s="54" t="s">
        <v>130</v>
      </c>
      <c r="D646" s="54" t="s">
        <v>188</v>
      </c>
      <c r="E646" s="54" t="s">
        <v>121</v>
      </c>
      <c r="F646" s="55" t="n">
        <v>25024.73</v>
      </c>
      <c r="G646" s="54" t="s">
        <v>130</v>
      </c>
      <c r="H646" s="56" t="n">
        <f aca="false">VLOOKUP(E646,Treatment_Table!$B$5:$E$11,4,FALSE())</f>
        <v>0</v>
      </c>
      <c r="I646" s="57" t="n">
        <f aca="false">F646*H646</f>
        <v>0</v>
      </c>
      <c r="J646" s="57" t="n">
        <f aca="false">IF(D646="Income",F646,-F646)</f>
        <v>-25024.73</v>
      </c>
    </row>
    <row r="647" customFormat="false" ht="15" hidden="false" customHeight="false" outlineLevel="0" collapsed="false">
      <c r="A647" s="54" t="s">
        <v>859</v>
      </c>
      <c r="B647" s="54" t="s">
        <v>216</v>
      </c>
      <c r="C647" s="54" t="s">
        <v>123</v>
      </c>
      <c r="D647" s="54" t="s">
        <v>188</v>
      </c>
      <c r="E647" s="54" t="s">
        <v>121</v>
      </c>
      <c r="F647" s="55" t="n">
        <v>123975.58</v>
      </c>
      <c r="G647" s="54" t="s">
        <v>123</v>
      </c>
      <c r="H647" s="56" t="n">
        <f aca="false">VLOOKUP(E647,Treatment_Table!$B$5:$E$11,4,FALSE())</f>
        <v>0</v>
      </c>
      <c r="I647" s="57" t="n">
        <f aca="false">F647*H647</f>
        <v>0</v>
      </c>
      <c r="J647" s="57" t="n">
        <f aca="false">IF(D647="Income",F647,-F647)</f>
        <v>-123975.58</v>
      </c>
    </row>
    <row r="648" customFormat="false" ht="15" hidden="false" customHeight="false" outlineLevel="0" collapsed="false">
      <c r="A648" s="54" t="s">
        <v>860</v>
      </c>
      <c r="B648" s="54" t="s">
        <v>205</v>
      </c>
      <c r="C648" s="54" t="s">
        <v>131</v>
      </c>
      <c r="D648" s="54" t="s">
        <v>188</v>
      </c>
      <c r="E648" s="54" t="s">
        <v>121</v>
      </c>
      <c r="F648" s="55" t="n">
        <v>67452.63</v>
      </c>
      <c r="G648" s="54" t="s">
        <v>131</v>
      </c>
      <c r="H648" s="56" t="n">
        <f aca="false">VLOOKUP(E648,Treatment_Table!$B$5:$E$11,4,FALSE())</f>
        <v>0</v>
      </c>
      <c r="I648" s="57" t="n">
        <f aca="false">F648*H648</f>
        <v>0</v>
      </c>
      <c r="J648" s="57" t="n">
        <f aca="false">IF(D648="Income",F648,-F648)</f>
        <v>-67452.63</v>
      </c>
    </row>
    <row r="649" customFormat="false" ht="15" hidden="false" customHeight="false" outlineLevel="0" collapsed="false">
      <c r="A649" s="54" t="s">
        <v>861</v>
      </c>
      <c r="B649" s="54" t="s">
        <v>243</v>
      </c>
      <c r="C649" s="54" t="s">
        <v>126</v>
      </c>
      <c r="D649" s="54" t="s">
        <v>188</v>
      </c>
      <c r="E649" s="54" t="s">
        <v>121</v>
      </c>
      <c r="F649" s="55" t="n">
        <v>10952.76</v>
      </c>
      <c r="G649" s="54" t="s">
        <v>126</v>
      </c>
      <c r="H649" s="56" t="n">
        <f aca="false">VLOOKUP(E649,Treatment_Table!$B$5:$E$11,4,FALSE())</f>
        <v>0</v>
      </c>
      <c r="I649" s="57" t="n">
        <f aca="false">F649*H649</f>
        <v>0</v>
      </c>
      <c r="J649" s="57" t="n">
        <f aca="false">IF(D649="Income",F649,-F649)</f>
        <v>-10952.76</v>
      </c>
    </row>
    <row r="650" customFormat="false" ht="15" hidden="false" customHeight="false" outlineLevel="0" collapsed="false">
      <c r="A650" s="54" t="s">
        <v>862</v>
      </c>
      <c r="B650" s="54" t="s">
        <v>216</v>
      </c>
      <c r="C650" s="54" t="s">
        <v>138</v>
      </c>
      <c r="D650" s="54" t="s">
        <v>188</v>
      </c>
      <c r="E650" s="54" t="s">
        <v>139</v>
      </c>
      <c r="F650" s="55" t="n">
        <v>8688.09</v>
      </c>
      <c r="G650" s="54" t="s">
        <v>138</v>
      </c>
      <c r="H650" s="56" t="n">
        <f aca="false">VLOOKUP(E650,Treatment_Table!$B$5:$E$11,4,FALSE())</f>
        <v>0.5</v>
      </c>
      <c r="I650" s="57" t="n">
        <f aca="false">F650*H650</f>
        <v>4344.045</v>
      </c>
      <c r="J650" s="57" t="n">
        <f aca="false">IF(D650="Income",F650,-F650)</f>
        <v>-8688.09</v>
      </c>
    </row>
    <row r="651" customFormat="false" ht="15" hidden="false" customHeight="false" outlineLevel="0" collapsed="false">
      <c r="A651" s="54" t="s">
        <v>863</v>
      </c>
      <c r="B651" s="54" t="s">
        <v>223</v>
      </c>
      <c r="C651" s="54" t="s">
        <v>131</v>
      </c>
      <c r="D651" s="54" t="s">
        <v>188</v>
      </c>
      <c r="E651" s="54" t="s">
        <v>121</v>
      </c>
      <c r="F651" s="55" t="n">
        <v>97321.84</v>
      </c>
      <c r="G651" s="54" t="s">
        <v>131</v>
      </c>
      <c r="H651" s="56" t="n">
        <f aca="false">VLOOKUP(E651,Treatment_Table!$B$5:$E$11,4,FALSE())</f>
        <v>0</v>
      </c>
      <c r="I651" s="57" t="n">
        <f aca="false">F651*H651</f>
        <v>0</v>
      </c>
      <c r="J651" s="57" t="n">
        <f aca="false">IF(D651="Income",F651,-F651)</f>
        <v>-97321.84</v>
      </c>
    </row>
    <row r="652" customFormat="false" ht="15" hidden="false" customHeight="false" outlineLevel="0" collapsed="false">
      <c r="A652" s="54" t="s">
        <v>864</v>
      </c>
      <c r="B652" s="54" t="s">
        <v>210</v>
      </c>
      <c r="C652" s="54" t="s">
        <v>138</v>
      </c>
      <c r="D652" s="54" t="s">
        <v>188</v>
      </c>
      <c r="E652" s="54" t="s">
        <v>139</v>
      </c>
      <c r="F652" s="55" t="n">
        <v>5787.6</v>
      </c>
      <c r="G652" s="54" t="s">
        <v>138</v>
      </c>
      <c r="H652" s="56" t="n">
        <f aca="false">VLOOKUP(E652,Treatment_Table!$B$5:$E$11,4,FALSE())</f>
        <v>0.5</v>
      </c>
      <c r="I652" s="57" t="n">
        <f aca="false">F652*H652</f>
        <v>2893.8</v>
      </c>
      <c r="J652" s="57" t="n">
        <f aca="false">IF(D652="Income",F652,-F652)</f>
        <v>-5787.6</v>
      </c>
    </row>
    <row r="653" customFormat="false" ht="15" hidden="false" customHeight="false" outlineLevel="0" collapsed="false">
      <c r="A653" s="54" t="s">
        <v>865</v>
      </c>
      <c r="B653" s="54" t="s">
        <v>243</v>
      </c>
      <c r="C653" s="54" t="s">
        <v>128</v>
      </c>
      <c r="D653" s="54" t="s">
        <v>188</v>
      </c>
      <c r="E653" s="54" t="s">
        <v>121</v>
      </c>
      <c r="F653" s="55" t="n">
        <v>13527.14</v>
      </c>
      <c r="G653" s="54" t="s">
        <v>128</v>
      </c>
      <c r="H653" s="56" t="n">
        <f aca="false">VLOOKUP(E653,Treatment_Table!$B$5:$E$11,4,FALSE())</f>
        <v>0</v>
      </c>
      <c r="I653" s="57" t="n">
        <f aca="false">F653*H653</f>
        <v>0</v>
      </c>
      <c r="J653" s="57" t="n">
        <f aca="false">IF(D653="Income",F653,-F653)</f>
        <v>-13527.14</v>
      </c>
    </row>
    <row r="654" customFormat="false" ht="15" hidden="false" customHeight="false" outlineLevel="0" collapsed="false">
      <c r="A654" s="54" t="s">
        <v>866</v>
      </c>
      <c r="B654" s="54" t="s">
        <v>228</v>
      </c>
      <c r="C654" s="54" t="s">
        <v>122</v>
      </c>
      <c r="D654" s="54" t="s">
        <v>188</v>
      </c>
      <c r="E654" s="54" t="s">
        <v>121</v>
      </c>
      <c r="F654" s="55" t="n">
        <v>1516.84</v>
      </c>
      <c r="G654" s="54" t="s">
        <v>122</v>
      </c>
      <c r="H654" s="56" t="n">
        <f aca="false">VLOOKUP(E654,Treatment_Table!$B$5:$E$11,4,FALSE())</f>
        <v>0</v>
      </c>
      <c r="I654" s="57" t="n">
        <f aca="false">F654*H654</f>
        <v>0</v>
      </c>
      <c r="J654" s="57" t="n">
        <f aca="false">IF(D654="Income",F654,-F654)</f>
        <v>-1516.84</v>
      </c>
    </row>
    <row r="655" customFormat="false" ht="15" hidden="false" customHeight="false" outlineLevel="0" collapsed="false">
      <c r="A655" s="54" t="s">
        <v>867</v>
      </c>
      <c r="B655" s="54" t="s">
        <v>214</v>
      </c>
      <c r="C655" s="54" t="s">
        <v>132</v>
      </c>
      <c r="D655" s="54" t="s">
        <v>188</v>
      </c>
      <c r="E655" s="54" t="s">
        <v>121</v>
      </c>
      <c r="F655" s="55" t="n">
        <v>2467.47</v>
      </c>
      <c r="G655" s="54" t="s">
        <v>132</v>
      </c>
      <c r="H655" s="56" t="n">
        <f aca="false">VLOOKUP(E655,Treatment_Table!$B$5:$E$11,4,FALSE())</f>
        <v>0</v>
      </c>
      <c r="I655" s="57" t="n">
        <f aca="false">F655*H655</f>
        <v>0</v>
      </c>
      <c r="J655" s="57" t="n">
        <f aca="false">IF(D655="Income",F655,-F655)</f>
        <v>-2467.47</v>
      </c>
    </row>
    <row r="656" customFormat="false" ht="15" hidden="false" customHeight="false" outlineLevel="0" collapsed="false">
      <c r="A656" s="54" t="s">
        <v>868</v>
      </c>
      <c r="B656" s="54" t="s">
        <v>247</v>
      </c>
      <c r="C656" s="54" t="s">
        <v>131</v>
      </c>
      <c r="D656" s="54" t="s">
        <v>188</v>
      </c>
      <c r="E656" s="54" t="s">
        <v>121</v>
      </c>
      <c r="F656" s="55" t="n">
        <v>33542.9</v>
      </c>
      <c r="G656" s="54" t="s">
        <v>131</v>
      </c>
      <c r="H656" s="56" t="n">
        <f aca="false">VLOOKUP(E656,Treatment_Table!$B$5:$E$11,4,FALSE())</f>
        <v>0</v>
      </c>
      <c r="I656" s="57" t="n">
        <f aca="false">F656*H656</f>
        <v>0</v>
      </c>
      <c r="J656" s="57" t="n">
        <f aca="false">IF(D656="Income",F656,-F656)</f>
        <v>-33542.9</v>
      </c>
    </row>
    <row r="657" customFormat="false" ht="15" hidden="false" customHeight="false" outlineLevel="0" collapsed="false">
      <c r="A657" s="54" t="s">
        <v>869</v>
      </c>
      <c r="B657" s="54" t="s">
        <v>230</v>
      </c>
      <c r="C657" s="54" t="s">
        <v>130</v>
      </c>
      <c r="D657" s="54" t="s">
        <v>188</v>
      </c>
      <c r="E657" s="54" t="s">
        <v>121</v>
      </c>
      <c r="F657" s="55" t="n">
        <v>36406.62</v>
      </c>
      <c r="G657" s="54" t="s">
        <v>130</v>
      </c>
      <c r="H657" s="56" t="n">
        <f aca="false">VLOOKUP(E657,Treatment_Table!$B$5:$E$11,4,FALSE())</f>
        <v>0</v>
      </c>
      <c r="I657" s="57" t="n">
        <f aca="false">F657*H657</f>
        <v>0</v>
      </c>
      <c r="J657" s="57" t="n">
        <f aca="false">IF(D657="Income",F657,-F657)</f>
        <v>-36406.62</v>
      </c>
    </row>
    <row r="658" customFormat="false" ht="15" hidden="false" customHeight="false" outlineLevel="0" collapsed="false">
      <c r="A658" s="54" t="s">
        <v>870</v>
      </c>
      <c r="B658" s="54" t="s">
        <v>208</v>
      </c>
      <c r="C658" s="54" t="s">
        <v>126</v>
      </c>
      <c r="D658" s="54" t="s">
        <v>188</v>
      </c>
      <c r="E658" s="54" t="s">
        <v>121</v>
      </c>
      <c r="F658" s="55" t="n">
        <v>12987.84</v>
      </c>
      <c r="G658" s="54" t="s">
        <v>126</v>
      </c>
      <c r="H658" s="56" t="n">
        <f aca="false">VLOOKUP(E658,Treatment_Table!$B$5:$E$11,4,FALSE())</f>
        <v>0</v>
      </c>
      <c r="I658" s="57" t="n">
        <f aca="false">F658*H658</f>
        <v>0</v>
      </c>
      <c r="J658" s="57" t="n">
        <f aca="false">IF(D658="Income",F658,-F658)</f>
        <v>-12987.84</v>
      </c>
    </row>
    <row r="659" customFormat="false" ht="15" hidden="false" customHeight="false" outlineLevel="0" collapsed="false">
      <c r="A659" s="54" t="s">
        <v>871</v>
      </c>
      <c r="B659" s="54" t="s">
        <v>214</v>
      </c>
      <c r="C659" s="54" t="s">
        <v>126</v>
      </c>
      <c r="D659" s="54" t="s">
        <v>188</v>
      </c>
      <c r="E659" s="54" t="s">
        <v>121</v>
      </c>
      <c r="F659" s="55" t="n">
        <v>13681.77</v>
      </c>
      <c r="G659" s="54" t="s">
        <v>126</v>
      </c>
      <c r="H659" s="56" t="n">
        <f aca="false">VLOOKUP(E659,Treatment_Table!$B$5:$E$11,4,FALSE())</f>
        <v>0</v>
      </c>
      <c r="I659" s="57" t="n">
        <f aca="false">F659*H659</f>
        <v>0</v>
      </c>
      <c r="J659" s="57" t="n">
        <f aca="false">IF(D659="Income",F659,-F659)</f>
        <v>-13681.77</v>
      </c>
    </row>
    <row r="660" customFormat="false" ht="15" hidden="false" customHeight="false" outlineLevel="0" collapsed="false">
      <c r="A660" s="54" t="s">
        <v>872</v>
      </c>
      <c r="B660" s="54" t="s">
        <v>228</v>
      </c>
      <c r="C660" s="54" t="s">
        <v>126</v>
      </c>
      <c r="D660" s="54" t="s">
        <v>188</v>
      </c>
      <c r="E660" s="54" t="s">
        <v>121</v>
      </c>
      <c r="F660" s="55" t="n">
        <v>34345.01</v>
      </c>
      <c r="G660" s="54" t="s">
        <v>126</v>
      </c>
      <c r="H660" s="56" t="n">
        <f aca="false">VLOOKUP(E660,Treatment_Table!$B$5:$E$11,4,FALSE())</f>
        <v>0</v>
      </c>
      <c r="I660" s="57" t="n">
        <f aca="false">F660*H660</f>
        <v>0</v>
      </c>
      <c r="J660" s="57" t="n">
        <f aca="false">IF(D660="Income",F660,-F660)</f>
        <v>-34345.01</v>
      </c>
    </row>
    <row r="661" customFormat="false" ht="15" hidden="false" customHeight="false" outlineLevel="0" collapsed="false">
      <c r="A661" s="54" t="s">
        <v>873</v>
      </c>
      <c r="B661" s="54" t="s">
        <v>216</v>
      </c>
      <c r="C661" s="54" t="s">
        <v>131</v>
      </c>
      <c r="D661" s="54" t="s">
        <v>188</v>
      </c>
      <c r="E661" s="54" t="s">
        <v>121</v>
      </c>
      <c r="F661" s="55" t="n">
        <v>100611</v>
      </c>
      <c r="G661" s="54" t="s">
        <v>131</v>
      </c>
      <c r="H661" s="56" t="n">
        <f aca="false">VLOOKUP(E661,Treatment_Table!$B$5:$E$11,4,FALSE())</f>
        <v>0</v>
      </c>
      <c r="I661" s="57" t="n">
        <f aca="false">F661*H661</f>
        <v>0</v>
      </c>
      <c r="J661" s="57" t="n">
        <f aca="false">IF(D661="Income",F661,-F661)</f>
        <v>-100611</v>
      </c>
    </row>
    <row r="662" customFormat="false" ht="15" hidden="false" customHeight="false" outlineLevel="0" collapsed="false">
      <c r="A662" s="54" t="s">
        <v>874</v>
      </c>
      <c r="B662" s="54" t="s">
        <v>210</v>
      </c>
      <c r="C662" s="54" t="s">
        <v>131</v>
      </c>
      <c r="D662" s="54" t="s">
        <v>188</v>
      </c>
      <c r="E662" s="54" t="s">
        <v>121</v>
      </c>
      <c r="F662" s="55" t="n">
        <v>67595.01</v>
      </c>
      <c r="G662" s="54" t="s">
        <v>131</v>
      </c>
      <c r="H662" s="56" t="n">
        <f aca="false">VLOOKUP(E662,Treatment_Table!$B$5:$E$11,4,FALSE())</f>
        <v>0</v>
      </c>
      <c r="I662" s="57" t="n">
        <f aca="false">F662*H662</f>
        <v>0</v>
      </c>
      <c r="J662" s="57" t="n">
        <f aca="false">IF(D662="Income",F662,-F662)</f>
        <v>-67595.01</v>
      </c>
    </row>
    <row r="663" customFormat="false" ht="15" hidden="false" customHeight="false" outlineLevel="0" collapsed="false">
      <c r="A663" s="54" t="s">
        <v>875</v>
      </c>
      <c r="B663" s="54" t="s">
        <v>243</v>
      </c>
      <c r="C663" s="54" t="s">
        <v>124</v>
      </c>
      <c r="D663" s="54" t="s">
        <v>188</v>
      </c>
      <c r="E663" s="54" t="s">
        <v>121</v>
      </c>
      <c r="F663" s="55" t="n">
        <v>32245.86</v>
      </c>
      <c r="G663" s="54" t="s">
        <v>124</v>
      </c>
      <c r="H663" s="56" t="n">
        <f aca="false">VLOOKUP(E663,Treatment_Table!$B$5:$E$11,4,FALSE())</f>
        <v>0</v>
      </c>
      <c r="I663" s="57" t="n">
        <f aca="false">F663*H663</f>
        <v>0</v>
      </c>
      <c r="J663" s="57" t="n">
        <f aca="false">IF(D663="Income",F663,-F663)</f>
        <v>-32245.86</v>
      </c>
    </row>
    <row r="664" customFormat="false" ht="15" hidden="false" customHeight="false" outlineLevel="0" collapsed="false">
      <c r="A664" s="54" t="s">
        <v>876</v>
      </c>
      <c r="B664" s="54" t="s">
        <v>228</v>
      </c>
      <c r="C664" s="54" t="s">
        <v>131</v>
      </c>
      <c r="D664" s="54" t="s">
        <v>188</v>
      </c>
      <c r="E664" s="54" t="s">
        <v>121</v>
      </c>
      <c r="F664" s="55" t="n">
        <v>64389.46</v>
      </c>
      <c r="G664" s="54" t="s">
        <v>131</v>
      </c>
      <c r="H664" s="56" t="n">
        <f aca="false">VLOOKUP(E664,Treatment_Table!$B$5:$E$11,4,FALSE())</f>
        <v>0</v>
      </c>
      <c r="I664" s="57" t="n">
        <f aca="false">F664*H664</f>
        <v>0</v>
      </c>
      <c r="J664" s="57" t="n">
        <f aca="false">IF(D664="Income",F664,-F664)</f>
        <v>-64389.46</v>
      </c>
    </row>
    <row r="665" customFormat="false" ht="15" hidden="false" customHeight="false" outlineLevel="0" collapsed="false">
      <c r="A665" s="54" t="s">
        <v>877</v>
      </c>
      <c r="B665" s="54" t="s">
        <v>247</v>
      </c>
      <c r="C665" s="54" t="s">
        <v>128</v>
      </c>
      <c r="D665" s="54" t="s">
        <v>188</v>
      </c>
      <c r="E665" s="54" t="s">
        <v>121</v>
      </c>
      <c r="F665" s="55" t="n">
        <v>39506.65</v>
      </c>
      <c r="G665" s="54" t="s">
        <v>128</v>
      </c>
      <c r="H665" s="56" t="n">
        <f aca="false">VLOOKUP(E665,Treatment_Table!$B$5:$E$11,4,FALSE())</f>
        <v>0</v>
      </c>
      <c r="I665" s="57" t="n">
        <f aca="false">F665*H665</f>
        <v>0</v>
      </c>
      <c r="J665" s="57" t="n">
        <f aca="false">IF(D665="Income",F665,-F665)</f>
        <v>-39506.65</v>
      </c>
    </row>
    <row r="666" customFormat="false" ht="15" hidden="false" customHeight="false" outlineLevel="0" collapsed="false">
      <c r="A666" s="54" t="s">
        <v>878</v>
      </c>
      <c r="B666" s="54" t="s">
        <v>235</v>
      </c>
      <c r="C666" s="54" t="s">
        <v>129</v>
      </c>
      <c r="D666" s="54" t="s">
        <v>188</v>
      </c>
      <c r="E666" s="54" t="s">
        <v>121</v>
      </c>
      <c r="F666" s="55" t="n">
        <v>25318.31</v>
      </c>
      <c r="G666" s="54" t="s">
        <v>129</v>
      </c>
      <c r="H666" s="56" t="n">
        <f aca="false">VLOOKUP(E666,Treatment_Table!$B$5:$E$11,4,FALSE())</f>
        <v>0</v>
      </c>
      <c r="I666" s="57" t="n">
        <f aca="false">F666*H666</f>
        <v>0</v>
      </c>
      <c r="J666" s="57" t="n">
        <f aca="false">IF(D666="Income",F666,-F666)</f>
        <v>-25318.31</v>
      </c>
    </row>
    <row r="667" customFormat="false" ht="15" hidden="false" customHeight="false" outlineLevel="0" collapsed="false">
      <c r="A667" s="54" t="s">
        <v>879</v>
      </c>
      <c r="B667" s="54" t="s">
        <v>214</v>
      </c>
      <c r="C667" s="54" t="s">
        <v>130</v>
      </c>
      <c r="D667" s="54" t="s">
        <v>188</v>
      </c>
      <c r="E667" s="54" t="s">
        <v>121</v>
      </c>
      <c r="F667" s="55" t="n">
        <v>80119.92</v>
      </c>
      <c r="G667" s="54" t="s">
        <v>130</v>
      </c>
      <c r="H667" s="56" t="n">
        <f aca="false">VLOOKUP(E667,Treatment_Table!$B$5:$E$11,4,FALSE())</f>
        <v>0</v>
      </c>
      <c r="I667" s="57" t="n">
        <f aca="false">F667*H667</f>
        <v>0</v>
      </c>
      <c r="J667" s="57" t="n">
        <f aca="false">IF(D667="Income",F667,-F667)</f>
        <v>-80119.92</v>
      </c>
    </row>
    <row r="668" customFormat="false" ht="15" hidden="false" customHeight="false" outlineLevel="0" collapsed="false">
      <c r="A668" s="54" t="s">
        <v>880</v>
      </c>
      <c r="B668" s="54" t="s">
        <v>243</v>
      </c>
      <c r="C668" s="54" t="s">
        <v>123</v>
      </c>
      <c r="D668" s="54" t="s">
        <v>188</v>
      </c>
      <c r="E668" s="54" t="s">
        <v>121</v>
      </c>
      <c r="F668" s="55" t="n">
        <v>115888.37</v>
      </c>
      <c r="G668" s="54" t="s">
        <v>123</v>
      </c>
      <c r="H668" s="56" t="n">
        <f aca="false">VLOOKUP(E668,Treatment_Table!$B$5:$E$11,4,FALSE())</f>
        <v>0</v>
      </c>
      <c r="I668" s="57" t="n">
        <f aca="false">F668*H668</f>
        <v>0</v>
      </c>
      <c r="J668" s="57" t="n">
        <f aca="false">IF(D668="Income",F668,-F668)</f>
        <v>-115888.37</v>
      </c>
    </row>
    <row r="669" customFormat="false" ht="15" hidden="false" customHeight="false" outlineLevel="0" collapsed="false">
      <c r="A669" s="54" t="s">
        <v>881</v>
      </c>
      <c r="B669" s="54" t="s">
        <v>214</v>
      </c>
      <c r="C669" s="54" t="s">
        <v>126</v>
      </c>
      <c r="D669" s="54" t="s">
        <v>188</v>
      </c>
      <c r="E669" s="54" t="s">
        <v>121</v>
      </c>
      <c r="F669" s="55" t="n">
        <v>38743.53</v>
      </c>
      <c r="G669" s="54" t="s">
        <v>126</v>
      </c>
      <c r="H669" s="56" t="n">
        <f aca="false">VLOOKUP(E669,Treatment_Table!$B$5:$E$11,4,FALSE())</f>
        <v>0</v>
      </c>
      <c r="I669" s="57" t="n">
        <f aca="false">F669*H669</f>
        <v>0</v>
      </c>
      <c r="J669" s="57" t="n">
        <f aca="false">IF(D669="Income",F669,-F669)</f>
        <v>-38743.53</v>
      </c>
    </row>
    <row r="670" customFormat="false" ht="15" hidden="false" customHeight="false" outlineLevel="0" collapsed="false">
      <c r="A670" s="54" t="s">
        <v>882</v>
      </c>
      <c r="B670" s="54" t="s">
        <v>230</v>
      </c>
      <c r="C670" s="54" t="s">
        <v>126</v>
      </c>
      <c r="D670" s="54" t="s">
        <v>188</v>
      </c>
      <c r="E670" s="54" t="s">
        <v>121</v>
      </c>
      <c r="F670" s="55" t="n">
        <v>38854.78</v>
      </c>
      <c r="G670" s="54" t="s">
        <v>126</v>
      </c>
      <c r="H670" s="56" t="n">
        <f aca="false">VLOOKUP(E670,Treatment_Table!$B$5:$E$11,4,FALSE())</f>
        <v>0</v>
      </c>
      <c r="I670" s="57" t="n">
        <f aca="false">F670*H670</f>
        <v>0</v>
      </c>
      <c r="J670" s="57" t="n">
        <f aca="false">IF(D670="Income",F670,-F670)</f>
        <v>-38854.78</v>
      </c>
    </row>
    <row r="671" customFormat="false" ht="15" hidden="false" customHeight="false" outlineLevel="0" collapsed="false">
      <c r="A671" s="54" t="s">
        <v>883</v>
      </c>
      <c r="B671" s="54" t="s">
        <v>235</v>
      </c>
      <c r="C671" s="54" t="s">
        <v>131</v>
      </c>
      <c r="D671" s="54" t="s">
        <v>188</v>
      </c>
      <c r="E671" s="54" t="s">
        <v>121</v>
      </c>
      <c r="F671" s="55" t="n">
        <v>62341.43</v>
      </c>
      <c r="G671" s="54" t="s">
        <v>131</v>
      </c>
      <c r="H671" s="56" t="n">
        <f aca="false">VLOOKUP(E671,Treatment_Table!$B$5:$E$11,4,FALSE())</f>
        <v>0</v>
      </c>
      <c r="I671" s="57" t="n">
        <f aca="false">F671*H671</f>
        <v>0</v>
      </c>
      <c r="J671" s="57" t="n">
        <f aca="false">IF(D671="Income",F671,-F671)</f>
        <v>-62341.43</v>
      </c>
    </row>
    <row r="672" customFormat="false" ht="15" hidden="false" customHeight="false" outlineLevel="0" collapsed="false">
      <c r="A672" s="54" t="s">
        <v>884</v>
      </c>
      <c r="B672" s="54" t="s">
        <v>208</v>
      </c>
      <c r="C672" s="54" t="s">
        <v>129</v>
      </c>
      <c r="D672" s="54" t="s">
        <v>188</v>
      </c>
      <c r="E672" s="54" t="s">
        <v>121</v>
      </c>
      <c r="F672" s="55" t="n">
        <v>52096.82</v>
      </c>
      <c r="G672" s="54" t="s">
        <v>129</v>
      </c>
      <c r="H672" s="56" t="n">
        <f aca="false">VLOOKUP(E672,Treatment_Table!$B$5:$E$11,4,FALSE())</f>
        <v>0</v>
      </c>
      <c r="I672" s="57" t="n">
        <f aca="false">F672*H672</f>
        <v>0</v>
      </c>
      <c r="J672" s="57" t="n">
        <f aca="false">IF(D672="Income",F672,-F672)</f>
        <v>-52096.82</v>
      </c>
    </row>
    <row r="673" customFormat="false" ht="15" hidden="false" customHeight="false" outlineLevel="0" collapsed="false">
      <c r="A673" s="54" t="s">
        <v>885</v>
      </c>
      <c r="B673" s="54" t="s">
        <v>235</v>
      </c>
      <c r="C673" s="54" t="s">
        <v>123</v>
      </c>
      <c r="D673" s="54" t="s">
        <v>188</v>
      </c>
      <c r="E673" s="54" t="s">
        <v>121</v>
      </c>
      <c r="F673" s="55" t="n">
        <v>105070.87</v>
      </c>
      <c r="G673" s="54" t="s">
        <v>123</v>
      </c>
      <c r="H673" s="56" t="n">
        <f aca="false">VLOOKUP(E673,Treatment_Table!$B$5:$E$11,4,FALSE())</f>
        <v>0</v>
      </c>
      <c r="I673" s="57" t="n">
        <f aca="false">F673*H673</f>
        <v>0</v>
      </c>
      <c r="J673" s="57" t="n">
        <f aca="false">IF(D673="Income",F673,-F673)</f>
        <v>-105070.87</v>
      </c>
    </row>
    <row r="674" customFormat="false" ht="15" hidden="false" customHeight="false" outlineLevel="0" collapsed="false">
      <c r="A674" s="54" t="s">
        <v>886</v>
      </c>
      <c r="B674" s="54" t="s">
        <v>247</v>
      </c>
      <c r="C674" s="54" t="s">
        <v>123</v>
      </c>
      <c r="D674" s="54" t="s">
        <v>188</v>
      </c>
      <c r="E674" s="54" t="s">
        <v>121</v>
      </c>
      <c r="F674" s="55" t="n">
        <v>78402.75</v>
      </c>
      <c r="G674" s="54" t="s">
        <v>123</v>
      </c>
      <c r="H674" s="56" t="n">
        <f aca="false">VLOOKUP(E674,Treatment_Table!$B$5:$E$11,4,FALSE())</f>
        <v>0</v>
      </c>
      <c r="I674" s="57" t="n">
        <f aca="false">F674*H674</f>
        <v>0</v>
      </c>
      <c r="J674" s="57" t="n">
        <f aca="false">IF(D674="Income",F674,-F674)</f>
        <v>-78402.75</v>
      </c>
    </row>
    <row r="675" customFormat="false" ht="15" hidden="false" customHeight="false" outlineLevel="0" collapsed="false">
      <c r="A675" s="54" t="s">
        <v>887</v>
      </c>
      <c r="B675" s="54" t="s">
        <v>216</v>
      </c>
      <c r="C675" s="54" t="s">
        <v>129</v>
      </c>
      <c r="D675" s="54" t="s">
        <v>188</v>
      </c>
      <c r="E675" s="54" t="s">
        <v>121</v>
      </c>
      <c r="F675" s="55" t="n">
        <v>16592.69</v>
      </c>
      <c r="G675" s="54" t="s">
        <v>129</v>
      </c>
      <c r="H675" s="56" t="n">
        <f aca="false">VLOOKUP(E675,Treatment_Table!$B$5:$E$11,4,FALSE())</f>
        <v>0</v>
      </c>
      <c r="I675" s="57" t="n">
        <f aca="false">F675*H675</f>
        <v>0</v>
      </c>
      <c r="J675" s="57" t="n">
        <f aca="false">IF(D675="Income",F675,-F675)</f>
        <v>-16592.69</v>
      </c>
    </row>
    <row r="676" customFormat="false" ht="15" hidden="false" customHeight="false" outlineLevel="0" collapsed="false">
      <c r="A676" s="54" t="s">
        <v>888</v>
      </c>
      <c r="B676" s="54" t="s">
        <v>228</v>
      </c>
      <c r="C676" s="54" t="s">
        <v>125</v>
      </c>
      <c r="D676" s="54" t="s">
        <v>188</v>
      </c>
      <c r="E676" s="54" t="s">
        <v>121</v>
      </c>
      <c r="F676" s="55" t="n">
        <v>4495.74</v>
      </c>
      <c r="G676" s="54" t="s">
        <v>125</v>
      </c>
      <c r="H676" s="56" t="n">
        <f aca="false">VLOOKUP(E676,Treatment_Table!$B$5:$E$11,4,FALSE())</f>
        <v>0</v>
      </c>
      <c r="I676" s="57" t="n">
        <f aca="false">F676*H676</f>
        <v>0</v>
      </c>
      <c r="J676" s="57" t="n">
        <f aca="false">IF(D676="Income",F676,-F676)</f>
        <v>-4495.74</v>
      </c>
    </row>
    <row r="677" customFormat="false" ht="15" hidden="false" customHeight="false" outlineLevel="0" collapsed="false">
      <c r="A677" s="54" t="s">
        <v>889</v>
      </c>
      <c r="B677" s="54" t="s">
        <v>223</v>
      </c>
      <c r="C677" s="54" t="s">
        <v>130</v>
      </c>
      <c r="D677" s="54" t="s">
        <v>188</v>
      </c>
      <c r="E677" s="54" t="s">
        <v>121</v>
      </c>
      <c r="F677" s="55" t="n">
        <v>39703.27</v>
      </c>
      <c r="G677" s="54" t="s">
        <v>130</v>
      </c>
      <c r="H677" s="56" t="n">
        <f aca="false">VLOOKUP(E677,Treatment_Table!$B$5:$E$11,4,FALSE())</f>
        <v>0</v>
      </c>
      <c r="I677" s="57" t="n">
        <f aca="false">F677*H677</f>
        <v>0</v>
      </c>
      <c r="J677" s="57" t="n">
        <f aca="false">IF(D677="Income",F677,-F677)</f>
        <v>-39703.27</v>
      </c>
    </row>
    <row r="678" customFormat="false" ht="15" hidden="false" customHeight="false" outlineLevel="0" collapsed="false">
      <c r="A678" s="54" t="s">
        <v>890</v>
      </c>
      <c r="B678" s="54" t="s">
        <v>247</v>
      </c>
      <c r="C678" s="54" t="s">
        <v>123</v>
      </c>
      <c r="D678" s="54" t="s">
        <v>188</v>
      </c>
      <c r="E678" s="54" t="s">
        <v>121</v>
      </c>
      <c r="F678" s="55" t="n">
        <v>68704.03</v>
      </c>
      <c r="G678" s="54" t="s">
        <v>123</v>
      </c>
      <c r="H678" s="56" t="n">
        <f aca="false">VLOOKUP(E678,Treatment_Table!$B$5:$E$11,4,FALSE())</f>
        <v>0</v>
      </c>
      <c r="I678" s="57" t="n">
        <f aca="false">F678*H678</f>
        <v>0</v>
      </c>
      <c r="J678" s="57" t="n">
        <f aca="false">IF(D678="Income",F678,-F678)</f>
        <v>-68704.03</v>
      </c>
    </row>
    <row r="679" customFormat="false" ht="15" hidden="false" customHeight="false" outlineLevel="0" collapsed="false">
      <c r="A679" s="54" t="s">
        <v>891</v>
      </c>
      <c r="B679" s="54" t="s">
        <v>216</v>
      </c>
      <c r="C679" s="54" t="s">
        <v>137</v>
      </c>
      <c r="D679" s="54" t="s">
        <v>188</v>
      </c>
      <c r="E679" s="54" t="s">
        <v>134</v>
      </c>
      <c r="F679" s="55" t="n">
        <v>14356.37</v>
      </c>
      <c r="G679" s="54" t="s">
        <v>137</v>
      </c>
      <c r="H679" s="56" t="n">
        <f aca="false">VLOOKUP(E679,Treatment_Table!$B$5:$E$11,4,FALSE())</f>
        <v>1</v>
      </c>
      <c r="I679" s="57" t="n">
        <f aca="false">F679*H679</f>
        <v>14356.37</v>
      </c>
      <c r="J679" s="57" t="n">
        <f aca="false">IF(D679="Income",F679,-F679)</f>
        <v>-14356.37</v>
      </c>
    </row>
    <row r="680" customFormat="false" ht="15" hidden="false" customHeight="false" outlineLevel="0" collapsed="false">
      <c r="A680" s="54" t="s">
        <v>892</v>
      </c>
      <c r="B680" s="54" t="s">
        <v>205</v>
      </c>
      <c r="C680" s="54" t="s">
        <v>131</v>
      </c>
      <c r="D680" s="54" t="s">
        <v>188</v>
      </c>
      <c r="E680" s="54" t="s">
        <v>121</v>
      </c>
      <c r="F680" s="55" t="n">
        <v>73155.46</v>
      </c>
      <c r="G680" s="54" t="s">
        <v>131</v>
      </c>
      <c r="H680" s="56" t="n">
        <f aca="false">VLOOKUP(E680,Treatment_Table!$B$5:$E$11,4,FALSE())</f>
        <v>0</v>
      </c>
      <c r="I680" s="57" t="n">
        <f aca="false">F680*H680</f>
        <v>0</v>
      </c>
      <c r="J680" s="57" t="n">
        <f aca="false">IF(D680="Income",F680,-F680)</f>
        <v>-73155.46</v>
      </c>
    </row>
    <row r="681" customFormat="false" ht="15" hidden="false" customHeight="false" outlineLevel="0" collapsed="false">
      <c r="A681" s="54" t="s">
        <v>893</v>
      </c>
      <c r="B681" s="54" t="s">
        <v>247</v>
      </c>
      <c r="C681" s="54" t="s">
        <v>131</v>
      </c>
      <c r="D681" s="54" t="s">
        <v>188</v>
      </c>
      <c r="E681" s="54" t="s">
        <v>121</v>
      </c>
      <c r="F681" s="55" t="n">
        <v>61828.89</v>
      </c>
      <c r="G681" s="54" t="s">
        <v>131</v>
      </c>
      <c r="H681" s="56" t="n">
        <f aca="false">VLOOKUP(E681,Treatment_Table!$B$5:$E$11,4,FALSE())</f>
        <v>0</v>
      </c>
      <c r="I681" s="57" t="n">
        <f aca="false">F681*H681</f>
        <v>0</v>
      </c>
      <c r="J681" s="57" t="n">
        <f aca="false">IF(D681="Income",F681,-F681)</f>
        <v>-61828.89</v>
      </c>
    </row>
    <row r="682" customFormat="false" ht="15" hidden="false" customHeight="false" outlineLevel="0" collapsed="false">
      <c r="A682" s="54" t="s">
        <v>894</v>
      </c>
      <c r="B682" s="54" t="s">
        <v>214</v>
      </c>
      <c r="C682" s="54" t="s">
        <v>131</v>
      </c>
      <c r="D682" s="54" t="s">
        <v>188</v>
      </c>
      <c r="E682" s="54" t="s">
        <v>121</v>
      </c>
      <c r="F682" s="55" t="n">
        <v>208232.2</v>
      </c>
      <c r="G682" s="54" t="s">
        <v>131</v>
      </c>
      <c r="H682" s="56" t="n">
        <f aca="false">VLOOKUP(E682,Treatment_Table!$B$5:$E$11,4,FALSE())</f>
        <v>0</v>
      </c>
      <c r="I682" s="57" t="n">
        <f aca="false">F682*H682</f>
        <v>0</v>
      </c>
      <c r="J682" s="57" t="n">
        <f aca="false">IF(D682="Income",F682,-F682)</f>
        <v>-208232.2</v>
      </c>
    </row>
    <row r="683" customFormat="false" ht="15" hidden="false" customHeight="false" outlineLevel="0" collapsed="false">
      <c r="A683" s="54" t="s">
        <v>895</v>
      </c>
      <c r="B683" s="54" t="s">
        <v>208</v>
      </c>
      <c r="C683" s="54" t="s">
        <v>126</v>
      </c>
      <c r="D683" s="54" t="s">
        <v>188</v>
      </c>
      <c r="E683" s="54" t="s">
        <v>121</v>
      </c>
      <c r="F683" s="55" t="n">
        <v>9768.32</v>
      </c>
      <c r="G683" s="54" t="s">
        <v>126</v>
      </c>
      <c r="H683" s="56" t="n">
        <f aca="false">VLOOKUP(E683,Treatment_Table!$B$5:$E$11,4,FALSE())</f>
        <v>0</v>
      </c>
      <c r="I683" s="57" t="n">
        <f aca="false">F683*H683</f>
        <v>0</v>
      </c>
      <c r="J683" s="57" t="n">
        <f aca="false">IF(D683="Income",F683,-F683)</f>
        <v>-9768.32</v>
      </c>
    </row>
    <row r="684" customFormat="false" ht="15" hidden="false" customHeight="false" outlineLevel="0" collapsed="false">
      <c r="A684" s="54" t="s">
        <v>896</v>
      </c>
      <c r="B684" s="54" t="s">
        <v>230</v>
      </c>
      <c r="C684" s="54" t="s">
        <v>138</v>
      </c>
      <c r="D684" s="54" t="s">
        <v>188</v>
      </c>
      <c r="E684" s="54" t="s">
        <v>139</v>
      </c>
      <c r="F684" s="55" t="n">
        <v>5873.57</v>
      </c>
      <c r="G684" s="54" t="s">
        <v>138</v>
      </c>
      <c r="H684" s="56" t="n">
        <f aca="false">VLOOKUP(E684,Treatment_Table!$B$5:$E$11,4,FALSE())</f>
        <v>0.5</v>
      </c>
      <c r="I684" s="57" t="n">
        <f aca="false">F684*H684</f>
        <v>2936.785</v>
      </c>
      <c r="J684" s="57" t="n">
        <f aca="false">IF(D684="Income",F684,-F684)</f>
        <v>-5873.57</v>
      </c>
    </row>
    <row r="685" customFormat="false" ht="15" hidden="false" customHeight="false" outlineLevel="0" collapsed="false">
      <c r="A685" s="54" t="s">
        <v>897</v>
      </c>
      <c r="B685" s="54" t="s">
        <v>247</v>
      </c>
      <c r="C685" s="54" t="s">
        <v>123</v>
      </c>
      <c r="D685" s="54" t="s">
        <v>188</v>
      </c>
      <c r="E685" s="54" t="s">
        <v>121</v>
      </c>
      <c r="F685" s="55" t="n">
        <v>337305.93</v>
      </c>
      <c r="G685" s="54" t="s">
        <v>123</v>
      </c>
      <c r="H685" s="56" t="n">
        <f aca="false">VLOOKUP(E685,Treatment_Table!$B$5:$E$11,4,FALSE())</f>
        <v>0</v>
      </c>
      <c r="I685" s="57" t="n">
        <f aca="false">F685*H685</f>
        <v>0</v>
      </c>
      <c r="J685" s="57" t="n">
        <f aca="false">IF(D685="Income",F685,-F685)</f>
        <v>-337305.93</v>
      </c>
    </row>
    <row r="686" customFormat="false" ht="15" hidden="false" customHeight="false" outlineLevel="0" collapsed="false">
      <c r="A686" s="54" t="s">
        <v>898</v>
      </c>
      <c r="B686" s="54" t="s">
        <v>210</v>
      </c>
      <c r="C686" s="54" t="s">
        <v>123</v>
      </c>
      <c r="D686" s="54" t="s">
        <v>188</v>
      </c>
      <c r="E686" s="54" t="s">
        <v>121</v>
      </c>
      <c r="F686" s="55" t="n">
        <v>39005.83</v>
      </c>
      <c r="G686" s="54" t="s">
        <v>123</v>
      </c>
      <c r="H686" s="56" t="n">
        <f aca="false">VLOOKUP(E686,Treatment_Table!$B$5:$E$11,4,FALSE())</f>
        <v>0</v>
      </c>
      <c r="I686" s="57" t="n">
        <f aca="false">F686*H686</f>
        <v>0</v>
      </c>
      <c r="J686" s="57" t="n">
        <f aca="false">IF(D686="Income",F686,-F686)</f>
        <v>-39005.83</v>
      </c>
    </row>
    <row r="687" customFormat="false" ht="15" hidden="false" customHeight="false" outlineLevel="0" collapsed="false">
      <c r="A687" s="54" t="s">
        <v>899</v>
      </c>
      <c r="B687" s="54" t="s">
        <v>205</v>
      </c>
      <c r="C687" s="54" t="s">
        <v>132</v>
      </c>
      <c r="D687" s="54" t="s">
        <v>188</v>
      </c>
      <c r="E687" s="54" t="s">
        <v>121</v>
      </c>
      <c r="F687" s="55" t="n">
        <v>4279.96</v>
      </c>
      <c r="G687" s="54" t="s">
        <v>132</v>
      </c>
      <c r="H687" s="56" t="n">
        <f aca="false">VLOOKUP(E687,Treatment_Table!$B$5:$E$11,4,FALSE())</f>
        <v>0</v>
      </c>
      <c r="I687" s="57" t="n">
        <f aca="false">F687*H687</f>
        <v>0</v>
      </c>
      <c r="J687" s="57" t="n">
        <f aca="false">IF(D687="Income",F687,-F687)</f>
        <v>-4279.96</v>
      </c>
    </row>
    <row r="688" customFormat="false" ht="15" hidden="false" customHeight="false" outlineLevel="0" collapsed="false">
      <c r="A688" s="54" t="s">
        <v>900</v>
      </c>
      <c r="B688" s="54" t="s">
        <v>218</v>
      </c>
      <c r="C688" s="54" t="s">
        <v>131</v>
      </c>
      <c r="D688" s="54" t="s">
        <v>188</v>
      </c>
      <c r="E688" s="54" t="s">
        <v>121</v>
      </c>
      <c r="F688" s="55" t="n">
        <v>46888.85</v>
      </c>
      <c r="G688" s="54" t="s">
        <v>131</v>
      </c>
      <c r="H688" s="56" t="n">
        <f aca="false">VLOOKUP(E688,Treatment_Table!$B$5:$E$11,4,FALSE())</f>
        <v>0</v>
      </c>
      <c r="I688" s="57" t="n">
        <f aca="false">F688*H688</f>
        <v>0</v>
      </c>
      <c r="J688" s="57" t="n">
        <f aca="false">IF(D688="Income",F688,-F688)</f>
        <v>-46888.85</v>
      </c>
    </row>
    <row r="689" customFormat="false" ht="15" hidden="false" customHeight="false" outlineLevel="0" collapsed="false">
      <c r="A689" s="54" t="s">
        <v>901</v>
      </c>
      <c r="B689" s="54" t="s">
        <v>223</v>
      </c>
      <c r="C689" s="54" t="s">
        <v>126</v>
      </c>
      <c r="D689" s="54" t="s">
        <v>188</v>
      </c>
      <c r="E689" s="54" t="s">
        <v>121</v>
      </c>
      <c r="F689" s="55" t="n">
        <v>18010.13</v>
      </c>
      <c r="G689" s="54" t="s">
        <v>126</v>
      </c>
      <c r="H689" s="56" t="n">
        <f aca="false">VLOOKUP(E689,Treatment_Table!$B$5:$E$11,4,FALSE())</f>
        <v>0</v>
      </c>
      <c r="I689" s="57" t="n">
        <f aca="false">F689*H689</f>
        <v>0</v>
      </c>
      <c r="J689" s="57" t="n">
        <f aca="false">IF(D689="Income",F689,-F689)</f>
        <v>-18010.13</v>
      </c>
    </row>
    <row r="690" customFormat="false" ht="15" hidden="false" customHeight="false" outlineLevel="0" collapsed="false">
      <c r="A690" s="54" t="s">
        <v>902</v>
      </c>
      <c r="B690" s="54" t="s">
        <v>205</v>
      </c>
      <c r="C690" s="54" t="s">
        <v>131</v>
      </c>
      <c r="D690" s="54" t="s">
        <v>188</v>
      </c>
      <c r="E690" s="54" t="s">
        <v>121</v>
      </c>
      <c r="F690" s="55" t="n">
        <v>329393.81</v>
      </c>
      <c r="G690" s="54" t="s">
        <v>131</v>
      </c>
      <c r="H690" s="56" t="n">
        <f aca="false">VLOOKUP(E690,Treatment_Table!$B$5:$E$11,4,FALSE())</f>
        <v>0</v>
      </c>
      <c r="I690" s="57" t="n">
        <f aca="false">F690*H690</f>
        <v>0</v>
      </c>
      <c r="J690" s="57" t="n">
        <f aca="false">IF(D690="Income",F690,-F690)</f>
        <v>-329393.81</v>
      </c>
    </row>
    <row r="691" customFormat="false" ht="15" hidden="false" customHeight="false" outlineLevel="0" collapsed="false">
      <c r="A691" s="54" t="s">
        <v>903</v>
      </c>
      <c r="B691" s="54" t="s">
        <v>214</v>
      </c>
      <c r="C691" s="54" t="s">
        <v>126</v>
      </c>
      <c r="D691" s="54" t="s">
        <v>188</v>
      </c>
      <c r="E691" s="54" t="s">
        <v>121</v>
      </c>
      <c r="F691" s="55" t="n">
        <v>23779.82</v>
      </c>
      <c r="G691" s="54" t="s">
        <v>126</v>
      </c>
      <c r="H691" s="56" t="n">
        <f aca="false">VLOOKUP(E691,Treatment_Table!$B$5:$E$11,4,FALSE())</f>
        <v>0</v>
      </c>
      <c r="I691" s="57" t="n">
        <f aca="false">F691*H691</f>
        <v>0</v>
      </c>
      <c r="J691" s="57" t="n">
        <f aca="false">IF(D691="Income",F691,-F691)</f>
        <v>-23779.82</v>
      </c>
    </row>
    <row r="692" customFormat="false" ht="15" hidden="false" customHeight="false" outlineLevel="0" collapsed="false">
      <c r="A692" s="54" t="s">
        <v>904</v>
      </c>
      <c r="B692" s="54" t="s">
        <v>205</v>
      </c>
      <c r="C692" s="54" t="s">
        <v>131</v>
      </c>
      <c r="D692" s="54" t="s">
        <v>188</v>
      </c>
      <c r="E692" s="54" t="s">
        <v>121</v>
      </c>
      <c r="F692" s="55" t="n">
        <v>40019.66</v>
      </c>
      <c r="G692" s="54" t="s">
        <v>131</v>
      </c>
      <c r="H692" s="56" t="n">
        <f aca="false">VLOOKUP(E692,Treatment_Table!$B$5:$E$11,4,FALSE())</f>
        <v>0</v>
      </c>
      <c r="I692" s="57" t="n">
        <f aca="false">F692*H692</f>
        <v>0</v>
      </c>
      <c r="J692" s="57" t="n">
        <f aca="false">IF(D692="Income",F692,-F692)</f>
        <v>-40019.66</v>
      </c>
    </row>
    <row r="693" customFormat="false" ht="15" hidden="false" customHeight="false" outlineLevel="0" collapsed="false">
      <c r="A693" s="54" t="s">
        <v>905</v>
      </c>
      <c r="B693" s="54" t="s">
        <v>214</v>
      </c>
      <c r="C693" s="54" t="s">
        <v>123</v>
      </c>
      <c r="D693" s="54" t="s">
        <v>188</v>
      </c>
      <c r="E693" s="54" t="s">
        <v>121</v>
      </c>
      <c r="F693" s="55" t="n">
        <v>80957.53</v>
      </c>
      <c r="G693" s="54" t="s">
        <v>123</v>
      </c>
      <c r="H693" s="56" t="n">
        <f aca="false">VLOOKUP(E693,Treatment_Table!$B$5:$E$11,4,FALSE())</f>
        <v>0</v>
      </c>
      <c r="I693" s="57" t="n">
        <f aca="false">F693*H693</f>
        <v>0</v>
      </c>
      <c r="J693" s="57" t="n">
        <f aca="false">IF(D693="Income",F693,-F693)</f>
        <v>-80957.53</v>
      </c>
    </row>
    <row r="694" customFormat="false" ht="15" hidden="false" customHeight="false" outlineLevel="0" collapsed="false">
      <c r="A694" s="54" t="s">
        <v>906</v>
      </c>
      <c r="B694" s="54" t="s">
        <v>228</v>
      </c>
      <c r="C694" s="54" t="s">
        <v>142</v>
      </c>
      <c r="D694" s="54" t="s">
        <v>188</v>
      </c>
      <c r="E694" s="54" t="s">
        <v>141</v>
      </c>
      <c r="F694" s="55" t="n">
        <v>78217.62</v>
      </c>
      <c r="G694" s="54" t="s">
        <v>142</v>
      </c>
      <c r="H694" s="56" t="n">
        <f aca="false">VLOOKUP(E694,Treatment_Table!$B$5:$E$11,4,FALSE())</f>
        <v>0</v>
      </c>
      <c r="I694" s="57" t="n">
        <f aca="false">F694*H694</f>
        <v>0</v>
      </c>
      <c r="J694" s="57" t="n">
        <f aca="false">IF(D694="Income",F694,-F694)</f>
        <v>-78217.62</v>
      </c>
    </row>
    <row r="695" customFormat="false" ht="15" hidden="false" customHeight="false" outlineLevel="0" collapsed="false">
      <c r="A695" s="54" t="s">
        <v>907</v>
      </c>
      <c r="B695" s="54" t="s">
        <v>214</v>
      </c>
      <c r="C695" s="54" t="s">
        <v>138</v>
      </c>
      <c r="D695" s="54" t="s">
        <v>188</v>
      </c>
      <c r="E695" s="54" t="s">
        <v>139</v>
      </c>
      <c r="F695" s="55" t="n">
        <v>2371.75</v>
      </c>
      <c r="G695" s="54" t="s">
        <v>138</v>
      </c>
      <c r="H695" s="56" t="n">
        <f aca="false">VLOOKUP(E695,Treatment_Table!$B$5:$E$11,4,FALSE())</f>
        <v>0.5</v>
      </c>
      <c r="I695" s="57" t="n">
        <f aca="false">F695*H695</f>
        <v>1185.875</v>
      </c>
      <c r="J695" s="57" t="n">
        <f aca="false">IF(D695="Income",F695,-F695)</f>
        <v>-2371.75</v>
      </c>
    </row>
    <row r="696" customFormat="false" ht="15" hidden="false" customHeight="false" outlineLevel="0" collapsed="false">
      <c r="A696" s="54" t="s">
        <v>908</v>
      </c>
      <c r="B696" s="54" t="s">
        <v>205</v>
      </c>
      <c r="C696" s="54" t="s">
        <v>131</v>
      </c>
      <c r="D696" s="54" t="s">
        <v>188</v>
      </c>
      <c r="E696" s="54" t="s">
        <v>121</v>
      </c>
      <c r="F696" s="55" t="n">
        <v>100430.49</v>
      </c>
      <c r="G696" s="54" t="s">
        <v>131</v>
      </c>
      <c r="H696" s="56" t="n">
        <f aca="false">VLOOKUP(E696,Treatment_Table!$B$5:$E$11,4,FALSE())</f>
        <v>0</v>
      </c>
      <c r="I696" s="57" t="n">
        <f aca="false">F696*H696</f>
        <v>0</v>
      </c>
      <c r="J696" s="57" t="n">
        <f aca="false">IF(D696="Income",F696,-F696)</f>
        <v>-100430.49</v>
      </c>
    </row>
    <row r="697" customFormat="false" ht="15" hidden="false" customHeight="false" outlineLevel="0" collapsed="false">
      <c r="A697" s="54" t="s">
        <v>909</v>
      </c>
      <c r="B697" s="54" t="s">
        <v>208</v>
      </c>
      <c r="C697" s="54" t="s">
        <v>124</v>
      </c>
      <c r="D697" s="54" t="s">
        <v>188</v>
      </c>
      <c r="E697" s="54" t="s">
        <v>121</v>
      </c>
      <c r="F697" s="55" t="n">
        <v>47903.66</v>
      </c>
      <c r="G697" s="54" t="s">
        <v>124</v>
      </c>
      <c r="H697" s="56" t="n">
        <f aca="false">VLOOKUP(E697,Treatment_Table!$B$5:$E$11,4,FALSE())</f>
        <v>0</v>
      </c>
      <c r="I697" s="57" t="n">
        <f aca="false">F697*H697</f>
        <v>0</v>
      </c>
      <c r="J697" s="57" t="n">
        <f aca="false">IF(D697="Income",F697,-F697)</f>
        <v>-47903.66</v>
      </c>
    </row>
    <row r="698" customFormat="false" ht="15" hidden="false" customHeight="false" outlineLevel="0" collapsed="false">
      <c r="A698" s="54" t="s">
        <v>910</v>
      </c>
      <c r="B698" s="54" t="s">
        <v>205</v>
      </c>
      <c r="C698" s="54" t="s">
        <v>131</v>
      </c>
      <c r="D698" s="54" t="s">
        <v>188</v>
      </c>
      <c r="E698" s="54" t="s">
        <v>121</v>
      </c>
      <c r="F698" s="55" t="n">
        <v>73874.81</v>
      </c>
      <c r="G698" s="54" t="s">
        <v>131</v>
      </c>
      <c r="H698" s="56" t="n">
        <f aca="false">VLOOKUP(E698,Treatment_Table!$B$5:$E$11,4,FALSE())</f>
        <v>0</v>
      </c>
      <c r="I698" s="57" t="n">
        <f aca="false">F698*H698</f>
        <v>0</v>
      </c>
      <c r="J698" s="57" t="n">
        <f aca="false">IF(D698="Income",F698,-F698)</f>
        <v>-73874.81</v>
      </c>
    </row>
    <row r="699" customFormat="false" ht="15" hidden="false" customHeight="false" outlineLevel="0" collapsed="false">
      <c r="A699" s="54" t="s">
        <v>911</v>
      </c>
      <c r="B699" s="54" t="s">
        <v>205</v>
      </c>
      <c r="C699" s="54" t="s">
        <v>131</v>
      </c>
      <c r="D699" s="54" t="s">
        <v>188</v>
      </c>
      <c r="E699" s="54" t="s">
        <v>121</v>
      </c>
      <c r="F699" s="55" t="n">
        <v>40026.41</v>
      </c>
      <c r="G699" s="54" t="s">
        <v>131</v>
      </c>
      <c r="H699" s="56" t="n">
        <f aca="false">VLOOKUP(E699,Treatment_Table!$B$5:$E$11,4,FALSE())</f>
        <v>0</v>
      </c>
      <c r="I699" s="57" t="n">
        <f aca="false">F699*H699</f>
        <v>0</v>
      </c>
      <c r="J699" s="57" t="n">
        <f aca="false">IF(D699="Income",F699,-F699)</f>
        <v>-40026.41</v>
      </c>
    </row>
    <row r="700" customFormat="false" ht="15" hidden="false" customHeight="false" outlineLevel="0" collapsed="false">
      <c r="A700" s="54" t="s">
        <v>912</v>
      </c>
      <c r="B700" s="54" t="s">
        <v>230</v>
      </c>
      <c r="C700" s="54" t="s">
        <v>123</v>
      </c>
      <c r="D700" s="54" t="s">
        <v>188</v>
      </c>
      <c r="E700" s="54" t="s">
        <v>121</v>
      </c>
      <c r="F700" s="55" t="n">
        <v>65892.68</v>
      </c>
      <c r="G700" s="54" t="s">
        <v>123</v>
      </c>
      <c r="H700" s="56" t="n">
        <f aca="false">VLOOKUP(E700,Treatment_Table!$B$5:$E$11,4,FALSE())</f>
        <v>0</v>
      </c>
      <c r="I700" s="57" t="n">
        <f aca="false">F700*H700</f>
        <v>0</v>
      </c>
      <c r="J700" s="57" t="n">
        <f aca="false">IF(D700="Income",F700,-F700)</f>
        <v>-65892.68</v>
      </c>
    </row>
    <row r="701" customFormat="false" ht="15" hidden="false" customHeight="false" outlineLevel="0" collapsed="false">
      <c r="A701" s="54" t="s">
        <v>913</v>
      </c>
      <c r="B701" s="54" t="s">
        <v>243</v>
      </c>
      <c r="C701" s="54" t="s">
        <v>131</v>
      </c>
      <c r="D701" s="54" t="s">
        <v>188</v>
      </c>
      <c r="E701" s="54" t="s">
        <v>121</v>
      </c>
      <c r="F701" s="55" t="n">
        <v>66642.66</v>
      </c>
      <c r="G701" s="54" t="s">
        <v>131</v>
      </c>
      <c r="H701" s="56" t="n">
        <f aca="false">VLOOKUP(E701,Treatment_Table!$B$5:$E$11,4,FALSE())</f>
        <v>0</v>
      </c>
      <c r="I701" s="57" t="n">
        <f aca="false">F701*H701</f>
        <v>0</v>
      </c>
      <c r="J701" s="57" t="n">
        <f aca="false">IF(D701="Income",F701,-F701)</f>
        <v>-66642.66</v>
      </c>
    </row>
    <row r="702" customFormat="false" ht="15" hidden="false" customHeight="false" outlineLevel="0" collapsed="false">
      <c r="A702" s="54" t="s">
        <v>914</v>
      </c>
      <c r="B702" s="54" t="s">
        <v>230</v>
      </c>
      <c r="C702" s="54" t="s">
        <v>132</v>
      </c>
      <c r="D702" s="54" t="s">
        <v>188</v>
      </c>
      <c r="E702" s="54" t="s">
        <v>121</v>
      </c>
      <c r="F702" s="55" t="n">
        <v>4166.71</v>
      </c>
      <c r="G702" s="54" t="s">
        <v>132</v>
      </c>
      <c r="H702" s="56" t="n">
        <f aca="false">VLOOKUP(E702,Treatment_Table!$B$5:$E$11,4,FALSE())</f>
        <v>0</v>
      </c>
      <c r="I702" s="57" t="n">
        <f aca="false">F702*H702</f>
        <v>0</v>
      </c>
      <c r="J702" s="57" t="n">
        <f aca="false">IF(D702="Income",F702,-F702)</f>
        <v>-4166.71</v>
      </c>
    </row>
    <row r="703" customFormat="false" ht="15" hidden="false" customHeight="false" outlineLevel="0" collapsed="false">
      <c r="A703" s="54" t="s">
        <v>915</v>
      </c>
      <c r="B703" s="54" t="s">
        <v>223</v>
      </c>
      <c r="C703" s="54" t="s">
        <v>131</v>
      </c>
      <c r="D703" s="54" t="s">
        <v>188</v>
      </c>
      <c r="E703" s="54" t="s">
        <v>121</v>
      </c>
      <c r="F703" s="55" t="n">
        <v>70062.99</v>
      </c>
      <c r="G703" s="54" t="s">
        <v>131</v>
      </c>
      <c r="H703" s="56" t="n">
        <f aca="false">VLOOKUP(E703,Treatment_Table!$B$5:$E$11,4,FALSE())</f>
        <v>0</v>
      </c>
      <c r="I703" s="57" t="n">
        <f aca="false">F703*H703</f>
        <v>0</v>
      </c>
      <c r="J703" s="57" t="n">
        <f aca="false">IF(D703="Income",F703,-F703)</f>
        <v>-70062.99</v>
      </c>
    </row>
    <row r="704" customFormat="false" ht="15" hidden="false" customHeight="false" outlineLevel="0" collapsed="false">
      <c r="A704" s="54" t="s">
        <v>916</v>
      </c>
      <c r="B704" s="54" t="s">
        <v>216</v>
      </c>
      <c r="C704" s="54" t="s">
        <v>131</v>
      </c>
      <c r="D704" s="54" t="s">
        <v>188</v>
      </c>
      <c r="E704" s="54" t="s">
        <v>121</v>
      </c>
      <c r="F704" s="55" t="n">
        <v>130296.76</v>
      </c>
      <c r="G704" s="54" t="s">
        <v>131</v>
      </c>
      <c r="H704" s="56" t="n">
        <f aca="false">VLOOKUP(E704,Treatment_Table!$B$5:$E$11,4,FALSE())</f>
        <v>0</v>
      </c>
      <c r="I704" s="57" t="n">
        <f aca="false">F704*H704</f>
        <v>0</v>
      </c>
      <c r="J704" s="57" t="n">
        <f aca="false">IF(D704="Income",F704,-F704)</f>
        <v>-130296.76</v>
      </c>
    </row>
    <row r="705" customFormat="false" ht="15" hidden="false" customHeight="false" outlineLevel="0" collapsed="false">
      <c r="A705" s="54" t="s">
        <v>917</v>
      </c>
      <c r="B705" s="54" t="s">
        <v>216</v>
      </c>
      <c r="C705" s="54" t="s">
        <v>123</v>
      </c>
      <c r="D705" s="54" t="s">
        <v>188</v>
      </c>
      <c r="E705" s="54" t="s">
        <v>121</v>
      </c>
      <c r="F705" s="55" t="n">
        <v>88951.71</v>
      </c>
      <c r="G705" s="54" t="s">
        <v>123</v>
      </c>
      <c r="H705" s="56" t="n">
        <f aca="false">VLOOKUP(E705,Treatment_Table!$B$5:$E$11,4,FALSE())</f>
        <v>0</v>
      </c>
      <c r="I705" s="57" t="n">
        <f aca="false">F705*H705</f>
        <v>0</v>
      </c>
      <c r="J705" s="57" t="n">
        <f aca="false">IF(D705="Income",F705,-F705)</f>
        <v>-88951.71</v>
      </c>
    </row>
    <row r="706" customFormat="false" ht="15" hidden="false" customHeight="false" outlineLevel="0" collapsed="false">
      <c r="A706" s="54" t="s">
        <v>918</v>
      </c>
      <c r="B706" s="54" t="s">
        <v>218</v>
      </c>
      <c r="C706" s="54" t="s">
        <v>122</v>
      </c>
      <c r="D706" s="54" t="s">
        <v>188</v>
      </c>
      <c r="E706" s="54" t="s">
        <v>121</v>
      </c>
      <c r="F706" s="55" t="n">
        <v>2573.42</v>
      </c>
      <c r="G706" s="54" t="s">
        <v>122</v>
      </c>
      <c r="H706" s="56" t="n">
        <f aca="false">VLOOKUP(E706,Treatment_Table!$B$5:$E$11,4,FALSE())</f>
        <v>0</v>
      </c>
      <c r="I706" s="57" t="n">
        <f aca="false">F706*H706</f>
        <v>0</v>
      </c>
      <c r="J706" s="57" t="n">
        <f aca="false">IF(D706="Income",F706,-F706)</f>
        <v>-2573.42</v>
      </c>
    </row>
    <row r="707" customFormat="false" ht="15" hidden="false" customHeight="false" outlineLevel="0" collapsed="false">
      <c r="A707" s="54" t="s">
        <v>919</v>
      </c>
      <c r="B707" s="54" t="s">
        <v>243</v>
      </c>
      <c r="C707" s="54" t="s">
        <v>124</v>
      </c>
      <c r="D707" s="54" t="s">
        <v>188</v>
      </c>
      <c r="E707" s="54" t="s">
        <v>121</v>
      </c>
      <c r="F707" s="55" t="n">
        <v>32376.96</v>
      </c>
      <c r="G707" s="54" t="s">
        <v>124</v>
      </c>
      <c r="H707" s="56" t="n">
        <f aca="false">VLOOKUP(E707,Treatment_Table!$B$5:$E$11,4,FALSE())</f>
        <v>0</v>
      </c>
      <c r="I707" s="57" t="n">
        <f aca="false">F707*H707</f>
        <v>0</v>
      </c>
      <c r="J707" s="57" t="n">
        <f aca="false">IF(D707="Income",F707,-F707)</f>
        <v>-32376.96</v>
      </c>
    </row>
    <row r="708" customFormat="false" ht="15" hidden="false" customHeight="false" outlineLevel="0" collapsed="false">
      <c r="A708" s="54" t="s">
        <v>920</v>
      </c>
      <c r="B708" s="54" t="s">
        <v>216</v>
      </c>
      <c r="C708" s="54" t="s">
        <v>128</v>
      </c>
      <c r="D708" s="54" t="s">
        <v>188</v>
      </c>
      <c r="E708" s="54" t="s">
        <v>121</v>
      </c>
      <c r="F708" s="55" t="n">
        <v>41189.99</v>
      </c>
      <c r="G708" s="54" t="s">
        <v>128</v>
      </c>
      <c r="H708" s="56" t="n">
        <f aca="false">VLOOKUP(E708,Treatment_Table!$B$5:$E$11,4,FALSE())</f>
        <v>0</v>
      </c>
      <c r="I708" s="57" t="n">
        <f aca="false">F708*H708</f>
        <v>0</v>
      </c>
      <c r="J708" s="57" t="n">
        <f aca="false">IF(D708="Income",F708,-F708)</f>
        <v>-41189.99</v>
      </c>
    </row>
    <row r="709" customFormat="false" ht="15" hidden="false" customHeight="false" outlineLevel="0" collapsed="false">
      <c r="A709" s="54" t="s">
        <v>921</v>
      </c>
      <c r="B709" s="54" t="s">
        <v>218</v>
      </c>
      <c r="C709" s="54" t="s">
        <v>131</v>
      </c>
      <c r="D709" s="54" t="s">
        <v>188</v>
      </c>
      <c r="E709" s="54" t="s">
        <v>121</v>
      </c>
      <c r="F709" s="55" t="n">
        <v>66360.87</v>
      </c>
      <c r="G709" s="54" t="s">
        <v>131</v>
      </c>
      <c r="H709" s="56" t="n">
        <f aca="false">VLOOKUP(E709,Treatment_Table!$B$5:$E$11,4,FALSE())</f>
        <v>0</v>
      </c>
      <c r="I709" s="57" t="n">
        <f aca="false">F709*H709</f>
        <v>0</v>
      </c>
      <c r="J709" s="57" t="n">
        <f aca="false">IF(D709="Income",F709,-F709)</f>
        <v>-66360.87</v>
      </c>
    </row>
    <row r="710" customFormat="false" ht="15" hidden="false" customHeight="false" outlineLevel="0" collapsed="false">
      <c r="A710" s="54" t="s">
        <v>922</v>
      </c>
      <c r="B710" s="54" t="s">
        <v>235</v>
      </c>
      <c r="C710" s="54" t="s">
        <v>124</v>
      </c>
      <c r="D710" s="54" t="s">
        <v>188</v>
      </c>
      <c r="E710" s="54" t="s">
        <v>121</v>
      </c>
      <c r="F710" s="55" t="n">
        <v>31001.3</v>
      </c>
      <c r="G710" s="54" t="s">
        <v>124</v>
      </c>
      <c r="H710" s="56" t="n">
        <f aca="false">VLOOKUP(E710,Treatment_Table!$B$5:$E$11,4,FALSE())</f>
        <v>0</v>
      </c>
      <c r="I710" s="57" t="n">
        <f aca="false">F710*H710</f>
        <v>0</v>
      </c>
      <c r="J710" s="57" t="n">
        <f aca="false">IF(D710="Income",F710,-F710)</f>
        <v>-31001.3</v>
      </c>
    </row>
    <row r="711" customFormat="false" ht="15" hidden="false" customHeight="false" outlineLevel="0" collapsed="false">
      <c r="A711" s="54" t="s">
        <v>923</v>
      </c>
      <c r="B711" s="54" t="s">
        <v>228</v>
      </c>
      <c r="C711" s="54" t="s">
        <v>122</v>
      </c>
      <c r="D711" s="54" t="s">
        <v>188</v>
      </c>
      <c r="E711" s="54" t="s">
        <v>121</v>
      </c>
      <c r="F711" s="55" t="n">
        <v>3048.7</v>
      </c>
      <c r="G711" s="54" t="s">
        <v>122</v>
      </c>
      <c r="H711" s="56" t="n">
        <f aca="false">VLOOKUP(E711,Treatment_Table!$B$5:$E$11,4,FALSE())</f>
        <v>0</v>
      </c>
      <c r="I711" s="57" t="n">
        <f aca="false">F711*H711</f>
        <v>0</v>
      </c>
      <c r="J711" s="57" t="n">
        <f aca="false">IF(D711="Income",F711,-F711)</f>
        <v>-3048.7</v>
      </c>
    </row>
    <row r="712" customFormat="false" ht="15" hidden="false" customHeight="false" outlineLevel="0" collapsed="false">
      <c r="A712" s="54" t="s">
        <v>924</v>
      </c>
      <c r="B712" s="54" t="s">
        <v>230</v>
      </c>
      <c r="C712" s="54" t="s">
        <v>131</v>
      </c>
      <c r="D712" s="54" t="s">
        <v>188</v>
      </c>
      <c r="E712" s="54" t="s">
        <v>121</v>
      </c>
      <c r="F712" s="55" t="n">
        <v>165351.72</v>
      </c>
      <c r="G712" s="54" t="s">
        <v>131</v>
      </c>
      <c r="H712" s="56" t="n">
        <f aca="false">VLOOKUP(E712,Treatment_Table!$B$5:$E$11,4,FALSE())</f>
        <v>0</v>
      </c>
      <c r="I712" s="57" t="n">
        <f aca="false">F712*H712</f>
        <v>0</v>
      </c>
      <c r="J712" s="57" t="n">
        <f aca="false">IF(D712="Income",F712,-F712)</f>
        <v>-165351.72</v>
      </c>
    </row>
    <row r="713" customFormat="false" ht="15" hidden="false" customHeight="false" outlineLevel="0" collapsed="false">
      <c r="A713" s="54" t="s">
        <v>925</v>
      </c>
      <c r="B713" s="54" t="s">
        <v>214</v>
      </c>
      <c r="C713" s="54" t="s">
        <v>126</v>
      </c>
      <c r="D713" s="54" t="s">
        <v>188</v>
      </c>
      <c r="E713" s="54" t="s">
        <v>121</v>
      </c>
      <c r="F713" s="55" t="n">
        <v>46060.8</v>
      </c>
      <c r="G713" s="54" t="s">
        <v>126</v>
      </c>
      <c r="H713" s="56" t="n">
        <f aca="false">VLOOKUP(E713,Treatment_Table!$B$5:$E$11,4,FALSE())</f>
        <v>0</v>
      </c>
      <c r="I713" s="57" t="n">
        <f aca="false">F713*H713</f>
        <v>0</v>
      </c>
      <c r="J713" s="57" t="n">
        <f aca="false">IF(D713="Income",F713,-F713)</f>
        <v>-46060.8</v>
      </c>
    </row>
    <row r="714" customFormat="false" ht="15" hidden="false" customHeight="false" outlineLevel="0" collapsed="false">
      <c r="A714" s="54" t="s">
        <v>926</v>
      </c>
      <c r="B714" s="54" t="s">
        <v>208</v>
      </c>
      <c r="C714" s="54" t="s">
        <v>123</v>
      </c>
      <c r="D714" s="54" t="s">
        <v>188</v>
      </c>
      <c r="E714" s="54" t="s">
        <v>121</v>
      </c>
      <c r="F714" s="55" t="n">
        <v>69186.46</v>
      </c>
      <c r="G714" s="54" t="s">
        <v>123</v>
      </c>
      <c r="H714" s="56" t="n">
        <f aca="false">VLOOKUP(E714,Treatment_Table!$B$5:$E$11,4,FALSE())</f>
        <v>0</v>
      </c>
      <c r="I714" s="57" t="n">
        <f aca="false">F714*H714</f>
        <v>0</v>
      </c>
      <c r="J714" s="57" t="n">
        <f aca="false">IF(D714="Income",F714,-F714)</f>
        <v>-69186.46</v>
      </c>
    </row>
    <row r="715" customFormat="false" ht="15" hidden="false" customHeight="false" outlineLevel="0" collapsed="false">
      <c r="A715" s="54" t="s">
        <v>927</v>
      </c>
      <c r="B715" s="54" t="s">
        <v>247</v>
      </c>
      <c r="C715" s="54" t="s">
        <v>124</v>
      </c>
      <c r="D715" s="54" t="s">
        <v>188</v>
      </c>
      <c r="E715" s="54" t="s">
        <v>121</v>
      </c>
      <c r="F715" s="55" t="n">
        <v>72595.59</v>
      </c>
      <c r="G715" s="54" t="s">
        <v>124</v>
      </c>
      <c r="H715" s="56" t="n">
        <f aca="false">VLOOKUP(E715,Treatment_Table!$B$5:$E$11,4,FALSE())</f>
        <v>0</v>
      </c>
      <c r="I715" s="57" t="n">
        <f aca="false">F715*H715</f>
        <v>0</v>
      </c>
      <c r="J715" s="57" t="n">
        <f aca="false">IF(D715="Income",F715,-F715)</f>
        <v>-72595.59</v>
      </c>
    </row>
    <row r="716" customFormat="false" ht="15" hidden="false" customHeight="false" outlineLevel="0" collapsed="false">
      <c r="A716" s="54" t="s">
        <v>928</v>
      </c>
      <c r="B716" s="54" t="s">
        <v>214</v>
      </c>
      <c r="C716" s="54" t="s">
        <v>129</v>
      </c>
      <c r="D716" s="54" t="s">
        <v>188</v>
      </c>
      <c r="E716" s="54" t="s">
        <v>121</v>
      </c>
      <c r="F716" s="55" t="n">
        <v>18674.71</v>
      </c>
      <c r="G716" s="54" t="s">
        <v>129</v>
      </c>
      <c r="H716" s="56" t="n">
        <f aca="false">VLOOKUP(E716,Treatment_Table!$B$5:$E$11,4,FALSE())</f>
        <v>0</v>
      </c>
      <c r="I716" s="57" t="n">
        <f aca="false">F716*H716</f>
        <v>0</v>
      </c>
      <c r="J716" s="57" t="n">
        <f aca="false">IF(D716="Income",F716,-F716)</f>
        <v>-18674.71</v>
      </c>
    </row>
    <row r="717" customFormat="false" ht="15" hidden="false" customHeight="false" outlineLevel="0" collapsed="false">
      <c r="A717" s="54" t="s">
        <v>929</v>
      </c>
      <c r="B717" s="54" t="s">
        <v>214</v>
      </c>
      <c r="C717" s="54" t="s">
        <v>131</v>
      </c>
      <c r="D717" s="54" t="s">
        <v>188</v>
      </c>
      <c r="E717" s="54" t="s">
        <v>121</v>
      </c>
      <c r="F717" s="55" t="n">
        <v>77056.49</v>
      </c>
      <c r="G717" s="54" t="s">
        <v>131</v>
      </c>
      <c r="H717" s="56" t="n">
        <f aca="false">VLOOKUP(E717,Treatment_Table!$B$5:$E$11,4,FALSE())</f>
        <v>0</v>
      </c>
      <c r="I717" s="57" t="n">
        <f aca="false">F717*H717</f>
        <v>0</v>
      </c>
      <c r="J717" s="57" t="n">
        <f aca="false">IF(D717="Income",F717,-F717)</f>
        <v>-77056.49</v>
      </c>
    </row>
    <row r="718" customFormat="false" ht="15" hidden="false" customHeight="false" outlineLevel="0" collapsed="false">
      <c r="A718" s="54" t="s">
        <v>930</v>
      </c>
      <c r="B718" s="54" t="s">
        <v>218</v>
      </c>
      <c r="C718" s="54" t="s">
        <v>131</v>
      </c>
      <c r="D718" s="54" t="s">
        <v>188</v>
      </c>
      <c r="E718" s="54" t="s">
        <v>121</v>
      </c>
      <c r="F718" s="55" t="n">
        <v>73738.4</v>
      </c>
      <c r="G718" s="54" t="s">
        <v>131</v>
      </c>
      <c r="H718" s="56" t="n">
        <f aca="false">VLOOKUP(E718,Treatment_Table!$B$5:$E$11,4,FALSE())</f>
        <v>0</v>
      </c>
      <c r="I718" s="57" t="n">
        <f aca="false">F718*H718</f>
        <v>0</v>
      </c>
      <c r="J718" s="57" t="n">
        <f aca="false">IF(D718="Income",F718,-F718)</f>
        <v>-73738.4</v>
      </c>
    </row>
    <row r="719" customFormat="false" ht="15" hidden="false" customHeight="false" outlineLevel="0" collapsed="false">
      <c r="A719" s="54" t="s">
        <v>931</v>
      </c>
      <c r="B719" s="54" t="s">
        <v>235</v>
      </c>
      <c r="C719" s="54" t="s">
        <v>131</v>
      </c>
      <c r="D719" s="54" t="s">
        <v>188</v>
      </c>
      <c r="E719" s="54" t="s">
        <v>121</v>
      </c>
      <c r="F719" s="55" t="n">
        <v>65625.77</v>
      </c>
      <c r="G719" s="54" t="s">
        <v>131</v>
      </c>
      <c r="H719" s="56" t="n">
        <f aca="false">VLOOKUP(E719,Treatment_Table!$B$5:$E$11,4,FALSE())</f>
        <v>0</v>
      </c>
      <c r="I719" s="57" t="n">
        <f aca="false">F719*H719</f>
        <v>0</v>
      </c>
      <c r="J719" s="57" t="n">
        <f aca="false">IF(D719="Income",F719,-F719)</f>
        <v>-65625.77</v>
      </c>
    </row>
    <row r="720" customFormat="false" ht="15" hidden="false" customHeight="false" outlineLevel="0" collapsed="false">
      <c r="A720" s="54" t="s">
        <v>932</v>
      </c>
      <c r="B720" s="54" t="s">
        <v>205</v>
      </c>
      <c r="C720" s="54" t="s">
        <v>131</v>
      </c>
      <c r="D720" s="54" t="s">
        <v>188</v>
      </c>
      <c r="E720" s="54" t="s">
        <v>121</v>
      </c>
      <c r="F720" s="55" t="n">
        <v>71560.55</v>
      </c>
      <c r="G720" s="54" t="s">
        <v>131</v>
      </c>
      <c r="H720" s="56" t="n">
        <f aca="false">VLOOKUP(E720,Treatment_Table!$B$5:$E$11,4,FALSE())</f>
        <v>0</v>
      </c>
      <c r="I720" s="57" t="n">
        <f aca="false">F720*H720</f>
        <v>0</v>
      </c>
      <c r="J720" s="57" t="n">
        <f aca="false">IF(D720="Income",F720,-F720)</f>
        <v>-71560.55</v>
      </c>
    </row>
    <row r="721" customFormat="false" ht="15" hidden="false" customHeight="false" outlineLevel="0" collapsed="false">
      <c r="A721" s="54" t="s">
        <v>933</v>
      </c>
      <c r="B721" s="54" t="s">
        <v>216</v>
      </c>
      <c r="C721" s="54" t="s">
        <v>131</v>
      </c>
      <c r="D721" s="54" t="s">
        <v>188</v>
      </c>
      <c r="E721" s="54" t="s">
        <v>121</v>
      </c>
      <c r="F721" s="55" t="n">
        <v>83573.94</v>
      </c>
      <c r="G721" s="54" t="s">
        <v>131</v>
      </c>
      <c r="H721" s="56" t="n">
        <f aca="false">VLOOKUP(E721,Treatment_Table!$B$5:$E$11,4,FALSE())</f>
        <v>0</v>
      </c>
      <c r="I721" s="57" t="n">
        <f aca="false">F721*H721</f>
        <v>0</v>
      </c>
      <c r="J721" s="57" t="n">
        <f aca="false">IF(D721="Income",F721,-F721)</f>
        <v>-83573.94</v>
      </c>
    </row>
    <row r="722" customFormat="false" ht="15" hidden="false" customHeight="false" outlineLevel="0" collapsed="false">
      <c r="A722" s="54" t="s">
        <v>934</v>
      </c>
      <c r="B722" s="54" t="s">
        <v>230</v>
      </c>
      <c r="C722" s="54" t="s">
        <v>123</v>
      </c>
      <c r="D722" s="54" t="s">
        <v>188</v>
      </c>
      <c r="E722" s="54" t="s">
        <v>121</v>
      </c>
      <c r="F722" s="55" t="n">
        <v>47315.26</v>
      </c>
      <c r="G722" s="54" t="s">
        <v>123</v>
      </c>
      <c r="H722" s="56" t="n">
        <f aca="false">VLOOKUP(E722,Treatment_Table!$B$5:$E$11,4,FALSE())</f>
        <v>0</v>
      </c>
      <c r="I722" s="57" t="n">
        <f aca="false">F722*H722</f>
        <v>0</v>
      </c>
      <c r="J722" s="57" t="n">
        <f aca="false">IF(D722="Income",F722,-F722)</f>
        <v>-47315.26</v>
      </c>
    </row>
    <row r="723" customFormat="false" ht="15" hidden="false" customHeight="false" outlineLevel="0" collapsed="false">
      <c r="A723" s="54" t="s">
        <v>935</v>
      </c>
      <c r="B723" s="54" t="s">
        <v>218</v>
      </c>
      <c r="C723" s="54" t="s">
        <v>124</v>
      </c>
      <c r="D723" s="54" t="s">
        <v>188</v>
      </c>
      <c r="E723" s="54" t="s">
        <v>121</v>
      </c>
      <c r="F723" s="55" t="n">
        <v>76239.67</v>
      </c>
      <c r="G723" s="54" t="s">
        <v>124</v>
      </c>
      <c r="H723" s="56" t="n">
        <f aca="false">VLOOKUP(E723,Treatment_Table!$B$5:$E$11,4,FALSE())</f>
        <v>0</v>
      </c>
      <c r="I723" s="57" t="n">
        <f aca="false">F723*H723</f>
        <v>0</v>
      </c>
      <c r="J723" s="57" t="n">
        <f aca="false">IF(D723="Income",F723,-F723)</f>
        <v>-76239.67</v>
      </c>
    </row>
    <row r="724" customFormat="false" ht="15" hidden="false" customHeight="false" outlineLevel="0" collapsed="false">
      <c r="A724" s="54" t="s">
        <v>936</v>
      </c>
      <c r="B724" s="54" t="s">
        <v>228</v>
      </c>
      <c r="C724" s="54" t="s">
        <v>131</v>
      </c>
      <c r="D724" s="54" t="s">
        <v>188</v>
      </c>
      <c r="E724" s="54" t="s">
        <v>121</v>
      </c>
      <c r="F724" s="55" t="n">
        <v>82493.7</v>
      </c>
      <c r="G724" s="54" t="s">
        <v>131</v>
      </c>
      <c r="H724" s="56" t="n">
        <f aca="false">VLOOKUP(E724,Treatment_Table!$B$5:$E$11,4,FALSE())</f>
        <v>0</v>
      </c>
      <c r="I724" s="57" t="n">
        <f aca="false">F724*H724</f>
        <v>0</v>
      </c>
      <c r="J724" s="57" t="n">
        <f aca="false">IF(D724="Income",F724,-F724)</f>
        <v>-82493.7</v>
      </c>
    </row>
    <row r="725" customFormat="false" ht="15" hidden="false" customHeight="false" outlineLevel="0" collapsed="false">
      <c r="A725" s="54" t="s">
        <v>937</v>
      </c>
      <c r="B725" s="54" t="s">
        <v>223</v>
      </c>
      <c r="C725" s="54" t="s">
        <v>130</v>
      </c>
      <c r="D725" s="54" t="s">
        <v>188</v>
      </c>
      <c r="E725" s="54" t="s">
        <v>121</v>
      </c>
      <c r="F725" s="55" t="n">
        <v>48776.26</v>
      </c>
      <c r="G725" s="54" t="s">
        <v>130</v>
      </c>
      <c r="H725" s="56" t="n">
        <f aca="false">VLOOKUP(E725,Treatment_Table!$B$5:$E$11,4,FALSE())</f>
        <v>0</v>
      </c>
      <c r="I725" s="57" t="n">
        <f aca="false">F725*H725</f>
        <v>0</v>
      </c>
      <c r="J725" s="57" t="n">
        <f aca="false">IF(D725="Income",F725,-F725)</f>
        <v>-48776.26</v>
      </c>
    </row>
    <row r="726" customFormat="false" ht="15" hidden="false" customHeight="false" outlineLevel="0" collapsed="false">
      <c r="A726" s="54" t="s">
        <v>938</v>
      </c>
      <c r="B726" s="54" t="s">
        <v>230</v>
      </c>
      <c r="C726" s="54" t="s">
        <v>131</v>
      </c>
      <c r="D726" s="54" t="s">
        <v>188</v>
      </c>
      <c r="E726" s="54" t="s">
        <v>121</v>
      </c>
      <c r="F726" s="55" t="n">
        <v>68278.09</v>
      </c>
      <c r="G726" s="54" t="s">
        <v>131</v>
      </c>
      <c r="H726" s="56" t="n">
        <f aca="false">VLOOKUP(E726,Treatment_Table!$B$5:$E$11,4,FALSE())</f>
        <v>0</v>
      </c>
      <c r="I726" s="57" t="n">
        <f aca="false">F726*H726</f>
        <v>0</v>
      </c>
      <c r="J726" s="57" t="n">
        <f aca="false">IF(D726="Income",F726,-F726)</f>
        <v>-68278.09</v>
      </c>
    </row>
    <row r="727" customFormat="false" ht="15" hidden="false" customHeight="false" outlineLevel="0" collapsed="false">
      <c r="A727" s="54" t="s">
        <v>939</v>
      </c>
      <c r="B727" s="54" t="s">
        <v>243</v>
      </c>
      <c r="C727" s="54" t="s">
        <v>123</v>
      </c>
      <c r="D727" s="54" t="s">
        <v>188</v>
      </c>
      <c r="E727" s="54" t="s">
        <v>121</v>
      </c>
      <c r="F727" s="55" t="n">
        <v>64936.3</v>
      </c>
      <c r="G727" s="54" t="s">
        <v>123</v>
      </c>
      <c r="H727" s="56" t="n">
        <f aca="false">VLOOKUP(E727,Treatment_Table!$B$5:$E$11,4,FALSE())</f>
        <v>0</v>
      </c>
      <c r="I727" s="57" t="n">
        <f aca="false">F727*H727</f>
        <v>0</v>
      </c>
      <c r="J727" s="57" t="n">
        <f aca="false">IF(D727="Income",F727,-F727)</f>
        <v>-64936.3</v>
      </c>
    </row>
    <row r="728" customFormat="false" ht="15" hidden="false" customHeight="false" outlineLevel="0" collapsed="false">
      <c r="A728" s="54" t="s">
        <v>940</v>
      </c>
      <c r="B728" s="54" t="s">
        <v>223</v>
      </c>
      <c r="C728" s="54" t="s">
        <v>124</v>
      </c>
      <c r="D728" s="54" t="s">
        <v>188</v>
      </c>
      <c r="E728" s="54" t="s">
        <v>121</v>
      </c>
      <c r="F728" s="55" t="n">
        <v>55835.08</v>
      </c>
      <c r="G728" s="54" t="s">
        <v>124</v>
      </c>
      <c r="H728" s="56" t="n">
        <f aca="false">VLOOKUP(E728,Treatment_Table!$B$5:$E$11,4,FALSE())</f>
        <v>0</v>
      </c>
      <c r="I728" s="57" t="n">
        <f aca="false">F728*H728</f>
        <v>0</v>
      </c>
      <c r="J728" s="57" t="n">
        <f aca="false">IF(D728="Income",F728,-F728)</f>
        <v>-55835.08</v>
      </c>
    </row>
    <row r="729" customFormat="false" ht="15" hidden="false" customHeight="false" outlineLevel="0" collapsed="false">
      <c r="A729" s="54" t="s">
        <v>941</v>
      </c>
      <c r="B729" s="54" t="s">
        <v>218</v>
      </c>
      <c r="C729" s="54" t="s">
        <v>129</v>
      </c>
      <c r="D729" s="54" t="s">
        <v>188</v>
      </c>
      <c r="E729" s="54" t="s">
        <v>121</v>
      </c>
      <c r="F729" s="55" t="n">
        <v>28906.28</v>
      </c>
      <c r="G729" s="54" t="s">
        <v>129</v>
      </c>
      <c r="H729" s="56" t="n">
        <f aca="false">VLOOKUP(E729,Treatment_Table!$B$5:$E$11,4,FALSE())</f>
        <v>0</v>
      </c>
      <c r="I729" s="57" t="n">
        <f aca="false">F729*H729</f>
        <v>0</v>
      </c>
      <c r="J729" s="57" t="n">
        <f aca="false">IF(D729="Income",F729,-F729)</f>
        <v>-28906.28</v>
      </c>
    </row>
    <row r="730" customFormat="false" ht="15" hidden="false" customHeight="false" outlineLevel="0" collapsed="false">
      <c r="A730" s="54" t="s">
        <v>942</v>
      </c>
      <c r="B730" s="54" t="s">
        <v>228</v>
      </c>
      <c r="C730" s="54" t="s">
        <v>131</v>
      </c>
      <c r="D730" s="54" t="s">
        <v>188</v>
      </c>
      <c r="E730" s="54" t="s">
        <v>121</v>
      </c>
      <c r="F730" s="55" t="n">
        <v>67501.38</v>
      </c>
      <c r="G730" s="54" t="s">
        <v>131</v>
      </c>
      <c r="H730" s="56" t="n">
        <f aca="false">VLOOKUP(E730,Treatment_Table!$B$5:$E$11,4,FALSE())</f>
        <v>0</v>
      </c>
      <c r="I730" s="57" t="n">
        <f aca="false">F730*H730</f>
        <v>0</v>
      </c>
      <c r="J730" s="57" t="n">
        <f aca="false">IF(D730="Income",F730,-F730)</f>
        <v>-67501.38</v>
      </c>
    </row>
    <row r="731" customFormat="false" ht="15" hidden="false" customHeight="false" outlineLevel="0" collapsed="false">
      <c r="A731" s="54" t="s">
        <v>943</v>
      </c>
      <c r="B731" s="54" t="s">
        <v>247</v>
      </c>
      <c r="C731" s="54" t="s">
        <v>123</v>
      </c>
      <c r="D731" s="54" t="s">
        <v>188</v>
      </c>
      <c r="E731" s="54" t="s">
        <v>121</v>
      </c>
      <c r="F731" s="55" t="n">
        <v>82075.9</v>
      </c>
      <c r="G731" s="54" t="s">
        <v>123</v>
      </c>
      <c r="H731" s="56" t="n">
        <f aca="false">VLOOKUP(E731,Treatment_Table!$B$5:$E$11,4,FALSE())</f>
        <v>0</v>
      </c>
      <c r="I731" s="57" t="n">
        <f aca="false">F731*H731</f>
        <v>0</v>
      </c>
      <c r="J731" s="57" t="n">
        <f aca="false">IF(D731="Income",F731,-F731)</f>
        <v>-82075.9</v>
      </c>
    </row>
    <row r="732" customFormat="false" ht="15" hidden="false" customHeight="false" outlineLevel="0" collapsed="false">
      <c r="A732" s="54" t="s">
        <v>944</v>
      </c>
      <c r="B732" s="54" t="s">
        <v>218</v>
      </c>
      <c r="C732" s="54" t="s">
        <v>122</v>
      </c>
      <c r="D732" s="54" t="s">
        <v>188</v>
      </c>
      <c r="E732" s="54" t="s">
        <v>121</v>
      </c>
      <c r="F732" s="55" t="n">
        <v>1079.75</v>
      </c>
      <c r="G732" s="54" t="s">
        <v>122</v>
      </c>
      <c r="H732" s="56" t="n">
        <f aca="false">VLOOKUP(E732,Treatment_Table!$B$5:$E$11,4,FALSE())</f>
        <v>0</v>
      </c>
      <c r="I732" s="57" t="n">
        <f aca="false">F732*H732</f>
        <v>0</v>
      </c>
      <c r="J732" s="57" t="n">
        <f aca="false">IF(D732="Income",F732,-F732)</f>
        <v>-1079.75</v>
      </c>
    </row>
    <row r="733" customFormat="false" ht="15" hidden="false" customHeight="false" outlineLevel="0" collapsed="false">
      <c r="A733" s="54" t="s">
        <v>945</v>
      </c>
      <c r="B733" s="54" t="s">
        <v>216</v>
      </c>
      <c r="C733" s="54" t="s">
        <v>131</v>
      </c>
      <c r="D733" s="54" t="s">
        <v>188</v>
      </c>
      <c r="E733" s="54" t="s">
        <v>121</v>
      </c>
      <c r="F733" s="55" t="n">
        <v>92085.53</v>
      </c>
      <c r="G733" s="54" t="s">
        <v>131</v>
      </c>
      <c r="H733" s="56" t="n">
        <f aca="false">VLOOKUP(E733,Treatment_Table!$B$5:$E$11,4,FALSE())</f>
        <v>0</v>
      </c>
      <c r="I733" s="57" t="n">
        <f aca="false">F733*H733</f>
        <v>0</v>
      </c>
      <c r="J733" s="57" t="n">
        <f aca="false">IF(D733="Income",F733,-F733)</f>
        <v>-92085.53</v>
      </c>
    </row>
    <row r="734" customFormat="false" ht="15" hidden="false" customHeight="false" outlineLevel="0" collapsed="false">
      <c r="A734" s="54" t="s">
        <v>946</v>
      </c>
      <c r="B734" s="54" t="s">
        <v>218</v>
      </c>
      <c r="C734" s="54" t="s">
        <v>130</v>
      </c>
      <c r="D734" s="54" t="s">
        <v>188</v>
      </c>
      <c r="E734" s="54" t="s">
        <v>121</v>
      </c>
      <c r="F734" s="55" t="n">
        <v>57221.99</v>
      </c>
      <c r="G734" s="54" t="s">
        <v>130</v>
      </c>
      <c r="H734" s="56" t="n">
        <f aca="false">VLOOKUP(E734,Treatment_Table!$B$5:$E$11,4,FALSE())</f>
        <v>0</v>
      </c>
      <c r="I734" s="57" t="n">
        <f aca="false">F734*H734</f>
        <v>0</v>
      </c>
      <c r="J734" s="57" t="n">
        <f aca="false">IF(D734="Income",F734,-F734)</f>
        <v>-57221.99</v>
      </c>
    </row>
    <row r="735" customFormat="false" ht="15" hidden="false" customHeight="false" outlineLevel="0" collapsed="false">
      <c r="A735" s="54" t="s">
        <v>947</v>
      </c>
      <c r="B735" s="54" t="s">
        <v>228</v>
      </c>
      <c r="C735" s="54" t="s">
        <v>126</v>
      </c>
      <c r="D735" s="54" t="s">
        <v>188</v>
      </c>
      <c r="E735" s="54" t="s">
        <v>121</v>
      </c>
      <c r="F735" s="55" t="n">
        <v>38171.89</v>
      </c>
      <c r="G735" s="54" t="s">
        <v>126</v>
      </c>
      <c r="H735" s="56" t="n">
        <f aca="false">VLOOKUP(E735,Treatment_Table!$B$5:$E$11,4,FALSE())</f>
        <v>0</v>
      </c>
      <c r="I735" s="57" t="n">
        <f aca="false">F735*H735</f>
        <v>0</v>
      </c>
      <c r="J735" s="57" t="n">
        <f aca="false">IF(D735="Income",F735,-F735)</f>
        <v>-38171.89</v>
      </c>
    </row>
    <row r="736" customFormat="false" ht="15" hidden="false" customHeight="false" outlineLevel="0" collapsed="false">
      <c r="A736" s="54" t="s">
        <v>948</v>
      </c>
      <c r="B736" s="54" t="s">
        <v>228</v>
      </c>
      <c r="C736" s="54" t="s">
        <v>131</v>
      </c>
      <c r="D736" s="54" t="s">
        <v>188</v>
      </c>
      <c r="E736" s="54" t="s">
        <v>121</v>
      </c>
      <c r="F736" s="55" t="n">
        <v>58685.14</v>
      </c>
      <c r="G736" s="54" t="s">
        <v>131</v>
      </c>
      <c r="H736" s="56" t="n">
        <f aca="false">VLOOKUP(E736,Treatment_Table!$B$5:$E$11,4,FALSE())</f>
        <v>0</v>
      </c>
      <c r="I736" s="57" t="n">
        <f aca="false">F736*H736</f>
        <v>0</v>
      </c>
      <c r="J736" s="57" t="n">
        <f aca="false">IF(D736="Income",F736,-F736)</f>
        <v>-58685.14</v>
      </c>
    </row>
    <row r="737" customFormat="false" ht="15" hidden="false" customHeight="false" outlineLevel="0" collapsed="false">
      <c r="A737" s="54" t="s">
        <v>949</v>
      </c>
      <c r="B737" s="54" t="s">
        <v>214</v>
      </c>
      <c r="C737" s="54" t="s">
        <v>131</v>
      </c>
      <c r="D737" s="54" t="s">
        <v>188</v>
      </c>
      <c r="E737" s="54" t="s">
        <v>121</v>
      </c>
      <c r="F737" s="55" t="n">
        <v>190099.22</v>
      </c>
      <c r="G737" s="54" t="s">
        <v>131</v>
      </c>
      <c r="H737" s="56" t="n">
        <f aca="false">VLOOKUP(E737,Treatment_Table!$B$5:$E$11,4,FALSE())</f>
        <v>0</v>
      </c>
      <c r="I737" s="57" t="n">
        <f aca="false">F737*H737</f>
        <v>0</v>
      </c>
      <c r="J737" s="57" t="n">
        <f aca="false">IF(D737="Income",F737,-F737)</f>
        <v>-190099.22</v>
      </c>
    </row>
    <row r="738" customFormat="false" ht="15" hidden="false" customHeight="false" outlineLevel="0" collapsed="false">
      <c r="A738" s="54" t="s">
        <v>950</v>
      </c>
      <c r="B738" s="54" t="s">
        <v>243</v>
      </c>
      <c r="C738" s="54" t="s">
        <v>131</v>
      </c>
      <c r="D738" s="54" t="s">
        <v>188</v>
      </c>
      <c r="E738" s="54" t="s">
        <v>121</v>
      </c>
      <c r="F738" s="55" t="n">
        <v>47734.28</v>
      </c>
      <c r="G738" s="54" t="s">
        <v>131</v>
      </c>
      <c r="H738" s="56" t="n">
        <f aca="false">VLOOKUP(E738,Treatment_Table!$B$5:$E$11,4,FALSE())</f>
        <v>0</v>
      </c>
      <c r="I738" s="57" t="n">
        <f aca="false">F738*H738</f>
        <v>0</v>
      </c>
      <c r="J738" s="57" t="n">
        <f aca="false">IF(D738="Income",F738,-F738)</f>
        <v>-47734.28</v>
      </c>
    </row>
    <row r="739" customFormat="false" ht="15" hidden="false" customHeight="false" outlineLevel="0" collapsed="false">
      <c r="A739" s="54" t="s">
        <v>951</v>
      </c>
      <c r="B739" s="54" t="s">
        <v>205</v>
      </c>
      <c r="C739" s="54" t="s">
        <v>131</v>
      </c>
      <c r="D739" s="54" t="s">
        <v>188</v>
      </c>
      <c r="E739" s="54" t="s">
        <v>121</v>
      </c>
      <c r="F739" s="55" t="n">
        <v>81699.05</v>
      </c>
      <c r="G739" s="54" t="s">
        <v>131</v>
      </c>
      <c r="H739" s="56" t="n">
        <f aca="false">VLOOKUP(E739,Treatment_Table!$B$5:$E$11,4,FALSE())</f>
        <v>0</v>
      </c>
      <c r="I739" s="57" t="n">
        <f aca="false">F739*H739</f>
        <v>0</v>
      </c>
      <c r="J739" s="57" t="n">
        <f aca="false">IF(D739="Income",F739,-F739)</f>
        <v>-81699.05</v>
      </c>
    </row>
    <row r="740" customFormat="false" ht="15" hidden="false" customHeight="false" outlineLevel="0" collapsed="false">
      <c r="A740" s="54" t="s">
        <v>952</v>
      </c>
      <c r="B740" s="54" t="s">
        <v>235</v>
      </c>
      <c r="C740" s="54" t="s">
        <v>131</v>
      </c>
      <c r="D740" s="54" t="s">
        <v>188</v>
      </c>
      <c r="E740" s="54" t="s">
        <v>121</v>
      </c>
      <c r="F740" s="55" t="n">
        <v>82884.84</v>
      </c>
      <c r="G740" s="54" t="s">
        <v>131</v>
      </c>
      <c r="H740" s="56" t="n">
        <f aca="false">VLOOKUP(E740,Treatment_Table!$B$5:$E$11,4,FALSE())</f>
        <v>0</v>
      </c>
      <c r="I740" s="57" t="n">
        <f aca="false">F740*H740</f>
        <v>0</v>
      </c>
      <c r="J740" s="57" t="n">
        <f aca="false">IF(D740="Income",F740,-F740)</f>
        <v>-82884.84</v>
      </c>
    </row>
    <row r="741" customFormat="false" ht="15" hidden="false" customHeight="false" outlineLevel="0" collapsed="false">
      <c r="A741" s="54" t="s">
        <v>953</v>
      </c>
      <c r="B741" s="54" t="s">
        <v>210</v>
      </c>
      <c r="C741" s="54" t="s">
        <v>123</v>
      </c>
      <c r="D741" s="54" t="s">
        <v>188</v>
      </c>
      <c r="E741" s="54" t="s">
        <v>121</v>
      </c>
      <c r="F741" s="55" t="n">
        <v>119200.17</v>
      </c>
      <c r="G741" s="54" t="s">
        <v>123</v>
      </c>
      <c r="H741" s="56" t="n">
        <f aca="false">VLOOKUP(E741,Treatment_Table!$B$5:$E$11,4,FALSE())</f>
        <v>0</v>
      </c>
      <c r="I741" s="57" t="n">
        <f aca="false">F741*H741</f>
        <v>0</v>
      </c>
      <c r="J741" s="57" t="n">
        <f aca="false">IF(D741="Income",F741,-F741)</f>
        <v>-119200.17</v>
      </c>
    </row>
    <row r="742" customFormat="false" ht="15" hidden="false" customHeight="false" outlineLevel="0" collapsed="false">
      <c r="A742" s="54" t="s">
        <v>954</v>
      </c>
      <c r="B742" s="54" t="s">
        <v>243</v>
      </c>
      <c r="C742" s="54" t="s">
        <v>122</v>
      </c>
      <c r="D742" s="54" t="s">
        <v>188</v>
      </c>
      <c r="E742" s="54" t="s">
        <v>121</v>
      </c>
      <c r="F742" s="55" t="n">
        <v>2622.69</v>
      </c>
      <c r="G742" s="54" t="s">
        <v>122</v>
      </c>
      <c r="H742" s="56" t="n">
        <f aca="false">VLOOKUP(E742,Treatment_Table!$B$5:$E$11,4,FALSE())</f>
        <v>0</v>
      </c>
      <c r="I742" s="57" t="n">
        <f aca="false">F742*H742</f>
        <v>0</v>
      </c>
      <c r="J742" s="57" t="n">
        <f aca="false">IF(D742="Income",F742,-F742)</f>
        <v>-2622.69</v>
      </c>
    </row>
    <row r="743" customFormat="false" ht="15" hidden="false" customHeight="false" outlineLevel="0" collapsed="false">
      <c r="A743" s="54" t="s">
        <v>955</v>
      </c>
      <c r="B743" s="54" t="s">
        <v>235</v>
      </c>
      <c r="C743" s="54" t="s">
        <v>123</v>
      </c>
      <c r="D743" s="54" t="s">
        <v>188</v>
      </c>
      <c r="E743" s="54" t="s">
        <v>121</v>
      </c>
      <c r="F743" s="55" t="n">
        <v>76611.49</v>
      </c>
      <c r="G743" s="54" t="s">
        <v>123</v>
      </c>
      <c r="H743" s="56" t="n">
        <f aca="false">VLOOKUP(E743,Treatment_Table!$B$5:$E$11,4,FALSE())</f>
        <v>0</v>
      </c>
      <c r="I743" s="57" t="n">
        <f aca="false">F743*H743</f>
        <v>0</v>
      </c>
      <c r="J743" s="57" t="n">
        <f aca="false">IF(D743="Income",F743,-F743)</f>
        <v>-76611.49</v>
      </c>
    </row>
    <row r="744" customFormat="false" ht="15" hidden="false" customHeight="false" outlineLevel="0" collapsed="false">
      <c r="A744" s="54" t="s">
        <v>956</v>
      </c>
      <c r="B744" s="54" t="s">
        <v>210</v>
      </c>
      <c r="C744" s="54" t="s">
        <v>131</v>
      </c>
      <c r="D744" s="54" t="s">
        <v>188</v>
      </c>
      <c r="E744" s="54" t="s">
        <v>121</v>
      </c>
      <c r="F744" s="55" t="n">
        <v>98549.33</v>
      </c>
      <c r="G744" s="54" t="s">
        <v>131</v>
      </c>
      <c r="H744" s="56" t="n">
        <f aca="false">VLOOKUP(E744,Treatment_Table!$B$5:$E$11,4,FALSE())</f>
        <v>0</v>
      </c>
      <c r="I744" s="57" t="n">
        <f aca="false">F744*H744</f>
        <v>0</v>
      </c>
      <c r="J744" s="57" t="n">
        <f aca="false">IF(D744="Income",F744,-F744)</f>
        <v>-98549.33</v>
      </c>
    </row>
    <row r="745" customFormat="false" ht="15" hidden="false" customHeight="false" outlineLevel="0" collapsed="false">
      <c r="A745" s="54" t="s">
        <v>957</v>
      </c>
      <c r="B745" s="54" t="s">
        <v>218</v>
      </c>
      <c r="C745" s="54" t="s">
        <v>128</v>
      </c>
      <c r="D745" s="54" t="s">
        <v>188</v>
      </c>
      <c r="E745" s="54" t="s">
        <v>121</v>
      </c>
      <c r="F745" s="55" t="n">
        <v>21941.39</v>
      </c>
      <c r="G745" s="54" t="s">
        <v>128</v>
      </c>
      <c r="H745" s="56" t="n">
        <f aca="false">VLOOKUP(E745,Treatment_Table!$B$5:$E$11,4,FALSE())</f>
        <v>0</v>
      </c>
      <c r="I745" s="57" t="n">
        <f aca="false">F745*H745</f>
        <v>0</v>
      </c>
      <c r="J745" s="57" t="n">
        <f aca="false">IF(D745="Income",F745,-F745)</f>
        <v>-21941.39</v>
      </c>
    </row>
    <row r="746" customFormat="false" ht="15" hidden="false" customHeight="false" outlineLevel="0" collapsed="false">
      <c r="A746" s="54" t="s">
        <v>958</v>
      </c>
      <c r="B746" s="54" t="s">
        <v>205</v>
      </c>
      <c r="C746" s="54" t="s">
        <v>131</v>
      </c>
      <c r="D746" s="54" t="s">
        <v>188</v>
      </c>
      <c r="E746" s="54" t="s">
        <v>121</v>
      </c>
      <c r="F746" s="55" t="n">
        <v>35532.51</v>
      </c>
      <c r="G746" s="54" t="s">
        <v>131</v>
      </c>
      <c r="H746" s="56" t="n">
        <f aca="false">VLOOKUP(E746,Treatment_Table!$B$5:$E$11,4,FALSE())</f>
        <v>0</v>
      </c>
      <c r="I746" s="57" t="n">
        <f aca="false">F746*H746</f>
        <v>0</v>
      </c>
      <c r="J746" s="57" t="n">
        <f aca="false">IF(D746="Income",F746,-F746)</f>
        <v>-35532.51</v>
      </c>
    </row>
    <row r="747" customFormat="false" ht="15" hidden="false" customHeight="false" outlineLevel="0" collapsed="false">
      <c r="A747" s="54" t="s">
        <v>959</v>
      </c>
      <c r="B747" s="54" t="s">
        <v>214</v>
      </c>
      <c r="C747" s="54" t="s">
        <v>131</v>
      </c>
      <c r="D747" s="54" t="s">
        <v>188</v>
      </c>
      <c r="E747" s="54" t="s">
        <v>121</v>
      </c>
      <c r="F747" s="55" t="n">
        <v>141377.31</v>
      </c>
      <c r="G747" s="54" t="s">
        <v>131</v>
      </c>
      <c r="H747" s="56" t="n">
        <f aca="false">VLOOKUP(E747,Treatment_Table!$B$5:$E$11,4,FALSE())</f>
        <v>0</v>
      </c>
      <c r="I747" s="57" t="n">
        <f aca="false">F747*H747</f>
        <v>0</v>
      </c>
      <c r="J747" s="57" t="n">
        <f aca="false">IF(D747="Income",F747,-F747)</f>
        <v>-141377.31</v>
      </c>
    </row>
    <row r="748" customFormat="false" ht="15" hidden="false" customHeight="false" outlineLevel="0" collapsed="false">
      <c r="A748" s="54" t="s">
        <v>960</v>
      </c>
      <c r="B748" s="54" t="s">
        <v>208</v>
      </c>
      <c r="C748" s="54" t="s">
        <v>132</v>
      </c>
      <c r="D748" s="54" t="s">
        <v>188</v>
      </c>
      <c r="E748" s="54" t="s">
        <v>121</v>
      </c>
      <c r="F748" s="55" t="n">
        <v>12836.87</v>
      </c>
      <c r="G748" s="54" t="s">
        <v>132</v>
      </c>
      <c r="H748" s="56" t="n">
        <f aca="false">VLOOKUP(E748,Treatment_Table!$B$5:$E$11,4,FALSE())</f>
        <v>0</v>
      </c>
      <c r="I748" s="57" t="n">
        <f aca="false">F748*H748</f>
        <v>0</v>
      </c>
      <c r="J748" s="57" t="n">
        <f aca="false">IF(D748="Income",F748,-F748)</f>
        <v>-12836.87</v>
      </c>
    </row>
    <row r="749" customFormat="false" ht="15" hidden="false" customHeight="false" outlineLevel="0" collapsed="false">
      <c r="A749" s="54" t="s">
        <v>961</v>
      </c>
      <c r="B749" s="54" t="s">
        <v>243</v>
      </c>
      <c r="C749" s="54" t="s">
        <v>130</v>
      </c>
      <c r="D749" s="54" t="s">
        <v>188</v>
      </c>
      <c r="E749" s="54" t="s">
        <v>121</v>
      </c>
      <c r="F749" s="55" t="n">
        <v>18200.89</v>
      </c>
      <c r="G749" s="54" t="s">
        <v>130</v>
      </c>
      <c r="H749" s="56" t="n">
        <f aca="false">VLOOKUP(E749,Treatment_Table!$B$5:$E$11,4,FALSE())</f>
        <v>0</v>
      </c>
      <c r="I749" s="57" t="n">
        <f aca="false">F749*H749</f>
        <v>0</v>
      </c>
      <c r="J749" s="57" t="n">
        <f aca="false">IF(D749="Income",F749,-F749)</f>
        <v>-18200.89</v>
      </c>
    </row>
    <row r="750" customFormat="false" ht="15" hidden="false" customHeight="false" outlineLevel="0" collapsed="false">
      <c r="A750" s="54" t="s">
        <v>962</v>
      </c>
      <c r="B750" s="54" t="s">
        <v>223</v>
      </c>
      <c r="C750" s="54" t="s">
        <v>129</v>
      </c>
      <c r="D750" s="54" t="s">
        <v>188</v>
      </c>
      <c r="E750" s="54" t="s">
        <v>121</v>
      </c>
      <c r="F750" s="55" t="n">
        <v>11348.28</v>
      </c>
      <c r="G750" s="54" t="s">
        <v>129</v>
      </c>
      <c r="H750" s="56" t="n">
        <f aca="false">VLOOKUP(E750,Treatment_Table!$B$5:$E$11,4,FALSE())</f>
        <v>0</v>
      </c>
      <c r="I750" s="57" t="n">
        <f aca="false">F750*H750</f>
        <v>0</v>
      </c>
      <c r="J750" s="57" t="n">
        <f aca="false">IF(D750="Income",F750,-F750)</f>
        <v>-11348.28</v>
      </c>
    </row>
    <row r="751" customFormat="false" ht="15" hidden="false" customHeight="false" outlineLevel="0" collapsed="false">
      <c r="A751" s="54" t="s">
        <v>963</v>
      </c>
      <c r="B751" s="54" t="s">
        <v>235</v>
      </c>
      <c r="C751" s="54" t="s">
        <v>123</v>
      </c>
      <c r="D751" s="54" t="s">
        <v>188</v>
      </c>
      <c r="E751" s="54" t="s">
        <v>121</v>
      </c>
      <c r="F751" s="55" t="n">
        <v>70815.41</v>
      </c>
      <c r="G751" s="54" t="s">
        <v>123</v>
      </c>
      <c r="H751" s="56" t="n">
        <f aca="false">VLOOKUP(E751,Treatment_Table!$B$5:$E$11,4,FALSE())</f>
        <v>0</v>
      </c>
      <c r="I751" s="57" t="n">
        <f aca="false">F751*H751</f>
        <v>0</v>
      </c>
      <c r="J751" s="57" t="n">
        <f aca="false">IF(D751="Income",F751,-F751)</f>
        <v>-70815.41</v>
      </c>
    </row>
    <row r="752" customFormat="false" ht="15" hidden="false" customHeight="false" outlineLevel="0" collapsed="false">
      <c r="A752" s="54" t="s">
        <v>964</v>
      </c>
      <c r="B752" s="54" t="s">
        <v>208</v>
      </c>
      <c r="C752" s="54" t="s">
        <v>126</v>
      </c>
      <c r="D752" s="54" t="s">
        <v>188</v>
      </c>
      <c r="E752" s="54" t="s">
        <v>121</v>
      </c>
      <c r="F752" s="55" t="n">
        <v>71449.63</v>
      </c>
      <c r="G752" s="54" t="s">
        <v>126</v>
      </c>
      <c r="H752" s="56" t="n">
        <f aca="false">VLOOKUP(E752,Treatment_Table!$B$5:$E$11,4,FALSE())</f>
        <v>0</v>
      </c>
      <c r="I752" s="57" t="n">
        <f aca="false">F752*H752</f>
        <v>0</v>
      </c>
      <c r="J752" s="57" t="n">
        <f aca="false">IF(D752="Income",F752,-F752)</f>
        <v>-71449.63</v>
      </c>
    </row>
    <row r="753" customFormat="false" ht="15" hidden="false" customHeight="false" outlineLevel="0" collapsed="false">
      <c r="A753" s="54" t="s">
        <v>965</v>
      </c>
      <c r="B753" s="54" t="s">
        <v>214</v>
      </c>
      <c r="C753" s="54" t="s">
        <v>125</v>
      </c>
      <c r="D753" s="54" t="s">
        <v>188</v>
      </c>
      <c r="E753" s="54" t="s">
        <v>121</v>
      </c>
      <c r="F753" s="55" t="n">
        <v>4182.69</v>
      </c>
      <c r="G753" s="54" t="s">
        <v>125</v>
      </c>
      <c r="H753" s="56" t="n">
        <f aca="false">VLOOKUP(E753,Treatment_Table!$B$5:$E$11,4,FALSE())</f>
        <v>0</v>
      </c>
      <c r="I753" s="57" t="n">
        <f aca="false">F753*H753</f>
        <v>0</v>
      </c>
      <c r="J753" s="57" t="n">
        <f aca="false">IF(D753="Income",F753,-F753)</f>
        <v>-4182.69</v>
      </c>
    </row>
    <row r="754" customFormat="false" ht="15" hidden="false" customHeight="false" outlineLevel="0" collapsed="false">
      <c r="A754" s="54" t="s">
        <v>966</v>
      </c>
      <c r="B754" s="54" t="s">
        <v>235</v>
      </c>
      <c r="C754" s="54" t="s">
        <v>138</v>
      </c>
      <c r="D754" s="54" t="s">
        <v>188</v>
      </c>
      <c r="E754" s="54" t="s">
        <v>139</v>
      </c>
      <c r="F754" s="55" t="n">
        <v>6021.56</v>
      </c>
      <c r="G754" s="54" t="s">
        <v>138</v>
      </c>
      <c r="H754" s="56" t="n">
        <f aca="false">VLOOKUP(E754,Treatment_Table!$B$5:$E$11,4,FALSE())</f>
        <v>0.5</v>
      </c>
      <c r="I754" s="57" t="n">
        <f aca="false">F754*H754</f>
        <v>3010.78</v>
      </c>
      <c r="J754" s="57" t="n">
        <f aca="false">IF(D754="Income",F754,-F754)</f>
        <v>-6021.56</v>
      </c>
    </row>
    <row r="755" customFormat="false" ht="15" hidden="false" customHeight="false" outlineLevel="0" collapsed="false">
      <c r="A755" s="54" t="s">
        <v>967</v>
      </c>
      <c r="B755" s="54" t="s">
        <v>218</v>
      </c>
      <c r="C755" s="54" t="s">
        <v>129</v>
      </c>
      <c r="D755" s="54" t="s">
        <v>188</v>
      </c>
      <c r="E755" s="54" t="s">
        <v>121</v>
      </c>
      <c r="F755" s="55" t="n">
        <v>44826.98</v>
      </c>
      <c r="G755" s="54" t="s">
        <v>129</v>
      </c>
      <c r="H755" s="56" t="n">
        <f aca="false">VLOOKUP(E755,Treatment_Table!$B$5:$E$11,4,FALSE())</f>
        <v>0</v>
      </c>
      <c r="I755" s="57" t="n">
        <f aca="false">F755*H755</f>
        <v>0</v>
      </c>
      <c r="J755" s="57" t="n">
        <f aca="false">IF(D755="Income",F755,-F755)</f>
        <v>-44826.98</v>
      </c>
    </row>
    <row r="756" customFormat="false" ht="15" hidden="false" customHeight="false" outlineLevel="0" collapsed="false">
      <c r="A756" s="54" t="s">
        <v>968</v>
      </c>
      <c r="B756" s="54" t="s">
        <v>218</v>
      </c>
      <c r="C756" s="54" t="s">
        <v>130</v>
      </c>
      <c r="D756" s="54" t="s">
        <v>188</v>
      </c>
      <c r="E756" s="54" t="s">
        <v>121</v>
      </c>
      <c r="F756" s="55" t="n">
        <v>68050.57</v>
      </c>
      <c r="G756" s="54" t="s">
        <v>130</v>
      </c>
      <c r="H756" s="56" t="n">
        <f aca="false">VLOOKUP(E756,Treatment_Table!$B$5:$E$11,4,FALSE())</f>
        <v>0</v>
      </c>
      <c r="I756" s="57" t="n">
        <f aca="false">F756*H756</f>
        <v>0</v>
      </c>
      <c r="J756" s="57" t="n">
        <f aca="false">IF(D756="Income",F756,-F756)</f>
        <v>-68050.57</v>
      </c>
    </row>
    <row r="757" customFormat="false" ht="15" hidden="false" customHeight="false" outlineLevel="0" collapsed="false">
      <c r="A757" s="54" t="s">
        <v>969</v>
      </c>
      <c r="B757" s="54" t="s">
        <v>228</v>
      </c>
      <c r="C757" s="54" t="s">
        <v>124</v>
      </c>
      <c r="D757" s="54" t="s">
        <v>188</v>
      </c>
      <c r="E757" s="54" t="s">
        <v>121</v>
      </c>
      <c r="F757" s="55" t="n">
        <v>21868.73</v>
      </c>
      <c r="G757" s="54" t="s">
        <v>124</v>
      </c>
      <c r="H757" s="56" t="n">
        <f aca="false">VLOOKUP(E757,Treatment_Table!$B$5:$E$11,4,FALSE())</f>
        <v>0</v>
      </c>
      <c r="I757" s="57" t="n">
        <f aca="false">F757*H757</f>
        <v>0</v>
      </c>
      <c r="J757" s="57" t="n">
        <f aca="false">IF(D757="Income",F757,-F757)</f>
        <v>-21868.73</v>
      </c>
    </row>
    <row r="758" customFormat="false" ht="15" hidden="false" customHeight="false" outlineLevel="0" collapsed="false">
      <c r="A758" s="54" t="s">
        <v>970</v>
      </c>
      <c r="B758" s="54" t="s">
        <v>218</v>
      </c>
      <c r="C758" s="54" t="s">
        <v>131</v>
      </c>
      <c r="D758" s="54" t="s">
        <v>188</v>
      </c>
      <c r="E758" s="54" t="s">
        <v>121</v>
      </c>
      <c r="F758" s="55" t="n">
        <v>85206.33</v>
      </c>
      <c r="G758" s="54" t="s">
        <v>131</v>
      </c>
      <c r="H758" s="56" t="n">
        <f aca="false">VLOOKUP(E758,Treatment_Table!$B$5:$E$11,4,FALSE())</f>
        <v>0</v>
      </c>
      <c r="I758" s="57" t="n">
        <f aca="false">F758*H758</f>
        <v>0</v>
      </c>
      <c r="J758" s="57" t="n">
        <f aca="false">IF(D758="Income",F758,-F758)</f>
        <v>-85206.33</v>
      </c>
    </row>
    <row r="759" customFormat="false" ht="15" hidden="false" customHeight="false" outlineLevel="0" collapsed="false">
      <c r="A759" s="54" t="s">
        <v>971</v>
      </c>
      <c r="B759" s="54" t="s">
        <v>223</v>
      </c>
      <c r="C759" s="54" t="s">
        <v>123</v>
      </c>
      <c r="D759" s="54" t="s">
        <v>188</v>
      </c>
      <c r="E759" s="54" t="s">
        <v>121</v>
      </c>
      <c r="F759" s="55" t="n">
        <v>52760.16</v>
      </c>
      <c r="G759" s="54" t="s">
        <v>123</v>
      </c>
      <c r="H759" s="56" t="n">
        <f aca="false">VLOOKUP(E759,Treatment_Table!$B$5:$E$11,4,FALSE())</f>
        <v>0</v>
      </c>
      <c r="I759" s="57" t="n">
        <f aca="false">F759*H759</f>
        <v>0</v>
      </c>
      <c r="J759" s="57" t="n">
        <f aca="false">IF(D759="Income",F759,-F759)</f>
        <v>-52760.16</v>
      </c>
    </row>
    <row r="760" customFormat="false" ht="15" hidden="false" customHeight="false" outlineLevel="0" collapsed="false">
      <c r="A760" s="54" t="s">
        <v>972</v>
      </c>
      <c r="B760" s="54" t="s">
        <v>210</v>
      </c>
      <c r="C760" s="54" t="s">
        <v>135</v>
      </c>
      <c r="D760" s="54" t="s">
        <v>188</v>
      </c>
      <c r="E760" s="54" t="s">
        <v>134</v>
      </c>
      <c r="F760" s="55" t="n">
        <v>1100.44</v>
      </c>
      <c r="G760" s="54" t="s">
        <v>135</v>
      </c>
      <c r="H760" s="56" t="n">
        <f aca="false">VLOOKUP(E760,Treatment_Table!$B$5:$E$11,4,FALSE())</f>
        <v>1</v>
      </c>
      <c r="I760" s="57" t="n">
        <f aca="false">F760*H760</f>
        <v>1100.44</v>
      </c>
      <c r="J760" s="57" t="n">
        <f aca="false">IF(D760="Income",F760,-F760)</f>
        <v>-1100.44</v>
      </c>
    </row>
    <row r="761" customFormat="false" ht="15" hidden="false" customHeight="false" outlineLevel="0" collapsed="false">
      <c r="A761" s="54" t="s">
        <v>973</v>
      </c>
      <c r="B761" s="54" t="s">
        <v>205</v>
      </c>
      <c r="C761" s="54" t="s">
        <v>129</v>
      </c>
      <c r="D761" s="54" t="s">
        <v>188</v>
      </c>
      <c r="E761" s="54" t="s">
        <v>121</v>
      </c>
      <c r="F761" s="55" t="n">
        <v>38395.63</v>
      </c>
      <c r="G761" s="54" t="s">
        <v>129</v>
      </c>
      <c r="H761" s="56" t="n">
        <f aca="false">VLOOKUP(E761,Treatment_Table!$B$5:$E$11,4,FALSE())</f>
        <v>0</v>
      </c>
      <c r="I761" s="57" t="n">
        <f aca="false">F761*H761</f>
        <v>0</v>
      </c>
      <c r="J761" s="57" t="n">
        <f aca="false">IF(D761="Income",F761,-F761)</f>
        <v>-38395.63</v>
      </c>
    </row>
    <row r="762" customFormat="false" ht="15" hidden="false" customHeight="false" outlineLevel="0" collapsed="false">
      <c r="A762" s="54" t="s">
        <v>974</v>
      </c>
      <c r="B762" s="54" t="s">
        <v>218</v>
      </c>
      <c r="C762" s="54" t="s">
        <v>131</v>
      </c>
      <c r="D762" s="54" t="s">
        <v>188</v>
      </c>
      <c r="E762" s="54" t="s">
        <v>121</v>
      </c>
      <c r="F762" s="55" t="n">
        <v>62805.94</v>
      </c>
      <c r="G762" s="54" t="s">
        <v>131</v>
      </c>
      <c r="H762" s="56" t="n">
        <f aca="false">VLOOKUP(E762,Treatment_Table!$B$5:$E$11,4,FALSE())</f>
        <v>0</v>
      </c>
      <c r="I762" s="57" t="n">
        <f aca="false">F762*H762</f>
        <v>0</v>
      </c>
      <c r="J762" s="57" t="n">
        <f aca="false">IF(D762="Income",F762,-F762)</f>
        <v>-62805.94</v>
      </c>
    </row>
    <row r="763" customFormat="false" ht="15" hidden="false" customHeight="false" outlineLevel="0" collapsed="false">
      <c r="A763" s="54" t="s">
        <v>975</v>
      </c>
      <c r="B763" s="54" t="s">
        <v>205</v>
      </c>
      <c r="C763" s="54" t="s">
        <v>129</v>
      </c>
      <c r="D763" s="54" t="s">
        <v>188</v>
      </c>
      <c r="E763" s="54" t="s">
        <v>121</v>
      </c>
      <c r="F763" s="55" t="n">
        <v>38623.83</v>
      </c>
      <c r="G763" s="54" t="s">
        <v>129</v>
      </c>
      <c r="H763" s="56" t="n">
        <f aca="false">VLOOKUP(E763,Treatment_Table!$B$5:$E$11,4,FALSE())</f>
        <v>0</v>
      </c>
      <c r="I763" s="57" t="n">
        <f aca="false">F763*H763</f>
        <v>0</v>
      </c>
      <c r="J763" s="57" t="n">
        <f aca="false">IF(D763="Income",F763,-F763)</f>
        <v>-38623.83</v>
      </c>
    </row>
    <row r="764" customFormat="false" ht="15" hidden="false" customHeight="false" outlineLevel="0" collapsed="false">
      <c r="A764" s="54" t="s">
        <v>976</v>
      </c>
      <c r="B764" s="54" t="s">
        <v>208</v>
      </c>
      <c r="C764" s="54" t="s">
        <v>131</v>
      </c>
      <c r="D764" s="54" t="s">
        <v>188</v>
      </c>
      <c r="E764" s="54" t="s">
        <v>121</v>
      </c>
      <c r="F764" s="55" t="n">
        <v>47741.96</v>
      </c>
      <c r="G764" s="54" t="s">
        <v>131</v>
      </c>
      <c r="H764" s="56" t="n">
        <f aca="false">VLOOKUP(E764,Treatment_Table!$B$5:$E$11,4,FALSE())</f>
        <v>0</v>
      </c>
      <c r="I764" s="57" t="n">
        <f aca="false">F764*H764</f>
        <v>0</v>
      </c>
      <c r="J764" s="57" t="n">
        <f aca="false">IF(D764="Income",F764,-F764)</f>
        <v>-47741.96</v>
      </c>
    </row>
    <row r="765" customFormat="false" ht="15" hidden="false" customHeight="false" outlineLevel="0" collapsed="false">
      <c r="A765" s="54" t="s">
        <v>977</v>
      </c>
      <c r="B765" s="54" t="s">
        <v>214</v>
      </c>
      <c r="C765" s="54" t="s">
        <v>136</v>
      </c>
      <c r="D765" s="54" t="s">
        <v>188</v>
      </c>
      <c r="E765" s="54" t="s">
        <v>134</v>
      </c>
      <c r="F765" s="55" t="n">
        <v>8971.46</v>
      </c>
      <c r="G765" s="54" t="s">
        <v>136</v>
      </c>
      <c r="H765" s="56" t="n">
        <f aca="false">VLOOKUP(E765,Treatment_Table!$B$5:$E$11,4,FALSE())</f>
        <v>1</v>
      </c>
      <c r="I765" s="57" t="n">
        <f aca="false">F765*H765</f>
        <v>8971.46</v>
      </c>
      <c r="J765" s="57" t="n">
        <f aca="false">IF(D765="Income",F765,-F765)</f>
        <v>-8971.46</v>
      </c>
    </row>
    <row r="766" customFormat="false" ht="15" hidden="false" customHeight="false" outlineLevel="0" collapsed="false">
      <c r="A766" s="54" t="s">
        <v>978</v>
      </c>
      <c r="B766" s="54" t="s">
        <v>210</v>
      </c>
      <c r="C766" s="54" t="s">
        <v>130</v>
      </c>
      <c r="D766" s="54" t="s">
        <v>188</v>
      </c>
      <c r="E766" s="54" t="s">
        <v>121</v>
      </c>
      <c r="F766" s="55" t="n">
        <v>71535.12</v>
      </c>
      <c r="G766" s="54" t="s">
        <v>130</v>
      </c>
      <c r="H766" s="56" t="n">
        <f aca="false">VLOOKUP(E766,Treatment_Table!$B$5:$E$11,4,FALSE())</f>
        <v>0</v>
      </c>
      <c r="I766" s="57" t="n">
        <f aca="false">F766*H766</f>
        <v>0</v>
      </c>
      <c r="J766" s="57" t="n">
        <f aca="false">IF(D766="Income",F766,-F766)</f>
        <v>-71535.12</v>
      </c>
    </row>
    <row r="767" customFormat="false" ht="15" hidden="false" customHeight="false" outlineLevel="0" collapsed="false">
      <c r="A767" s="54" t="s">
        <v>979</v>
      </c>
      <c r="B767" s="54" t="s">
        <v>243</v>
      </c>
      <c r="C767" s="54" t="s">
        <v>123</v>
      </c>
      <c r="D767" s="54" t="s">
        <v>188</v>
      </c>
      <c r="E767" s="54" t="s">
        <v>121</v>
      </c>
      <c r="F767" s="55" t="n">
        <v>78054.89</v>
      </c>
      <c r="G767" s="54" t="s">
        <v>123</v>
      </c>
      <c r="H767" s="56" t="n">
        <f aca="false">VLOOKUP(E767,Treatment_Table!$B$5:$E$11,4,FALSE())</f>
        <v>0</v>
      </c>
      <c r="I767" s="57" t="n">
        <f aca="false">F767*H767</f>
        <v>0</v>
      </c>
      <c r="J767" s="57" t="n">
        <f aca="false">IF(D767="Income",F767,-F767)</f>
        <v>-78054.89</v>
      </c>
    </row>
    <row r="768" customFormat="false" ht="15" hidden="false" customHeight="false" outlineLevel="0" collapsed="false">
      <c r="A768" s="54" t="s">
        <v>980</v>
      </c>
      <c r="B768" s="54" t="s">
        <v>243</v>
      </c>
      <c r="C768" s="54" t="s">
        <v>126</v>
      </c>
      <c r="D768" s="54" t="s">
        <v>188</v>
      </c>
      <c r="E768" s="54" t="s">
        <v>121</v>
      </c>
      <c r="F768" s="55" t="n">
        <v>23533.64</v>
      </c>
      <c r="G768" s="54" t="s">
        <v>126</v>
      </c>
      <c r="H768" s="56" t="n">
        <f aca="false">VLOOKUP(E768,Treatment_Table!$B$5:$E$11,4,FALSE())</f>
        <v>0</v>
      </c>
      <c r="I768" s="57" t="n">
        <f aca="false">F768*H768</f>
        <v>0</v>
      </c>
      <c r="J768" s="57" t="n">
        <f aca="false">IF(D768="Income",F768,-F768)</f>
        <v>-23533.64</v>
      </c>
    </row>
    <row r="769" customFormat="false" ht="15" hidden="false" customHeight="false" outlineLevel="0" collapsed="false">
      <c r="A769" s="54" t="s">
        <v>981</v>
      </c>
      <c r="B769" s="54" t="s">
        <v>230</v>
      </c>
      <c r="C769" s="54" t="s">
        <v>131</v>
      </c>
      <c r="D769" s="54" t="s">
        <v>188</v>
      </c>
      <c r="E769" s="54" t="s">
        <v>121</v>
      </c>
      <c r="F769" s="55" t="n">
        <v>99925.71</v>
      </c>
      <c r="G769" s="54" t="s">
        <v>131</v>
      </c>
      <c r="H769" s="56" t="n">
        <f aca="false">VLOOKUP(E769,Treatment_Table!$B$5:$E$11,4,FALSE())</f>
        <v>0</v>
      </c>
      <c r="I769" s="57" t="n">
        <f aca="false">F769*H769</f>
        <v>0</v>
      </c>
      <c r="J769" s="57" t="n">
        <f aca="false">IF(D769="Income",F769,-F769)</f>
        <v>-99925.71</v>
      </c>
    </row>
    <row r="770" customFormat="false" ht="15" hidden="false" customHeight="false" outlineLevel="0" collapsed="false">
      <c r="A770" s="54" t="s">
        <v>982</v>
      </c>
      <c r="B770" s="54" t="s">
        <v>216</v>
      </c>
      <c r="C770" s="54" t="s">
        <v>126</v>
      </c>
      <c r="D770" s="54" t="s">
        <v>188</v>
      </c>
      <c r="E770" s="54" t="s">
        <v>121</v>
      </c>
      <c r="F770" s="55" t="n">
        <v>20730.13</v>
      </c>
      <c r="G770" s="54" t="s">
        <v>126</v>
      </c>
      <c r="H770" s="56" t="n">
        <f aca="false">VLOOKUP(E770,Treatment_Table!$B$5:$E$11,4,FALSE())</f>
        <v>0</v>
      </c>
      <c r="I770" s="57" t="n">
        <f aca="false">F770*H770</f>
        <v>0</v>
      </c>
      <c r="J770" s="57" t="n">
        <f aca="false">IF(D770="Income",F770,-F770)</f>
        <v>-20730.13</v>
      </c>
    </row>
    <row r="771" customFormat="false" ht="15" hidden="false" customHeight="false" outlineLevel="0" collapsed="false">
      <c r="A771" s="54" t="s">
        <v>983</v>
      </c>
      <c r="B771" s="54" t="s">
        <v>235</v>
      </c>
      <c r="C771" s="54" t="s">
        <v>130</v>
      </c>
      <c r="D771" s="54" t="s">
        <v>188</v>
      </c>
      <c r="E771" s="54" t="s">
        <v>121</v>
      </c>
      <c r="F771" s="55" t="n">
        <v>56855.47</v>
      </c>
      <c r="G771" s="54" t="s">
        <v>130</v>
      </c>
      <c r="H771" s="56" t="n">
        <f aca="false">VLOOKUP(E771,Treatment_Table!$B$5:$E$11,4,FALSE())</f>
        <v>0</v>
      </c>
      <c r="I771" s="57" t="n">
        <f aca="false">F771*H771</f>
        <v>0</v>
      </c>
      <c r="J771" s="57" t="n">
        <f aca="false">IF(D771="Income",F771,-F771)</f>
        <v>-56855.47</v>
      </c>
    </row>
    <row r="772" customFormat="false" ht="15" hidden="false" customHeight="false" outlineLevel="0" collapsed="false">
      <c r="A772" s="54" t="s">
        <v>984</v>
      </c>
      <c r="B772" s="54" t="s">
        <v>210</v>
      </c>
      <c r="C772" s="54" t="s">
        <v>128</v>
      </c>
      <c r="D772" s="54" t="s">
        <v>188</v>
      </c>
      <c r="E772" s="54" t="s">
        <v>121</v>
      </c>
      <c r="F772" s="55" t="n">
        <v>22904.98</v>
      </c>
      <c r="G772" s="54" t="s">
        <v>128</v>
      </c>
      <c r="H772" s="56" t="n">
        <f aca="false">VLOOKUP(E772,Treatment_Table!$B$5:$E$11,4,FALSE())</f>
        <v>0</v>
      </c>
      <c r="I772" s="57" t="n">
        <f aca="false">F772*H772</f>
        <v>0</v>
      </c>
      <c r="J772" s="57" t="n">
        <f aca="false">IF(D772="Income",F772,-F772)</f>
        <v>-22904.98</v>
      </c>
    </row>
    <row r="773" customFormat="false" ht="15" hidden="false" customHeight="false" outlineLevel="0" collapsed="false">
      <c r="A773" s="54" t="s">
        <v>985</v>
      </c>
      <c r="B773" s="54" t="s">
        <v>216</v>
      </c>
      <c r="C773" s="54" t="s">
        <v>124</v>
      </c>
      <c r="D773" s="54" t="s">
        <v>188</v>
      </c>
      <c r="E773" s="54" t="s">
        <v>121</v>
      </c>
      <c r="F773" s="55" t="n">
        <v>47746.44</v>
      </c>
      <c r="G773" s="54" t="s">
        <v>124</v>
      </c>
      <c r="H773" s="56" t="n">
        <f aca="false">VLOOKUP(E773,Treatment_Table!$B$5:$E$11,4,FALSE())</f>
        <v>0</v>
      </c>
      <c r="I773" s="57" t="n">
        <f aca="false">F773*H773</f>
        <v>0</v>
      </c>
      <c r="J773" s="57" t="n">
        <f aca="false">IF(D773="Income",F773,-F773)</f>
        <v>-47746.44</v>
      </c>
    </row>
    <row r="774" customFormat="false" ht="15" hidden="false" customHeight="false" outlineLevel="0" collapsed="false">
      <c r="A774" s="54" t="s">
        <v>986</v>
      </c>
      <c r="B774" s="54" t="s">
        <v>230</v>
      </c>
      <c r="C774" s="54" t="s">
        <v>131</v>
      </c>
      <c r="D774" s="54" t="s">
        <v>188</v>
      </c>
      <c r="E774" s="54" t="s">
        <v>121</v>
      </c>
      <c r="F774" s="55" t="n">
        <v>89245.47</v>
      </c>
      <c r="G774" s="54" t="s">
        <v>131</v>
      </c>
      <c r="H774" s="56" t="n">
        <f aca="false">VLOOKUP(E774,Treatment_Table!$B$5:$E$11,4,FALSE())</f>
        <v>0</v>
      </c>
      <c r="I774" s="57" t="n">
        <f aca="false">F774*H774</f>
        <v>0</v>
      </c>
      <c r="J774" s="57" t="n">
        <f aca="false">IF(D774="Income",F774,-F774)</f>
        <v>-89245.47</v>
      </c>
    </row>
    <row r="775" customFormat="false" ht="15" hidden="false" customHeight="false" outlineLevel="0" collapsed="false">
      <c r="A775" s="54" t="s">
        <v>987</v>
      </c>
      <c r="B775" s="54" t="s">
        <v>218</v>
      </c>
      <c r="C775" s="54" t="s">
        <v>123</v>
      </c>
      <c r="D775" s="54" t="s">
        <v>188</v>
      </c>
      <c r="E775" s="54" t="s">
        <v>121</v>
      </c>
      <c r="F775" s="55" t="n">
        <v>49704.66</v>
      </c>
      <c r="G775" s="54" t="s">
        <v>123</v>
      </c>
      <c r="H775" s="56" t="n">
        <f aca="false">VLOOKUP(E775,Treatment_Table!$B$5:$E$11,4,FALSE())</f>
        <v>0</v>
      </c>
      <c r="I775" s="57" t="n">
        <f aca="false">F775*H775</f>
        <v>0</v>
      </c>
      <c r="J775" s="57" t="n">
        <f aca="false">IF(D775="Income",F775,-F775)</f>
        <v>-49704.66</v>
      </c>
    </row>
    <row r="776" customFormat="false" ht="15" hidden="false" customHeight="false" outlineLevel="0" collapsed="false">
      <c r="A776" s="54" t="s">
        <v>988</v>
      </c>
      <c r="B776" s="54" t="s">
        <v>247</v>
      </c>
      <c r="C776" s="54" t="s">
        <v>133</v>
      </c>
      <c r="D776" s="54" t="s">
        <v>188</v>
      </c>
      <c r="E776" s="54" t="s">
        <v>134</v>
      </c>
      <c r="F776" s="55" t="n">
        <v>5294.96</v>
      </c>
      <c r="G776" s="54" t="s">
        <v>133</v>
      </c>
      <c r="H776" s="56" t="n">
        <f aca="false">VLOOKUP(E776,Treatment_Table!$B$5:$E$11,4,FALSE())</f>
        <v>1</v>
      </c>
      <c r="I776" s="57" t="n">
        <f aca="false">F776*H776</f>
        <v>5294.96</v>
      </c>
      <c r="J776" s="57" t="n">
        <f aca="false">IF(D776="Income",F776,-F776)</f>
        <v>-5294.96</v>
      </c>
    </row>
    <row r="777" customFormat="false" ht="15" hidden="false" customHeight="false" outlineLevel="0" collapsed="false">
      <c r="A777" s="54" t="s">
        <v>989</v>
      </c>
      <c r="B777" s="54" t="s">
        <v>214</v>
      </c>
      <c r="C777" s="54" t="s">
        <v>131</v>
      </c>
      <c r="D777" s="54" t="s">
        <v>188</v>
      </c>
      <c r="E777" s="54" t="s">
        <v>121</v>
      </c>
      <c r="F777" s="55" t="n">
        <v>75122.52</v>
      </c>
      <c r="G777" s="54" t="s">
        <v>131</v>
      </c>
      <c r="H777" s="56" t="n">
        <f aca="false">VLOOKUP(E777,Treatment_Table!$B$5:$E$11,4,FALSE())</f>
        <v>0</v>
      </c>
      <c r="I777" s="57" t="n">
        <f aca="false">F777*H777</f>
        <v>0</v>
      </c>
      <c r="J777" s="57" t="n">
        <f aca="false">IF(D777="Income",F777,-F777)</f>
        <v>-75122.52</v>
      </c>
    </row>
    <row r="778" customFormat="false" ht="15" hidden="false" customHeight="false" outlineLevel="0" collapsed="false">
      <c r="A778" s="54" t="s">
        <v>990</v>
      </c>
      <c r="B778" s="54" t="s">
        <v>235</v>
      </c>
      <c r="C778" s="54" t="s">
        <v>131</v>
      </c>
      <c r="D778" s="54" t="s">
        <v>188</v>
      </c>
      <c r="E778" s="54" t="s">
        <v>121</v>
      </c>
      <c r="F778" s="55" t="n">
        <v>75624.06</v>
      </c>
      <c r="G778" s="54" t="s">
        <v>131</v>
      </c>
      <c r="H778" s="56" t="n">
        <f aca="false">VLOOKUP(E778,Treatment_Table!$B$5:$E$11,4,FALSE())</f>
        <v>0</v>
      </c>
      <c r="I778" s="57" t="n">
        <f aca="false">F778*H778</f>
        <v>0</v>
      </c>
      <c r="J778" s="57" t="n">
        <f aca="false">IF(D778="Income",F778,-F778)</f>
        <v>-75624.06</v>
      </c>
    </row>
    <row r="779" customFormat="false" ht="15" hidden="false" customHeight="false" outlineLevel="0" collapsed="false">
      <c r="A779" s="54" t="s">
        <v>991</v>
      </c>
      <c r="B779" s="54" t="s">
        <v>205</v>
      </c>
      <c r="C779" s="54" t="s">
        <v>123</v>
      </c>
      <c r="D779" s="54" t="s">
        <v>188</v>
      </c>
      <c r="E779" s="54" t="s">
        <v>121</v>
      </c>
      <c r="F779" s="55" t="n">
        <v>67280.54</v>
      </c>
      <c r="G779" s="54" t="s">
        <v>123</v>
      </c>
      <c r="H779" s="56" t="n">
        <f aca="false">VLOOKUP(E779,Treatment_Table!$B$5:$E$11,4,FALSE())</f>
        <v>0</v>
      </c>
      <c r="I779" s="57" t="n">
        <f aca="false">F779*H779</f>
        <v>0</v>
      </c>
      <c r="J779" s="57" t="n">
        <f aca="false">IF(D779="Income",F779,-F779)</f>
        <v>-67280.54</v>
      </c>
    </row>
    <row r="780" customFormat="false" ht="15" hidden="false" customHeight="false" outlineLevel="0" collapsed="false">
      <c r="A780" s="54" t="s">
        <v>992</v>
      </c>
      <c r="B780" s="54" t="s">
        <v>223</v>
      </c>
      <c r="C780" s="54" t="s">
        <v>123</v>
      </c>
      <c r="D780" s="54" t="s">
        <v>188</v>
      </c>
      <c r="E780" s="54" t="s">
        <v>121</v>
      </c>
      <c r="F780" s="55" t="n">
        <v>185109.74</v>
      </c>
      <c r="G780" s="54" t="s">
        <v>123</v>
      </c>
      <c r="H780" s="56" t="n">
        <f aca="false">VLOOKUP(E780,Treatment_Table!$B$5:$E$11,4,FALSE())</f>
        <v>0</v>
      </c>
      <c r="I780" s="57" t="n">
        <f aca="false">F780*H780</f>
        <v>0</v>
      </c>
      <c r="J780" s="57" t="n">
        <f aca="false">IF(D780="Income",F780,-F780)</f>
        <v>-185109.74</v>
      </c>
    </row>
    <row r="781" customFormat="false" ht="15" hidden="false" customHeight="false" outlineLevel="0" collapsed="false">
      <c r="A781" s="54" t="s">
        <v>993</v>
      </c>
      <c r="B781" s="54" t="s">
        <v>228</v>
      </c>
      <c r="C781" s="54" t="s">
        <v>131</v>
      </c>
      <c r="D781" s="54" t="s">
        <v>188</v>
      </c>
      <c r="E781" s="54" t="s">
        <v>121</v>
      </c>
      <c r="F781" s="55" t="n">
        <v>187250.46</v>
      </c>
      <c r="G781" s="54" t="s">
        <v>131</v>
      </c>
      <c r="H781" s="56" t="n">
        <f aca="false">VLOOKUP(E781,Treatment_Table!$B$5:$E$11,4,FALSE())</f>
        <v>0</v>
      </c>
      <c r="I781" s="57" t="n">
        <f aca="false">F781*H781</f>
        <v>0</v>
      </c>
      <c r="J781" s="57" t="n">
        <f aca="false">IF(D781="Income",F781,-F781)</f>
        <v>-187250.46</v>
      </c>
    </row>
    <row r="782" customFormat="false" ht="15" hidden="false" customHeight="false" outlineLevel="0" collapsed="false">
      <c r="A782" s="54" t="s">
        <v>994</v>
      </c>
      <c r="B782" s="54" t="s">
        <v>218</v>
      </c>
      <c r="C782" s="54" t="s">
        <v>124</v>
      </c>
      <c r="D782" s="54" t="s">
        <v>188</v>
      </c>
      <c r="E782" s="54" t="s">
        <v>121</v>
      </c>
      <c r="F782" s="55" t="n">
        <v>20669.52</v>
      </c>
      <c r="G782" s="54" t="s">
        <v>124</v>
      </c>
      <c r="H782" s="56" t="n">
        <f aca="false">VLOOKUP(E782,Treatment_Table!$B$5:$E$11,4,FALSE())</f>
        <v>0</v>
      </c>
      <c r="I782" s="57" t="n">
        <f aca="false">F782*H782</f>
        <v>0</v>
      </c>
      <c r="J782" s="57" t="n">
        <f aca="false">IF(D782="Income",F782,-F782)</f>
        <v>-20669.52</v>
      </c>
    </row>
    <row r="783" customFormat="false" ht="15" hidden="false" customHeight="false" outlineLevel="0" collapsed="false">
      <c r="A783" s="54" t="s">
        <v>995</v>
      </c>
      <c r="B783" s="54" t="s">
        <v>218</v>
      </c>
      <c r="C783" s="54" t="s">
        <v>131</v>
      </c>
      <c r="D783" s="54" t="s">
        <v>188</v>
      </c>
      <c r="E783" s="54" t="s">
        <v>121</v>
      </c>
      <c r="F783" s="55" t="n">
        <v>46453.27</v>
      </c>
      <c r="G783" s="54" t="s">
        <v>131</v>
      </c>
      <c r="H783" s="56" t="n">
        <f aca="false">VLOOKUP(E783,Treatment_Table!$B$5:$E$11,4,FALSE())</f>
        <v>0</v>
      </c>
      <c r="I783" s="57" t="n">
        <f aca="false">F783*H783</f>
        <v>0</v>
      </c>
      <c r="J783" s="57" t="n">
        <f aca="false">IF(D783="Income",F783,-F783)</f>
        <v>-46453.27</v>
      </c>
    </row>
    <row r="784" customFormat="false" ht="15" hidden="false" customHeight="false" outlineLevel="0" collapsed="false">
      <c r="A784" s="54" t="s">
        <v>996</v>
      </c>
      <c r="B784" s="54" t="s">
        <v>205</v>
      </c>
      <c r="C784" s="54" t="s">
        <v>142</v>
      </c>
      <c r="D784" s="54" t="s">
        <v>188</v>
      </c>
      <c r="E784" s="54" t="s">
        <v>141</v>
      </c>
      <c r="F784" s="55" t="n">
        <v>57968.08</v>
      </c>
      <c r="G784" s="54" t="s">
        <v>142</v>
      </c>
      <c r="H784" s="56" t="n">
        <f aca="false">VLOOKUP(E784,Treatment_Table!$B$5:$E$11,4,FALSE())</f>
        <v>0</v>
      </c>
      <c r="I784" s="57" t="n">
        <f aca="false">F784*H784</f>
        <v>0</v>
      </c>
      <c r="J784" s="57" t="n">
        <f aca="false">IF(D784="Income",F784,-F784)</f>
        <v>-57968.08</v>
      </c>
    </row>
    <row r="785" customFormat="false" ht="15" hidden="false" customHeight="false" outlineLevel="0" collapsed="false">
      <c r="A785" s="54" t="s">
        <v>997</v>
      </c>
      <c r="B785" s="54" t="s">
        <v>230</v>
      </c>
      <c r="C785" s="54" t="s">
        <v>128</v>
      </c>
      <c r="D785" s="54" t="s">
        <v>188</v>
      </c>
      <c r="E785" s="54" t="s">
        <v>121</v>
      </c>
      <c r="F785" s="55" t="n">
        <v>79558.92</v>
      </c>
      <c r="G785" s="54" t="s">
        <v>128</v>
      </c>
      <c r="H785" s="56" t="n">
        <f aca="false">VLOOKUP(E785,Treatment_Table!$B$5:$E$11,4,FALSE())</f>
        <v>0</v>
      </c>
      <c r="I785" s="57" t="n">
        <f aca="false">F785*H785</f>
        <v>0</v>
      </c>
      <c r="J785" s="57" t="n">
        <f aca="false">IF(D785="Income",F785,-F785)</f>
        <v>-79558.92</v>
      </c>
    </row>
    <row r="786" customFormat="false" ht="15" hidden="false" customHeight="false" outlineLevel="0" collapsed="false">
      <c r="A786" s="54" t="s">
        <v>998</v>
      </c>
      <c r="B786" s="54" t="s">
        <v>235</v>
      </c>
      <c r="C786" s="54" t="s">
        <v>131</v>
      </c>
      <c r="D786" s="54" t="s">
        <v>188</v>
      </c>
      <c r="E786" s="54" t="s">
        <v>121</v>
      </c>
      <c r="F786" s="55" t="n">
        <v>226693.8</v>
      </c>
      <c r="G786" s="54" t="s">
        <v>131</v>
      </c>
      <c r="H786" s="56" t="n">
        <f aca="false">VLOOKUP(E786,Treatment_Table!$B$5:$E$11,4,FALSE())</f>
        <v>0</v>
      </c>
      <c r="I786" s="57" t="n">
        <f aca="false">F786*H786</f>
        <v>0</v>
      </c>
      <c r="J786" s="57" t="n">
        <f aca="false">IF(D786="Income",F786,-F786)</f>
        <v>-226693.8</v>
      </c>
    </row>
    <row r="787" customFormat="false" ht="15" hidden="false" customHeight="false" outlineLevel="0" collapsed="false">
      <c r="A787" s="54" t="s">
        <v>999</v>
      </c>
      <c r="B787" s="54" t="s">
        <v>243</v>
      </c>
      <c r="C787" s="54" t="s">
        <v>129</v>
      </c>
      <c r="D787" s="54" t="s">
        <v>188</v>
      </c>
      <c r="E787" s="54" t="s">
        <v>121</v>
      </c>
      <c r="F787" s="55" t="n">
        <v>28287.14</v>
      </c>
      <c r="G787" s="54" t="s">
        <v>129</v>
      </c>
      <c r="H787" s="56" t="n">
        <f aca="false">VLOOKUP(E787,Treatment_Table!$B$5:$E$11,4,FALSE())</f>
        <v>0</v>
      </c>
      <c r="I787" s="57" t="n">
        <f aca="false">F787*H787</f>
        <v>0</v>
      </c>
      <c r="J787" s="57" t="n">
        <f aca="false">IF(D787="Income",F787,-F787)</f>
        <v>-28287.14</v>
      </c>
    </row>
    <row r="788" customFormat="false" ht="15" hidden="false" customHeight="false" outlineLevel="0" collapsed="false">
      <c r="A788" s="54" t="s">
        <v>1000</v>
      </c>
      <c r="B788" s="54" t="s">
        <v>243</v>
      </c>
      <c r="C788" s="54" t="s">
        <v>138</v>
      </c>
      <c r="D788" s="54" t="s">
        <v>188</v>
      </c>
      <c r="E788" s="54" t="s">
        <v>139</v>
      </c>
      <c r="F788" s="55" t="n">
        <v>9186.31</v>
      </c>
      <c r="G788" s="54" t="s">
        <v>138</v>
      </c>
      <c r="H788" s="56" t="n">
        <f aca="false">VLOOKUP(E788,Treatment_Table!$B$5:$E$11,4,FALSE())</f>
        <v>0.5</v>
      </c>
      <c r="I788" s="57" t="n">
        <f aca="false">F788*H788</f>
        <v>4593.155</v>
      </c>
      <c r="J788" s="57" t="n">
        <f aca="false">IF(D788="Income",F788,-F788)</f>
        <v>-9186.31</v>
      </c>
    </row>
    <row r="789" customFormat="false" ht="15" hidden="false" customHeight="false" outlineLevel="0" collapsed="false">
      <c r="A789" s="54" t="s">
        <v>1001</v>
      </c>
      <c r="B789" s="54" t="s">
        <v>205</v>
      </c>
      <c r="C789" s="54" t="s">
        <v>128</v>
      </c>
      <c r="D789" s="54" t="s">
        <v>188</v>
      </c>
      <c r="E789" s="54" t="s">
        <v>121</v>
      </c>
      <c r="F789" s="55" t="n">
        <v>15774.78</v>
      </c>
      <c r="G789" s="54" t="s">
        <v>128</v>
      </c>
      <c r="H789" s="56" t="n">
        <f aca="false">VLOOKUP(E789,Treatment_Table!$B$5:$E$11,4,FALSE())</f>
        <v>0</v>
      </c>
      <c r="I789" s="57" t="n">
        <f aca="false">F789*H789</f>
        <v>0</v>
      </c>
      <c r="J789" s="57" t="n">
        <f aca="false">IF(D789="Income",F789,-F789)</f>
        <v>-15774.78</v>
      </c>
    </row>
    <row r="790" customFormat="false" ht="15" hidden="false" customHeight="false" outlineLevel="0" collapsed="false">
      <c r="A790" s="54" t="s">
        <v>1002</v>
      </c>
      <c r="B790" s="54" t="s">
        <v>208</v>
      </c>
      <c r="C790" s="54" t="s">
        <v>126</v>
      </c>
      <c r="D790" s="54" t="s">
        <v>188</v>
      </c>
      <c r="E790" s="54" t="s">
        <v>121</v>
      </c>
      <c r="F790" s="55" t="n">
        <v>44786.75</v>
      </c>
      <c r="G790" s="54" t="s">
        <v>126</v>
      </c>
      <c r="H790" s="56" t="n">
        <f aca="false">VLOOKUP(E790,Treatment_Table!$B$5:$E$11,4,FALSE())</f>
        <v>0</v>
      </c>
      <c r="I790" s="57" t="n">
        <f aca="false">F790*H790</f>
        <v>0</v>
      </c>
      <c r="J790" s="57" t="n">
        <f aca="false">IF(D790="Income",F790,-F790)</f>
        <v>-44786.75</v>
      </c>
    </row>
    <row r="791" customFormat="false" ht="15" hidden="false" customHeight="false" outlineLevel="0" collapsed="false">
      <c r="A791" s="54" t="s">
        <v>1003</v>
      </c>
      <c r="B791" s="54" t="s">
        <v>208</v>
      </c>
      <c r="C791" s="54" t="s">
        <v>128</v>
      </c>
      <c r="D791" s="54" t="s">
        <v>188</v>
      </c>
      <c r="E791" s="54" t="s">
        <v>121</v>
      </c>
      <c r="F791" s="55" t="n">
        <v>15698.64</v>
      </c>
      <c r="G791" s="54" t="s">
        <v>128</v>
      </c>
      <c r="H791" s="56" t="n">
        <f aca="false">VLOOKUP(E791,Treatment_Table!$B$5:$E$11,4,FALSE())</f>
        <v>0</v>
      </c>
      <c r="I791" s="57" t="n">
        <f aca="false">F791*H791</f>
        <v>0</v>
      </c>
      <c r="J791" s="57" t="n">
        <f aca="false">IF(D791="Income",F791,-F791)</f>
        <v>-15698.64</v>
      </c>
    </row>
    <row r="792" customFormat="false" ht="15" hidden="false" customHeight="false" outlineLevel="0" collapsed="false">
      <c r="A792" s="54" t="s">
        <v>1004</v>
      </c>
      <c r="B792" s="54" t="s">
        <v>205</v>
      </c>
      <c r="C792" s="54" t="s">
        <v>123</v>
      </c>
      <c r="D792" s="54" t="s">
        <v>188</v>
      </c>
      <c r="E792" s="54" t="s">
        <v>121</v>
      </c>
      <c r="F792" s="55" t="n">
        <v>140432.3</v>
      </c>
      <c r="G792" s="54" t="s">
        <v>123</v>
      </c>
      <c r="H792" s="56" t="n">
        <f aca="false">VLOOKUP(E792,Treatment_Table!$B$5:$E$11,4,FALSE())</f>
        <v>0</v>
      </c>
      <c r="I792" s="57" t="n">
        <f aca="false">F792*H792</f>
        <v>0</v>
      </c>
      <c r="J792" s="57" t="n">
        <f aca="false">IF(D792="Income",F792,-F792)</f>
        <v>-140432.3</v>
      </c>
    </row>
    <row r="793" customFormat="false" ht="15" hidden="false" customHeight="false" outlineLevel="0" collapsed="false">
      <c r="A793" s="54" t="s">
        <v>1005</v>
      </c>
      <c r="B793" s="54" t="s">
        <v>247</v>
      </c>
      <c r="C793" s="54" t="s">
        <v>124</v>
      </c>
      <c r="D793" s="54" t="s">
        <v>188</v>
      </c>
      <c r="E793" s="54" t="s">
        <v>121</v>
      </c>
      <c r="F793" s="55" t="n">
        <v>54720.51</v>
      </c>
      <c r="G793" s="54" t="s">
        <v>124</v>
      </c>
      <c r="H793" s="56" t="n">
        <f aca="false">VLOOKUP(E793,Treatment_Table!$B$5:$E$11,4,FALSE())</f>
        <v>0</v>
      </c>
      <c r="I793" s="57" t="n">
        <f aca="false">F793*H793</f>
        <v>0</v>
      </c>
      <c r="J793" s="57" t="n">
        <f aca="false">IF(D793="Income",F793,-F793)</f>
        <v>-54720.51</v>
      </c>
    </row>
    <row r="794" customFormat="false" ht="15" hidden="false" customHeight="false" outlineLevel="0" collapsed="false">
      <c r="A794" s="54" t="s">
        <v>1006</v>
      </c>
      <c r="B794" s="54" t="s">
        <v>230</v>
      </c>
      <c r="C794" s="54" t="s">
        <v>126</v>
      </c>
      <c r="D794" s="54" t="s">
        <v>188</v>
      </c>
      <c r="E794" s="54" t="s">
        <v>121</v>
      </c>
      <c r="F794" s="55" t="n">
        <v>12646.33</v>
      </c>
      <c r="G794" s="54" t="s">
        <v>126</v>
      </c>
      <c r="H794" s="56" t="n">
        <f aca="false">VLOOKUP(E794,Treatment_Table!$B$5:$E$11,4,FALSE())</f>
        <v>0</v>
      </c>
      <c r="I794" s="57" t="n">
        <f aca="false">F794*H794</f>
        <v>0</v>
      </c>
      <c r="J794" s="57" t="n">
        <f aca="false">IF(D794="Income",F794,-F794)</f>
        <v>-12646.33</v>
      </c>
    </row>
    <row r="795" customFormat="false" ht="15" hidden="false" customHeight="false" outlineLevel="0" collapsed="false">
      <c r="A795" s="54" t="s">
        <v>1007</v>
      </c>
      <c r="B795" s="54" t="s">
        <v>214</v>
      </c>
      <c r="C795" s="54" t="s">
        <v>131</v>
      </c>
      <c r="D795" s="54" t="s">
        <v>188</v>
      </c>
      <c r="E795" s="54" t="s">
        <v>121</v>
      </c>
      <c r="F795" s="55" t="n">
        <v>23875.4</v>
      </c>
      <c r="G795" s="54" t="s">
        <v>131</v>
      </c>
      <c r="H795" s="56" t="n">
        <f aca="false">VLOOKUP(E795,Treatment_Table!$B$5:$E$11,4,FALSE())</f>
        <v>0</v>
      </c>
      <c r="I795" s="57" t="n">
        <f aca="false">F795*H795</f>
        <v>0</v>
      </c>
      <c r="J795" s="57" t="n">
        <f aca="false">IF(D795="Income",F795,-F795)</f>
        <v>-23875.4</v>
      </c>
    </row>
    <row r="796" customFormat="false" ht="15" hidden="false" customHeight="false" outlineLevel="0" collapsed="false">
      <c r="A796" s="54" t="s">
        <v>1008</v>
      </c>
      <c r="B796" s="54" t="s">
        <v>243</v>
      </c>
      <c r="C796" s="54" t="s">
        <v>130</v>
      </c>
      <c r="D796" s="54" t="s">
        <v>188</v>
      </c>
      <c r="E796" s="54" t="s">
        <v>121</v>
      </c>
      <c r="F796" s="55" t="n">
        <v>28881.36</v>
      </c>
      <c r="G796" s="54" t="s">
        <v>130</v>
      </c>
      <c r="H796" s="56" t="n">
        <f aca="false">VLOOKUP(E796,Treatment_Table!$B$5:$E$11,4,FALSE())</f>
        <v>0</v>
      </c>
      <c r="I796" s="57" t="n">
        <f aca="false">F796*H796</f>
        <v>0</v>
      </c>
      <c r="J796" s="57" t="n">
        <f aca="false">IF(D796="Income",F796,-F796)</f>
        <v>-28881.36</v>
      </c>
    </row>
    <row r="797" customFormat="false" ht="15" hidden="false" customHeight="false" outlineLevel="0" collapsed="false">
      <c r="A797" s="54" t="s">
        <v>1009</v>
      </c>
      <c r="B797" s="54" t="s">
        <v>223</v>
      </c>
      <c r="C797" s="54" t="s">
        <v>130</v>
      </c>
      <c r="D797" s="54" t="s">
        <v>188</v>
      </c>
      <c r="E797" s="54" t="s">
        <v>121</v>
      </c>
      <c r="F797" s="55" t="n">
        <v>123602.43</v>
      </c>
      <c r="G797" s="54" t="s">
        <v>130</v>
      </c>
      <c r="H797" s="56" t="n">
        <f aca="false">VLOOKUP(E797,Treatment_Table!$B$5:$E$11,4,FALSE())</f>
        <v>0</v>
      </c>
      <c r="I797" s="57" t="n">
        <f aca="false">F797*H797</f>
        <v>0</v>
      </c>
      <c r="J797" s="57" t="n">
        <f aca="false">IF(D797="Income",F797,-F797)</f>
        <v>-123602.43</v>
      </c>
    </row>
    <row r="798" customFormat="false" ht="15" hidden="false" customHeight="false" outlineLevel="0" collapsed="false">
      <c r="A798" s="54" t="s">
        <v>1010</v>
      </c>
      <c r="B798" s="54" t="s">
        <v>218</v>
      </c>
      <c r="C798" s="54" t="s">
        <v>123</v>
      </c>
      <c r="D798" s="54" t="s">
        <v>188</v>
      </c>
      <c r="E798" s="54" t="s">
        <v>121</v>
      </c>
      <c r="F798" s="55" t="n">
        <v>96151.59</v>
      </c>
      <c r="G798" s="54" t="s">
        <v>123</v>
      </c>
      <c r="H798" s="56" t="n">
        <f aca="false">VLOOKUP(E798,Treatment_Table!$B$5:$E$11,4,FALSE())</f>
        <v>0</v>
      </c>
      <c r="I798" s="57" t="n">
        <f aca="false">F798*H798</f>
        <v>0</v>
      </c>
      <c r="J798" s="57" t="n">
        <f aca="false">IF(D798="Income",F798,-F798)</f>
        <v>-96151.59</v>
      </c>
    </row>
    <row r="799" customFormat="false" ht="15" hidden="false" customHeight="false" outlineLevel="0" collapsed="false">
      <c r="A799" s="54" t="s">
        <v>1011</v>
      </c>
      <c r="B799" s="54" t="s">
        <v>216</v>
      </c>
      <c r="C799" s="54" t="s">
        <v>120</v>
      </c>
      <c r="D799" s="54" t="s">
        <v>188</v>
      </c>
      <c r="E799" s="54" t="s">
        <v>121</v>
      </c>
      <c r="F799" s="55" t="n">
        <v>11695.36</v>
      </c>
      <c r="G799" s="54" t="s">
        <v>120</v>
      </c>
      <c r="H799" s="56" t="n">
        <f aca="false">VLOOKUP(E799,Treatment_Table!$B$5:$E$11,4,FALSE())</f>
        <v>0</v>
      </c>
      <c r="I799" s="57" t="n">
        <f aca="false">F799*H799</f>
        <v>0</v>
      </c>
      <c r="J799" s="57" t="n">
        <f aca="false">IF(D799="Income",F799,-F799)</f>
        <v>-11695.36</v>
      </c>
    </row>
    <row r="800" customFormat="false" ht="15" hidden="false" customHeight="false" outlineLevel="0" collapsed="false">
      <c r="A800" s="54" t="s">
        <v>1012</v>
      </c>
      <c r="B800" s="54" t="s">
        <v>228</v>
      </c>
      <c r="C800" s="54" t="s">
        <v>138</v>
      </c>
      <c r="D800" s="54" t="s">
        <v>188</v>
      </c>
      <c r="E800" s="54" t="s">
        <v>139</v>
      </c>
      <c r="F800" s="55" t="n">
        <v>5271.28</v>
      </c>
      <c r="G800" s="54" t="s">
        <v>138</v>
      </c>
      <c r="H800" s="56" t="n">
        <f aca="false">VLOOKUP(E800,Treatment_Table!$B$5:$E$11,4,FALSE())</f>
        <v>0.5</v>
      </c>
      <c r="I800" s="57" t="n">
        <f aca="false">F800*H800</f>
        <v>2635.64</v>
      </c>
      <c r="J800" s="57" t="n">
        <f aca="false">IF(D800="Income",F800,-F800)</f>
        <v>-5271.28</v>
      </c>
    </row>
    <row r="801" customFormat="false" ht="15" hidden="false" customHeight="false" outlineLevel="0" collapsed="false">
      <c r="A801" s="54" t="s">
        <v>1013</v>
      </c>
      <c r="B801" s="54" t="s">
        <v>210</v>
      </c>
      <c r="C801" s="54" t="s">
        <v>131</v>
      </c>
      <c r="D801" s="54" t="s">
        <v>188</v>
      </c>
      <c r="E801" s="54" t="s">
        <v>121</v>
      </c>
      <c r="F801" s="55" t="n">
        <v>191237.72</v>
      </c>
      <c r="G801" s="54" t="s">
        <v>131</v>
      </c>
      <c r="H801" s="56" t="n">
        <f aca="false">VLOOKUP(E801,Treatment_Table!$B$5:$E$11,4,FALSE())</f>
        <v>0</v>
      </c>
      <c r="I801" s="57" t="n">
        <f aca="false">F801*H801</f>
        <v>0</v>
      </c>
      <c r="J801" s="57" t="n">
        <f aca="false">IF(D801="Income",F801,-F801)</f>
        <v>-191237.72</v>
      </c>
    </row>
    <row r="802" customFormat="false" ht="15" hidden="false" customHeight="false" outlineLevel="0" collapsed="false">
      <c r="A802" s="54" t="s">
        <v>1014</v>
      </c>
      <c r="B802" s="54" t="s">
        <v>208</v>
      </c>
      <c r="C802" s="54" t="s">
        <v>132</v>
      </c>
      <c r="D802" s="54" t="s">
        <v>188</v>
      </c>
      <c r="E802" s="54" t="s">
        <v>121</v>
      </c>
      <c r="F802" s="55" t="n">
        <v>10336.57</v>
      </c>
      <c r="G802" s="54" t="s">
        <v>132</v>
      </c>
      <c r="H802" s="56" t="n">
        <f aca="false">VLOOKUP(E802,Treatment_Table!$B$5:$E$11,4,FALSE())</f>
        <v>0</v>
      </c>
      <c r="I802" s="57" t="n">
        <f aca="false">F802*H802</f>
        <v>0</v>
      </c>
      <c r="J802" s="57" t="n">
        <f aca="false">IF(D802="Income",F802,-F802)</f>
        <v>-10336.57</v>
      </c>
    </row>
    <row r="803" customFormat="false" ht="15" hidden="false" customHeight="false" outlineLevel="0" collapsed="false">
      <c r="A803" s="54" t="s">
        <v>1015</v>
      </c>
      <c r="B803" s="54" t="s">
        <v>228</v>
      </c>
      <c r="C803" s="54" t="s">
        <v>138</v>
      </c>
      <c r="D803" s="54" t="s">
        <v>188</v>
      </c>
      <c r="E803" s="54" t="s">
        <v>139</v>
      </c>
      <c r="F803" s="55" t="n">
        <v>7784.13</v>
      </c>
      <c r="G803" s="54" t="s">
        <v>138</v>
      </c>
      <c r="H803" s="56" t="n">
        <f aca="false">VLOOKUP(E803,Treatment_Table!$B$5:$E$11,4,FALSE())</f>
        <v>0.5</v>
      </c>
      <c r="I803" s="57" t="n">
        <f aca="false">F803*H803</f>
        <v>3892.065</v>
      </c>
      <c r="J803" s="57" t="n">
        <f aca="false">IF(D803="Income",F803,-F803)</f>
        <v>-7784.13</v>
      </c>
    </row>
    <row r="804" customFormat="false" ht="15" hidden="false" customHeight="false" outlineLevel="0" collapsed="false">
      <c r="A804" s="54" t="s">
        <v>1016</v>
      </c>
      <c r="B804" s="54" t="s">
        <v>208</v>
      </c>
      <c r="C804" s="54" t="s">
        <v>131</v>
      </c>
      <c r="D804" s="54" t="s">
        <v>188</v>
      </c>
      <c r="E804" s="54" t="s">
        <v>121</v>
      </c>
      <c r="F804" s="55" t="n">
        <v>48411.95</v>
      </c>
      <c r="G804" s="54" t="s">
        <v>131</v>
      </c>
      <c r="H804" s="56" t="n">
        <f aca="false">VLOOKUP(E804,Treatment_Table!$B$5:$E$11,4,FALSE())</f>
        <v>0</v>
      </c>
      <c r="I804" s="57" t="n">
        <f aca="false">F804*H804</f>
        <v>0</v>
      </c>
      <c r="J804" s="57" t="n">
        <f aca="false">IF(D804="Income",F804,-F804)</f>
        <v>-48411.95</v>
      </c>
    </row>
    <row r="805" customFormat="false" ht="15" hidden="false" customHeight="false" outlineLevel="0" collapsed="false">
      <c r="A805" s="54" t="s">
        <v>1017</v>
      </c>
      <c r="B805" s="54" t="s">
        <v>223</v>
      </c>
      <c r="C805" s="54" t="s">
        <v>131</v>
      </c>
      <c r="D805" s="54" t="s">
        <v>188</v>
      </c>
      <c r="E805" s="54" t="s">
        <v>121</v>
      </c>
      <c r="F805" s="55" t="n">
        <v>55789.67</v>
      </c>
      <c r="G805" s="54" t="s">
        <v>131</v>
      </c>
      <c r="H805" s="56" t="n">
        <f aca="false">VLOOKUP(E805,Treatment_Table!$B$5:$E$11,4,FALSE())</f>
        <v>0</v>
      </c>
      <c r="I805" s="57" t="n">
        <f aca="false">F805*H805</f>
        <v>0</v>
      </c>
      <c r="J805" s="57" t="n">
        <f aca="false">IF(D805="Income",F805,-F805)</f>
        <v>-55789.67</v>
      </c>
    </row>
    <row r="806" customFormat="false" ht="15" hidden="false" customHeight="false" outlineLevel="0" collapsed="false">
      <c r="A806" s="54" t="s">
        <v>1018</v>
      </c>
      <c r="B806" s="54" t="s">
        <v>208</v>
      </c>
      <c r="C806" s="54" t="s">
        <v>123</v>
      </c>
      <c r="D806" s="54" t="s">
        <v>188</v>
      </c>
      <c r="E806" s="54" t="s">
        <v>121</v>
      </c>
      <c r="F806" s="55" t="n">
        <v>131705.37</v>
      </c>
      <c r="G806" s="54" t="s">
        <v>123</v>
      </c>
      <c r="H806" s="56" t="n">
        <f aca="false">VLOOKUP(E806,Treatment_Table!$B$5:$E$11,4,FALSE())</f>
        <v>0</v>
      </c>
      <c r="I806" s="57" t="n">
        <f aca="false">F806*H806</f>
        <v>0</v>
      </c>
      <c r="J806" s="57" t="n">
        <f aca="false">IF(D806="Income",F806,-F806)</f>
        <v>-131705.37</v>
      </c>
    </row>
    <row r="807" customFormat="false" ht="15" hidden="false" customHeight="false" outlineLevel="0" collapsed="false">
      <c r="A807" s="54" t="s">
        <v>1019</v>
      </c>
      <c r="B807" s="54" t="s">
        <v>208</v>
      </c>
      <c r="C807" s="54" t="s">
        <v>124</v>
      </c>
      <c r="D807" s="54" t="s">
        <v>188</v>
      </c>
      <c r="E807" s="54" t="s">
        <v>121</v>
      </c>
      <c r="F807" s="55" t="n">
        <v>10585.88</v>
      </c>
      <c r="G807" s="54" t="s">
        <v>124</v>
      </c>
      <c r="H807" s="56" t="n">
        <f aca="false">VLOOKUP(E807,Treatment_Table!$B$5:$E$11,4,FALSE())</f>
        <v>0</v>
      </c>
      <c r="I807" s="57" t="n">
        <f aca="false">F807*H807</f>
        <v>0</v>
      </c>
      <c r="J807" s="57" t="n">
        <f aca="false">IF(D807="Income",F807,-F807)</f>
        <v>-10585.88</v>
      </c>
    </row>
    <row r="808" customFormat="false" ht="15" hidden="false" customHeight="false" outlineLevel="0" collapsed="false">
      <c r="A808" s="54" t="s">
        <v>1020</v>
      </c>
      <c r="B808" s="54" t="s">
        <v>216</v>
      </c>
      <c r="C808" s="54" t="s">
        <v>138</v>
      </c>
      <c r="D808" s="54" t="s">
        <v>188</v>
      </c>
      <c r="E808" s="54" t="s">
        <v>139</v>
      </c>
      <c r="F808" s="55" t="n">
        <v>2936.89</v>
      </c>
      <c r="G808" s="54" t="s">
        <v>138</v>
      </c>
      <c r="H808" s="56" t="n">
        <f aca="false">VLOOKUP(E808,Treatment_Table!$B$5:$E$11,4,FALSE())</f>
        <v>0.5</v>
      </c>
      <c r="I808" s="57" t="n">
        <f aca="false">F808*H808</f>
        <v>1468.445</v>
      </c>
      <c r="J808" s="57" t="n">
        <f aca="false">IF(D808="Income",F808,-F808)</f>
        <v>-2936.89</v>
      </c>
    </row>
    <row r="809" customFormat="false" ht="15" hidden="false" customHeight="false" outlineLevel="0" collapsed="false">
      <c r="A809" s="54" t="s">
        <v>1021</v>
      </c>
      <c r="B809" s="54" t="s">
        <v>228</v>
      </c>
      <c r="C809" s="54" t="s">
        <v>131</v>
      </c>
      <c r="D809" s="54" t="s">
        <v>188</v>
      </c>
      <c r="E809" s="54" t="s">
        <v>121</v>
      </c>
      <c r="F809" s="55" t="n">
        <v>122816.18</v>
      </c>
      <c r="G809" s="54" t="s">
        <v>131</v>
      </c>
      <c r="H809" s="56" t="n">
        <f aca="false">VLOOKUP(E809,Treatment_Table!$B$5:$E$11,4,FALSE())</f>
        <v>0</v>
      </c>
      <c r="I809" s="57" t="n">
        <f aca="false">F809*H809</f>
        <v>0</v>
      </c>
      <c r="J809" s="57" t="n">
        <f aca="false">IF(D809="Income",F809,-F809)</f>
        <v>-122816.18</v>
      </c>
    </row>
    <row r="810" customFormat="false" ht="15" hidden="false" customHeight="false" outlineLevel="0" collapsed="false">
      <c r="A810" s="54" t="s">
        <v>1022</v>
      </c>
      <c r="B810" s="54" t="s">
        <v>230</v>
      </c>
      <c r="C810" s="54" t="s">
        <v>142</v>
      </c>
      <c r="D810" s="54" t="s">
        <v>188</v>
      </c>
      <c r="E810" s="54" t="s">
        <v>141</v>
      </c>
      <c r="F810" s="55" t="n">
        <v>73546.66</v>
      </c>
      <c r="G810" s="54" t="s">
        <v>142</v>
      </c>
      <c r="H810" s="56" t="n">
        <f aca="false">VLOOKUP(E810,Treatment_Table!$B$5:$E$11,4,FALSE())</f>
        <v>0</v>
      </c>
      <c r="I810" s="57" t="n">
        <f aca="false">F810*H810</f>
        <v>0</v>
      </c>
      <c r="J810" s="57" t="n">
        <f aca="false">IF(D810="Income",F810,-F810)</f>
        <v>-73546.66</v>
      </c>
    </row>
    <row r="811" customFormat="false" ht="15" hidden="false" customHeight="false" outlineLevel="0" collapsed="false">
      <c r="A811" s="54" t="s">
        <v>1023</v>
      </c>
      <c r="B811" s="54" t="s">
        <v>247</v>
      </c>
      <c r="C811" s="54" t="s">
        <v>131</v>
      </c>
      <c r="D811" s="54" t="s">
        <v>188</v>
      </c>
      <c r="E811" s="54" t="s">
        <v>121</v>
      </c>
      <c r="F811" s="55" t="n">
        <v>164837.1</v>
      </c>
      <c r="G811" s="54" t="s">
        <v>131</v>
      </c>
      <c r="H811" s="56" t="n">
        <f aca="false">VLOOKUP(E811,Treatment_Table!$B$5:$E$11,4,FALSE())</f>
        <v>0</v>
      </c>
      <c r="I811" s="57" t="n">
        <f aca="false">F811*H811</f>
        <v>0</v>
      </c>
      <c r="J811" s="57" t="n">
        <f aca="false">IF(D811="Income",F811,-F811)</f>
        <v>-164837.1</v>
      </c>
    </row>
    <row r="812" customFormat="false" ht="15" hidden="false" customHeight="false" outlineLevel="0" collapsed="false">
      <c r="A812" s="54" t="s">
        <v>1024</v>
      </c>
      <c r="B812" s="54" t="s">
        <v>243</v>
      </c>
      <c r="C812" s="54" t="s">
        <v>131</v>
      </c>
      <c r="D812" s="54" t="s">
        <v>188</v>
      </c>
      <c r="E812" s="54" t="s">
        <v>121</v>
      </c>
      <c r="F812" s="55" t="n">
        <v>82929.58</v>
      </c>
      <c r="G812" s="54" t="s">
        <v>131</v>
      </c>
      <c r="H812" s="56" t="n">
        <f aca="false">VLOOKUP(E812,Treatment_Table!$B$5:$E$11,4,FALSE())</f>
        <v>0</v>
      </c>
      <c r="I812" s="57" t="n">
        <f aca="false">F812*H812</f>
        <v>0</v>
      </c>
      <c r="J812" s="57" t="n">
        <f aca="false">IF(D812="Income",F812,-F812)</f>
        <v>-82929.58</v>
      </c>
    </row>
    <row r="813" customFormat="false" ht="15" hidden="false" customHeight="false" outlineLevel="0" collapsed="false">
      <c r="A813" s="54" t="s">
        <v>1025</v>
      </c>
      <c r="B813" s="54" t="s">
        <v>218</v>
      </c>
      <c r="C813" s="54" t="s">
        <v>131</v>
      </c>
      <c r="D813" s="54" t="s">
        <v>188</v>
      </c>
      <c r="E813" s="54" t="s">
        <v>121</v>
      </c>
      <c r="F813" s="55" t="n">
        <v>66394.35</v>
      </c>
      <c r="G813" s="54" t="s">
        <v>131</v>
      </c>
      <c r="H813" s="56" t="n">
        <f aca="false">VLOOKUP(E813,Treatment_Table!$B$5:$E$11,4,FALSE())</f>
        <v>0</v>
      </c>
      <c r="I813" s="57" t="n">
        <f aca="false">F813*H813</f>
        <v>0</v>
      </c>
      <c r="J813" s="57" t="n">
        <f aca="false">IF(D813="Income",F813,-F813)</f>
        <v>-66394.35</v>
      </c>
    </row>
    <row r="814" customFormat="false" ht="15" hidden="false" customHeight="false" outlineLevel="0" collapsed="false">
      <c r="A814" s="54" t="s">
        <v>1026</v>
      </c>
      <c r="B814" s="54" t="s">
        <v>223</v>
      </c>
      <c r="C814" s="54" t="s">
        <v>131</v>
      </c>
      <c r="D814" s="54" t="s">
        <v>188</v>
      </c>
      <c r="E814" s="54" t="s">
        <v>121</v>
      </c>
      <c r="F814" s="55" t="n">
        <v>50786.72</v>
      </c>
      <c r="G814" s="54" t="s">
        <v>131</v>
      </c>
      <c r="H814" s="56" t="n">
        <f aca="false">VLOOKUP(E814,Treatment_Table!$B$5:$E$11,4,FALSE())</f>
        <v>0</v>
      </c>
      <c r="I814" s="57" t="n">
        <f aca="false">F814*H814</f>
        <v>0</v>
      </c>
      <c r="J814" s="57" t="n">
        <f aca="false">IF(D814="Income",F814,-F814)</f>
        <v>-50786.72</v>
      </c>
    </row>
    <row r="815" customFormat="false" ht="15" hidden="false" customHeight="false" outlineLevel="0" collapsed="false">
      <c r="A815" s="54" t="s">
        <v>1027</v>
      </c>
      <c r="B815" s="54" t="s">
        <v>223</v>
      </c>
      <c r="C815" s="54" t="s">
        <v>126</v>
      </c>
      <c r="D815" s="54" t="s">
        <v>188</v>
      </c>
      <c r="E815" s="54" t="s">
        <v>121</v>
      </c>
      <c r="F815" s="55" t="n">
        <v>32304.59</v>
      </c>
      <c r="G815" s="54" t="s">
        <v>126</v>
      </c>
      <c r="H815" s="56" t="n">
        <f aca="false">VLOOKUP(E815,Treatment_Table!$B$5:$E$11,4,FALSE())</f>
        <v>0</v>
      </c>
      <c r="I815" s="57" t="n">
        <f aca="false">F815*H815</f>
        <v>0</v>
      </c>
      <c r="J815" s="57" t="n">
        <f aca="false">IF(D815="Income",F815,-F815)</f>
        <v>-32304.59</v>
      </c>
    </row>
    <row r="816" customFormat="false" ht="15" hidden="false" customHeight="false" outlineLevel="0" collapsed="false">
      <c r="A816" s="54" t="s">
        <v>1028</v>
      </c>
      <c r="B816" s="54" t="s">
        <v>223</v>
      </c>
      <c r="C816" s="54" t="s">
        <v>130</v>
      </c>
      <c r="D816" s="54" t="s">
        <v>188</v>
      </c>
      <c r="E816" s="54" t="s">
        <v>121</v>
      </c>
      <c r="F816" s="55" t="n">
        <v>46243.02</v>
      </c>
      <c r="G816" s="54" t="s">
        <v>130</v>
      </c>
      <c r="H816" s="56" t="n">
        <f aca="false">VLOOKUP(E816,Treatment_Table!$B$5:$E$11,4,FALSE())</f>
        <v>0</v>
      </c>
      <c r="I816" s="57" t="n">
        <f aca="false">F816*H816</f>
        <v>0</v>
      </c>
      <c r="J816" s="57" t="n">
        <f aca="false">IF(D816="Income",F816,-F816)</f>
        <v>-46243.02</v>
      </c>
    </row>
    <row r="817" customFormat="false" ht="15" hidden="false" customHeight="false" outlineLevel="0" collapsed="false">
      <c r="A817" s="54" t="s">
        <v>1029</v>
      </c>
      <c r="B817" s="54" t="s">
        <v>230</v>
      </c>
      <c r="C817" s="54" t="s">
        <v>131</v>
      </c>
      <c r="D817" s="54" t="s">
        <v>188</v>
      </c>
      <c r="E817" s="54" t="s">
        <v>121</v>
      </c>
      <c r="F817" s="55" t="n">
        <v>41123.99</v>
      </c>
      <c r="G817" s="54" t="s">
        <v>131</v>
      </c>
      <c r="H817" s="56" t="n">
        <f aca="false">VLOOKUP(E817,Treatment_Table!$B$5:$E$11,4,FALSE())</f>
        <v>0</v>
      </c>
      <c r="I817" s="57" t="n">
        <f aca="false">F817*H817</f>
        <v>0</v>
      </c>
      <c r="J817" s="57" t="n">
        <f aca="false">IF(D817="Income",F817,-F817)</f>
        <v>-41123.99</v>
      </c>
    </row>
    <row r="818" customFormat="false" ht="15" hidden="false" customHeight="false" outlineLevel="0" collapsed="false">
      <c r="A818" s="54" t="s">
        <v>1030</v>
      </c>
      <c r="B818" s="54" t="s">
        <v>247</v>
      </c>
      <c r="C818" s="54" t="s">
        <v>130</v>
      </c>
      <c r="D818" s="54" t="s">
        <v>188</v>
      </c>
      <c r="E818" s="54" t="s">
        <v>121</v>
      </c>
      <c r="F818" s="55" t="n">
        <v>23145.9</v>
      </c>
      <c r="G818" s="54" t="s">
        <v>130</v>
      </c>
      <c r="H818" s="56" t="n">
        <f aca="false">VLOOKUP(E818,Treatment_Table!$B$5:$E$11,4,FALSE())</f>
        <v>0</v>
      </c>
      <c r="I818" s="57" t="n">
        <f aca="false">F818*H818</f>
        <v>0</v>
      </c>
      <c r="J818" s="57" t="n">
        <f aca="false">IF(D818="Income",F818,-F818)</f>
        <v>-23145.9</v>
      </c>
    </row>
    <row r="819" customFormat="false" ht="15" hidden="false" customHeight="false" outlineLevel="0" collapsed="false">
      <c r="A819" s="54" t="s">
        <v>1031</v>
      </c>
      <c r="B819" s="54" t="s">
        <v>205</v>
      </c>
      <c r="C819" s="54" t="s">
        <v>129</v>
      </c>
      <c r="D819" s="54" t="s">
        <v>188</v>
      </c>
      <c r="E819" s="54" t="s">
        <v>121</v>
      </c>
      <c r="F819" s="55" t="n">
        <v>23810.96</v>
      </c>
      <c r="G819" s="54" t="s">
        <v>129</v>
      </c>
      <c r="H819" s="56" t="n">
        <f aca="false">VLOOKUP(E819,Treatment_Table!$B$5:$E$11,4,FALSE())</f>
        <v>0</v>
      </c>
      <c r="I819" s="57" t="n">
        <f aca="false">F819*H819</f>
        <v>0</v>
      </c>
      <c r="J819" s="57" t="n">
        <f aca="false">IF(D819="Income",F819,-F819)</f>
        <v>-23810.96</v>
      </c>
    </row>
    <row r="820" customFormat="false" ht="15" hidden="false" customHeight="false" outlineLevel="0" collapsed="false">
      <c r="A820" s="54" t="s">
        <v>1032</v>
      </c>
      <c r="B820" s="54" t="s">
        <v>230</v>
      </c>
      <c r="C820" s="54" t="s">
        <v>131</v>
      </c>
      <c r="D820" s="54" t="s">
        <v>188</v>
      </c>
      <c r="E820" s="54" t="s">
        <v>121</v>
      </c>
      <c r="F820" s="55" t="n">
        <v>23039.34</v>
      </c>
      <c r="G820" s="54" t="s">
        <v>131</v>
      </c>
      <c r="H820" s="56" t="n">
        <f aca="false">VLOOKUP(E820,Treatment_Table!$B$5:$E$11,4,FALSE())</f>
        <v>0</v>
      </c>
      <c r="I820" s="57" t="n">
        <f aca="false">F820*H820</f>
        <v>0</v>
      </c>
      <c r="J820" s="57" t="n">
        <f aca="false">IF(D820="Income",F820,-F820)</f>
        <v>-23039.34</v>
      </c>
    </row>
    <row r="821" customFormat="false" ht="15" hidden="false" customHeight="false" outlineLevel="0" collapsed="false">
      <c r="A821" s="54" t="s">
        <v>1033</v>
      </c>
      <c r="B821" s="54" t="s">
        <v>223</v>
      </c>
      <c r="C821" s="54" t="s">
        <v>131</v>
      </c>
      <c r="D821" s="54" t="s">
        <v>188</v>
      </c>
      <c r="E821" s="54" t="s">
        <v>121</v>
      </c>
      <c r="F821" s="55" t="n">
        <v>55065.71</v>
      </c>
      <c r="G821" s="54" t="s">
        <v>131</v>
      </c>
      <c r="H821" s="56" t="n">
        <f aca="false">VLOOKUP(E821,Treatment_Table!$B$5:$E$11,4,FALSE())</f>
        <v>0</v>
      </c>
      <c r="I821" s="57" t="n">
        <f aca="false">F821*H821</f>
        <v>0</v>
      </c>
      <c r="J821" s="57" t="n">
        <f aca="false">IF(D821="Income",F821,-F821)</f>
        <v>-55065.71</v>
      </c>
    </row>
    <row r="822" customFormat="false" ht="15" hidden="false" customHeight="false" outlineLevel="0" collapsed="false">
      <c r="A822" s="54" t="s">
        <v>1034</v>
      </c>
      <c r="B822" s="54" t="s">
        <v>230</v>
      </c>
      <c r="C822" s="54" t="s">
        <v>126</v>
      </c>
      <c r="D822" s="54" t="s">
        <v>188</v>
      </c>
      <c r="E822" s="54" t="s">
        <v>121</v>
      </c>
      <c r="F822" s="55" t="n">
        <v>38033</v>
      </c>
      <c r="G822" s="54" t="s">
        <v>126</v>
      </c>
      <c r="H822" s="56" t="n">
        <f aca="false">VLOOKUP(E822,Treatment_Table!$B$5:$E$11,4,FALSE())</f>
        <v>0</v>
      </c>
      <c r="I822" s="57" t="n">
        <f aca="false">F822*H822</f>
        <v>0</v>
      </c>
      <c r="J822" s="57" t="n">
        <f aca="false">IF(D822="Income",F822,-F822)</f>
        <v>-38033</v>
      </c>
    </row>
    <row r="823" customFormat="false" ht="15" hidden="false" customHeight="false" outlineLevel="0" collapsed="false">
      <c r="A823" s="54" t="s">
        <v>1035</v>
      </c>
      <c r="B823" s="54" t="s">
        <v>214</v>
      </c>
      <c r="C823" s="54" t="s">
        <v>128</v>
      </c>
      <c r="D823" s="54" t="s">
        <v>188</v>
      </c>
      <c r="E823" s="54" t="s">
        <v>121</v>
      </c>
      <c r="F823" s="55" t="n">
        <v>26776.2</v>
      </c>
      <c r="G823" s="54" t="s">
        <v>128</v>
      </c>
      <c r="H823" s="56" t="n">
        <f aca="false">VLOOKUP(E823,Treatment_Table!$B$5:$E$11,4,FALSE())</f>
        <v>0</v>
      </c>
      <c r="I823" s="57" t="n">
        <f aca="false">F823*H823</f>
        <v>0</v>
      </c>
      <c r="J823" s="57" t="n">
        <f aca="false">IF(D823="Income",F823,-F823)</f>
        <v>-26776.2</v>
      </c>
    </row>
    <row r="824" customFormat="false" ht="15" hidden="false" customHeight="false" outlineLevel="0" collapsed="false">
      <c r="A824" s="54" t="s">
        <v>1036</v>
      </c>
      <c r="B824" s="54" t="s">
        <v>208</v>
      </c>
      <c r="C824" s="54" t="s">
        <v>130</v>
      </c>
      <c r="D824" s="54" t="s">
        <v>188</v>
      </c>
      <c r="E824" s="54" t="s">
        <v>121</v>
      </c>
      <c r="F824" s="55" t="n">
        <v>50054.08</v>
      </c>
      <c r="G824" s="54" t="s">
        <v>130</v>
      </c>
      <c r="H824" s="56" t="n">
        <f aca="false">VLOOKUP(E824,Treatment_Table!$B$5:$E$11,4,FALSE())</f>
        <v>0</v>
      </c>
      <c r="I824" s="57" t="n">
        <f aca="false">F824*H824</f>
        <v>0</v>
      </c>
      <c r="J824" s="57" t="n">
        <f aca="false">IF(D824="Income",F824,-F824)</f>
        <v>-50054.08</v>
      </c>
    </row>
    <row r="825" customFormat="false" ht="15" hidden="false" customHeight="false" outlineLevel="0" collapsed="false">
      <c r="A825" s="54" t="s">
        <v>1037</v>
      </c>
      <c r="B825" s="54" t="s">
        <v>228</v>
      </c>
      <c r="C825" s="54" t="s">
        <v>123</v>
      </c>
      <c r="D825" s="54" t="s">
        <v>188</v>
      </c>
      <c r="E825" s="54" t="s">
        <v>121</v>
      </c>
      <c r="F825" s="55" t="n">
        <v>144988.27</v>
      </c>
      <c r="G825" s="54" t="s">
        <v>123</v>
      </c>
      <c r="H825" s="56" t="n">
        <f aca="false">VLOOKUP(E825,Treatment_Table!$B$5:$E$11,4,FALSE())</f>
        <v>0</v>
      </c>
      <c r="I825" s="57" t="n">
        <f aca="false">F825*H825</f>
        <v>0</v>
      </c>
      <c r="J825" s="57" t="n">
        <f aca="false">IF(D825="Income",F825,-F825)</f>
        <v>-144988.27</v>
      </c>
    </row>
    <row r="826" customFormat="false" ht="15" hidden="false" customHeight="false" outlineLevel="0" collapsed="false">
      <c r="A826" s="54" t="s">
        <v>1038</v>
      </c>
      <c r="B826" s="54" t="s">
        <v>223</v>
      </c>
      <c r="C826" s="54" t="s">
        <v>129</v>
      </c>
      <c r="D826" s="54" t="s">
        <v>188</v>
      </c>
      <c r="E826" s="54" t="s">
        <v>121</v>
      </c>
      <c r="F826" s="55" t="n">
        <v>16444.17</v>
      </c>
      <c r="G826" s="54" t="s">
        <v>129</v>
      </c>
      <c r="H826" s="56" t="n">
        <f aca="false">VLOOKUP(E826,Treatment_Table!$B$5:$E$11,4,FALSE())</f>
        <v>0</v>
      </c>
      <c r="I826" s="57" t="n">
        <f aca="false">F826*H826</f>
        <v>0</v>
      </c>
      <c r="J826" s="57" t="n">
        <f aca="false">IF(D826="Income",F826,-F826)</f>
        <v>-16444.17</v>
      </c>
    </row>
    <row r="827" customFormat="false" ht="15" hidden="false" customHeight="false" outlineLevel="0" collapsed="false">
      <c r="A827" s="54" t="s">
        <v>1039</v>
      </c>
      <c r="B827" s="54" t="s">
        <v>218</v>
      </c>
      <c r="C827" s="54" t="s">
        <v>123</v>
      </c>
      <c r="D827" s="54" t="s">
        <v>188</v>
      </c>
      <c r="E827" s="54" t="s">
        <v>121</v>
      </c>
      <c r="F827" s="55" t="n">
        <v>249322.92</v>
      </c>
      <c r="G827" s="54" t="s">
        <v>123</v>
      </c>
      <c r="H827" s="56" t="n">
        <f aca="false">VLOOKUP(E827,Treatment_Table!$B$5:$E$11,4,FALSE())</f>
        <v>0</v>
      </c>
      <c r="I827" s="57" t="n">
        <f aca="false">F827*H827</f>
        <v>0</v>
      </c>
      <c r="J827" s="57" t="n">
        <f aca="false">IF(D827="Income",F827,-F827)</f>
        <v>-249322.92</v>
      </c>
    </row>
    <row r="828" customFormat="false" ht="15" hidden="false" customHeight="false" outlineLevel="0" collapsed="false">
      <c r="A828" s="54" t="s">
        <v>1040</v>
      </c>
      <c r="B828" s="54" t="s">
        <v>228</v>
      </c>
      <c r="C828" s="54" t="s">
        <v>131</v>
      </c>
      <c r="D828" s="54" t="s">
        <v>188</v>
      </c>
      <c r="E828" s="54" t="s">
        <v>121</v>
      </c>
      <c r="F828" s="55" t="n">
        <v>41763.67</v>
      </c>
      <c r="G828" s="54" t="s">
        <v>131</v>
      </c>
      <c r="H828" s="56" t="n">
        <f aca="false">VLOOKUP(E828,Treatment_Table!$B$5:$E$11,4,FALSE())</f>
        <v>0</v>
      </c>
      <c r="I828" s="57" t="n">
        <f aca="false">F828*H828</f>
        <v>0</v>
      </c>
      <c r="J828" s="57" t="n">
        <f aca="false">IF(D828="Income",F828,-F828)</f>
        <v>-41763.67</v>
      </c>
    </row>
    <row r="829" customFormat="false" ht="15" hidden="false" customHeight="false" outlineLevel="0" collapsed="false">
      <c r="A829" s="54" t="s">
        <v>1041</v>
      </c>
      <c r="B829" s="54" t="s">
        <v>228</v>
      </c>
      <c r="C829" s="54" t="s">
        <v>131</v>
      </c>
      <c r="D829" s="54" t="s">
        <v>188</v>
      </c>
      <c r="E829" s="54" t="s">
        <v>121</v>
      </c>
      <c r="F829" s="55" t="n">
        <v>91284.35</v>
      </c>
      <c r="G829" s="54" t="s">
        <v>131</v>
      </c>
      <c r="H829" s="56" t="n">
        <f aca="false">VLOOKUP(E829,Treatment_Table!$B$5:$E$11,4,FALSE())</f>
        <v>0</v>
      </c>
      <c r="I829" s="57" t="n">
        <f aca="false">F829*H829</f>
        <v>0</v>
      </c>
      <c r="J829" s="57" t="n">
        <f aca="false">IF(D829="Income",F829,-F829)</f>
        <v>-91284.35</v>
      </c>
    </row>
    <row r="830" customFormat="false" ht="15" hidden="false" customHeight="false" outlineLevel="0" collapsed="false">
      <c r="A830" s="54" t="s">
        <v>1042</v>
      </c>
      <c r="B830" s="54" t="s">
        <v>247</v>
      </c>
      <c r="C830" s="54" t="s">
        <v>131</v>
      </c>
      <c r="D830" s="54" t="s">
        <v>188</v>
      </c>
      <c r="E830" s="54" t="s">
        <v>121</v>
      </c>
      <c r="F830" s="55" t="n">
        <v>88242.08</v>
      </c>
      <c r="G830" s="54" t="s">
        <v>131</v>
      </c>
      <c r="H830" s="56" t="n">
        <f aca="false">VLOOKUP(E830,Treatment_Table!$B$5:$E$11,4,FALSE())</f>
        <v>0</v>
      </c>
      <c r="I830" s="57" t="n">
        <f aca="false">F830*H830</f>
        <v>0</v>
      </c>
      <c r="J830" s="57" t="n">
        <f aca="false">IF(D830="Income",F830,-F830)</f>
        <v>-88242.08</v>
      </c>
    </row>
    <row r="831" customFormat="false" ht="15" hidden="false" customHeight="false" outlineLevel="0" collapsed="false">
      <c r="A831" s="54" t="s">
        <v>1043</v>
      </c>
      <c r="B831" s="54" t="s">
        <v>247</v>
      </c>
      <c r="C831" s="54" t="s">
        <v>131</v>
      </c>
      <c r="D831" s="54" t="s">
        <v>188</v>
      </c>
      <c r="E831" s="54" t="s">
        <v>121</v>
      </c>
      <c r="F831" s="55" t="n">
        <v>57869.46</v>
      </c>
      <c r="G831" s="54" t="s">
        <v>131</v>
      </c>
      <c r="H831" s="56" t="n">
        <f aca="false">VLOOKUP(E831,Treatment_Table!$B$5:$E$11,4,FALSE())</f>
        <v>0</v>
      </c>
      <c r="I831" s="57" t="n">
        <f aca="false">F831*H831</f>
        <v>0</v>
      </c>
      <c r="J831" s="57" t="n">
        <f aca="false">IF(D831="Income",F831,-F831)</f>
        <v>-57869.46</v>
      </c>
    </row>
    <row r="832" customFormat="false" ht="15" hidden="false" customHeight="false" outlineLevel="0" collapsed="false">
      <c r="A832" s="54" t="s">
        <v>1044</v>
      </c>
      <c r="B832" s="54" t="s">
        <v>243</v>
      </c>
      <c r="C832" s="54" t="s">
        <v>131</v>
      </c>
      <c r="D832" s="54" t="s">
        <v>188</v>
      </c>
      <c r="E832" s="54" t="s">
        <v>121</v>
      </c>
      <c r="F832" s="55" t="n">
        <v>117017.08</v>
      </c>
      <c r="G832" s="54" t="s">
        <v>131</v>
      </c>
      <c r="H832" s="56" t="n">
        <f aca="false">VLOOKUP(E832,Treatment_Table!$B$5:$E$11,4,FALSE())</f>
        <v>0</v>
      </c>
      <c r="I832" s="57" t="n">
        <f aca="false">F832*H832</f>
        <v>0</v>
      </c>
      <c r="J832" s="57" t="n">
        <f aca="false">IF(D832="Income",F832,-F832)</f>
        <v>-117017.08</v>
      </c>
    </row>
    <row r="833" customFormat="false" ht="15" hidden="false" customHeight="false" outlineLevel="0" collapsed="false">
      <c r="A833" s="54" t="s">
        <v>1045</v>
      </c>
      <c r="B833" s="54" t="s">
        <v>235</v>
      </c>
      <c r="C833" s="54" t="s">
        <v>132</v>
      </c>
      <c r="D833" s="54" t="s">
        <v>188</v>
      </c>
      <c r="E833" s="54" t="s">
        <v>121</v>
      </c>
      <c r="F833" s="55" t="n">
        <v>9945.41</v>
      </c>
      <c r="G833" s="54" t="s">
        <v>132</v>
      </c>
      <c r="H833" s="56" t="n">
        <f aca="false">VLOOKUP(E833,Treatment_Table!$B$5:$E$11,4,FALSE())</f>
        <v>0</v>
      </c>
      <c r="I833" s="57" t="n">
        <f aca="false">F833*H833</f>
        <v>0</v>
      </c>
      <c r="J833" s="57" t="n">
        <f aca="false">IF(D833="Income",F833,-F833)</f>
        <v>-9945.41</v>
      </c>
    </row>
    <row r="834" customFormat="false" ht="15" hidden="false" customHeight="false" outlineLevel="0" collapsed="false">
      <c r="A834" s="54" t="s">
        <v>1046</v>
      </c>
      <c r="B834" s="54" t="s">
        <v>208</v>
      </c>
      <c r="C834" s="54" t="s">
        <v>126</v>
      </c>
      <c r="D834" s="54" t="s">
        <v>188</v>
      </c>
      <c r="E834" s="54" t="s">
        <v>121</v>
      </c>
      <c r="F834" s="55" t="n">
        <v>38176.71</v>
      </c>
      <c r="G834" s="54" t="s">
        <v>126</v>
      </c>
      <c r="H834" s="56" t="n">
        <f aca="false">VLOOKUP(E834,Treatment_Table!$B$5:$E$11,4,FALSE())</f>
        <v>0</v>
      </c>
      <c r="I834" s="57" t="n">
        <f aca="false">F834*H834</f>
        <v>0</v>
      </c>
      <c r="J834" s="57" t="n">
        <f aca="false">IF(D834="Income",F834,-F834)</f>
        <v>-38176.71</v>
      </c>
    </row>
    <row r="835" customFormat="false" ht="15" hidden="false" customHeight="false" outlineLevel="0" collapsed="false">
      <c r="A835" s="54" t="s">
        <v>1047</v>
      </c>
      <c r="B835" s="54" t="s">
        <v>208</v>
      </c>
      <c r="C835" s="54" t="s">
        <v>131</v>
      </c>
      <c r="D835" s="54" t="s">
        <v>188</v>
      </c>
      <c r="E835" s="54" t="s">
        <v>121</v>
      </c>
      <c r="F835" s="55" t="n">
        <v>205034.04</v>
      </c>
      <c r="G835" s="54" t="s">
        <v>131</v>
      </c>
      <c r="H835" s="56" t="n">
        <f aca="false">VLOOKUP(E835,Treatment_Table!$B$5:$E$11,4,FALSE())</f>
        <v>0</v>
      </c>
      <c r="I835" s="57" t="n">
        <f aca="false">F835*H835</f>
        <v>0</v>
      </c>
      <c r="J835" s="57" t="n">
        <f aca="false">IF(D835="Income",F835,-F835)</f>
        <v>-205034.04</v>
      </c>
    </row>
    <row r="836" customFormat="false" ht="15" hidden="false" customHeight="false" outlineLevel="0" collapsed="false">
      <c r="A836" s="54" t="s">
        <v>1048</v>
      </c>
      <c r="B836" s="54" t="s">
        <v>223</v>
      </c>
      <c r="C836" s="54" t="s">
        <v>130</v>
      </c>
      <c r="D836" s="54" t="s">
        <v>188</v>
      </c>
      <c r="E836" s="54" t="s">
        <v>121</v>
      </c>
      <c r="F836" s="55" t="n">
        <v>26456.09</v>
      </c>
      <c r="G836" s="54" t="s">
        <v>130</v>
      </c>
      <c r="H836" s="56" t="n">
        <f aca="false">VLOOKUP(E836,Treatment_Table!$B$5:$E$11,4,FALSE())</f>
        <v>0</v>
      </c>
      <c r="I836" s="57" t="n">
        <f aca="false">F836*H836</f>
        <v>0</v>
      </c>
      <c r="J836" s="57" t="n">
        <f aca="false">IF(D836="Income",F836,-F836)</f>
        <v>-26456.09</v>
      </c>
    </row>
    <row r="837" customFormat="false" ht="15" hidden="false" customHeight="false" outlineLevel="0" collapsed="false">
      <c r="A837" s="54" t="s">
        <v>1049</v>
      </c>
      <c r="B837" s="54" t="s">
        <v>218</v>
      </c>
      <c r="C837" s="54" t="s">
        <v>133</v>
      </c>
      <c r="D837" s="54" t="s">
        <v>188</v>
      </c>
      <c r="E837" s="54" t="s">
        <v>134</v>
      </c>
      <c r="F837" s="55" t="n">
        <v>2014.14</v>
      </c>
      <c r="G837" s="54" t="s">
        <v>133</v>
      </c>
      <c r="H837" s="56" t="n">
        <f aca="false">VLOOKUP(E837,Treatment_Table!$B$5:$E$11,4,FALSE())</f>
        <v>1</v>
      </c>
      <c r="I837" s="57" t="n">
        <f aca="false">F837*H837</f>
        <v>2014.14</v>
      </c>
      <c r="J837" s="57" t="n">
        <f aca="false">IF(D837="Income",F837,-F837)</f>
        <v>-2014.14</v>
      </c>
    </row>
    <row r="838" customFormat="false" ht="15" hidden="false" customHeight="false" outlineLevel="0" collapsed="false">
      <c r="A838" s="54" t="s">
        <v>1050</v>
      </c>
      <c r="B838" s="54" t="s">
        <v>216</v>
      </c>
      <c r="C838" s="54" t="s">
        <v>131</v>
      </c>
      <c r="D838" s="54" t="s">
        <v>188</v>
      </c>
      <c r="E838" s="54" t="s">
        <v>121</v>
      </c>
      <c r="F838" s="55" t="n">
        <v>87807.61</v>
      </c>
      <c r="G838" s="54" t="s">
        <v>131</v>
      </c>
      <c r="H838" s="56" t="n">
        <f aca="false">VLOOKUP(E838,Treatment_Table!$B$5:$E$11,4,FALSE())</f>
        <v>0</v>
      </c>
      <c r="I838" s="57" t="n">
        <f aca="false">F838*H838</f>
        <v>0</v>
      </c>
      <c r="J838" s="57" t="n">
        <f aca="false">IF(D838="Income",F838,-F838)</f>
        <v>-87807.61</v>
      </c>
    </row>
    <row r="839" customFormat="false" ht="15" hidden="false" customHeight="false" outlineLevel="0" collapsed="false">
      <c r="A839" s="54" t="s">
        <v>1051</v>
      </c>
      <c r="B839" s="54" t="s">
        <v>210</v>
      </c>
      <c r="C839" s="54" t="s">
        <v>124</v>
      </c>
      <c r="D839" s="54" t="s">
        <v>188</v>
      </c>
      <c r="E839" s="54" t="s">
        <v>121</v>
      </c>
      <c r="F839" s="55" t="n">
        <v>25242.23</v>
      </c>
      <c r="G839" s="54" t="s">
        <v>124</v>
      </c>
      <c r="H839" s="56" t="n">
        <f aca="false">VLOOKUP(E839,Treatment_Table!$B$5:$E$11,4,FALSE())</f>
        <v>0</v>
      </c>
      <c r="I839" s="57" t="n">
        <f aca="false">F839*H839</f>
        <v>0</v>
      </c>
      <c r="J839" s="57" t="n">
        <f aca="false">IF(D839="Income",F839,-F839)</f>
        <v>-25242.23</v>
      </c>
    </row>
    <row r="840" customFormat="false" ht="15" hidden="false" customHeight="false" outlineLevel="0" collapsed="false">
      <c r="A840" s="54" t="s">
        <v>1052</v>
      </c>
      <c r="B840" s="54" t="s">
        <v>208</v>
      </c>
      <c r="C840" s="54" t="s">
        <v>131</v>
      </c>
      <c r="D840" s="54" t="s">
        <v>188</v>
      </c>
      <c r="E840" s="54" t="s">
        <v>121</v>
      </c>
      <c r="F840" s="55" t="n">
        <v>48709.9</v>
      </c>
      <c r="G840" s="54" t="s">
        <v>131</v>
      </c>
      <c r="H840" s="56" t="n">
        <f aca="false">VLOOKUP(E840,Treatment_Table!$B$5:$E$11,4,FALSE())</f>
        <v>0</v>
      </c>
      <c r="I840" s="57" t="n">
        <f aca="false">F840*H840</f>
        <v>0</v>
      </c>
      <c r="J840" s="57" t="n">
        <f aca="false">IF(D840="Income",F840,-F840)</f>
        <v>-48709.9</v>
      </c>
    </row>
    <row r="841" customFormat="false" ht="15" hidden="false" customHeight="false" outlineLevel="0" collapsed="false">
      <c r="A841" s="54" t="s">
        <v>1053</v>
      </c>
      <c r="B841" s="54" t="s">
        <v>216</v>
      </c>
      <c r="C841" s="54" t="s">
        <v>129</v>
      </c>
      <c r="D841" s="54" t="s">
        <v>188</v>
      </c>
      <c r="E841" s="54" t="s">
        <v>121</v>
      </c>
      <c r="F841" s="55" t="n">
        <v>17950.96</v>
      </c>
      <c r="G841" s="54" t="s">
        <v>129</v>
      </c>
      <c r="H841" s="56" t="n">
        <f aca="false">VLOOKUP(E841,Treatment_Table!$B$5:$E$11,4,FALSE())</f>
        <v>0</v>
      </c>
      <c r="I841" s="57" t="n">
        <f aca="false">F841*H841</f>
        <v>0</v>
      </c>
      <c r="J841" s="57" t="n">
        <f aca="false">IF(D841="Income",F841,-F841)</f>
        <v>-17950.96</v>
      </c>
    </row>
    <row r="842" customFormat="false" ht="15" hidden="false" customHeight="false" outlineLevel="0" collapsed="false">
      <c r="A842" s="54" t="s">
        <v>1054</v>
      </c>
      <c r="B842" s="54" t="s">
        <v>247</v>
      </c>
      <c r="C842" s="54" t="s">
        <v>123</v>
      </c>
      <c r="D842" s="54" t="s">
        <v>188</v>
      </c>
      <c r="E842" s="54" t="s">
        <v>121</v>
      </c>
      <c r="F842" s="55" t="n">
        <v>102360.26</v>
      </c>
      <c r="G842" s="54" t="s">
        <v>123</v>
      </c>
      <c r="H842" s="56" t="n">
        <f aca="false">VLOOKUP(E842,Treatment_Table!$B$5:$E$11,4,FALSE())</f>
        <v>0</v>
      </c>
      <c r="I842" s="57" t="n">
        <f aca="false">F842*H842</f>
        <v>0</v>
      </c>
      <c r="J842" s="57" t="n">
        <f aca="false">IF(D842="Income",F842,-F842)</f>
        <v>-102360.26</v>
      </c>
    </row>
    <row r="843" customFormat="false" ht="15" hidden="false" customHeight="false" outlineLevel="0" collapsed="false">
      <c r="A843" s="54" t="s">
        <v>1055</v>
      </c>
      <c r="B843" s="54" t="s">
        <v>228</v>
      </c>
      <c r="C843" s="54" t="s">
        <v>131</v>
      </c>
      <c r="D843" s="54" t="s">
        <v>188</v>
      </c>
      <c r="E843" s="54" t="s">
        <v>121</v>
      </c>
      <c r="F843" s="55" t="n">
        <v>73065.64</v>
      </c>
      <c r="G843" s="54" t="s">
        <v>131</v>
      </c>
      <c r="H843" s="56" t="n">
        <f aca="false">VLOOKUP(E843,Treatment_Table!$B$5:$E$11,4,FALSE())</f>
        <v>0</v>
      </c>
      <c r="I843" s="57" t="n">
        <f aca="false">F843*H843</f>
        <v>0</v>
      </c>
      <c r="J843" s="57" t="n">
        <f aca="false">IF(D843="Income",F843,-F843)</f>
        <v>-73065.64</v>
      </c>
    </row>
    <row r="844" customFormat="false" ht="15" hidden="false" customHeight="false" outlineLevel="0" collapsed="false">
      <c r="A844" s="54" t="s">
        <v>1056</v>
      </c>
      <c r="B844" s="54" t="s">
        <v>214</v>
      </c>
      <c r="C844" s="54" t="s">
        <v>129</v>
      </c>
      <c r="D844" s="54" t="s">
        <v>188</v>
      </c>
      <c r="E844" s="54" t="s">
        <v>121</v>
      </c>
      <c r="F844" s="55" t="n">
        <v>17868.48</v>
      </c>
      <c r="G844" s="54" t="s">
        <v>129</v>
      </c>
      <c r="H844" s="56" t="n">
        <f aca="false">VLOOKUP(E844,Treatment_Table!$B$5:$E$11,4,FALSE())</f>
        <v>0</v>
      </c>
      <c r="I844" s="57" t="n">
        <f aca="false">F844*H844</f>
        <v>0</v>
      </c>
      <c r="J844" s="57" t="n">
        <f aca="false">IF(D844="Income",F844,-F844)</f>
        <v>-17868.48</v>
      </c>
    </row>
    <row r="845" customFormat="false" ht="15" hidden="false" customHeight="false" outlineLevel="0" collapsed="false">
      <c r="A845" s="54" t="s">
        <v>1057</v>
      </c>
      <c r="B845" s="54" t="s">
        <v>216</v>
      </c>
      <c r="C845" s="54" t="s">
        <v>130</v>
      </c>
      <c r="D845" s="54" t="s">
        <v>188</v>
      </c>
      <c r="E845" s="54" t="s">
        <v>121</v>
      </c>
      <c r="F845" s="55" t="n">
        <v>13070.74</v>
      </c>
      <c r="G845" s="54" t="s">
        <v>130</v>
      </c>
      <c r="H845" s="56" t="n">
        <f aca="false">VLOOKUP(E845,Treatment_Table!$B$5:$E$11,4,FALSE())</f>
        <v>0</v>
      </c>
      <c r="I845" s="57" t="n">
        <f aca="false">F845*H845</f>
        <v>0</v>
      </c>
      <c r="J845" s="57" t="n">
        <f aca="false">IF(D845="Income",F845,-F845)</f>
        <v>-13070.74</v>
      </c>
    </row>
    <row r="846" customFormat="false" ht="15" hidden="false" customHeight="false" outlineLevel="0" collapsed="false">
      <c r="A846" s="54" t="s">
        <v>1058</v>
      </c>
      <c r="B846" s="54" t="s">
        <v>218</v>
      </c>
      <c r="C846" s="54" t="s">
        <v>131</v>
      </c>
      <c r="D846" s="54" t="s">
        <v>188</v>
      </c>
      <c r="E846" s="54" t="s">
        <v>121</v>
      </c>
      <c r="F846" s="55" t="n">
        <v>62742.44</v>
      </c>
      <c r="G846" s="54" t="s">
        <v>131</v>
      </c>
      <c r="H846" s="56" t="n">
        <f aca="false">VLOOKUP(E846,Treatment_Table!$B$5:$E$11,4,FALSE())</f>
        <v>0</v>
      </c>
      <c r="I846" s="57" t="n">
        <f aca="false">F846*H846</f>
        <v>0</v>
      </c>
      <c r="J846" s="57" t="n">
        <f aca="false">IF(D846="Income",F846,-F846)</f>
        <v>-62742.44</v>
      </c>
    </row>
    <row r="847" customFormat="false" ht="15" hidden="false" customHeight="false" outlineLevel="0" collapsed="false">
      <c r="A847" s="54" t="s">
        <v>1059</v>
      </c>
      <c r="B847" s="54" t="s">
        <v>208</v>
      </c>
      <c r="C847" s="54" t="s">
        <v>123</v>
      </c>
      <c r="D847" s="54" t="s">
        <v>188</v>
      </c>
      <c r="E847" s="54" t="s">
        <v>121</v>
      </c>
      <c r="F847" s="55" t="n">
        <v>80720.81</v>
      </c>
      <c r="G847" s="54" t="s">
        <v>123</v>
      </c>
      <c r="H847" s="56" t="n">
        <f aca="false">VLOOKUP(E847,Treatment_Table!$B$5:$E$11,4,FALSE())</f>
        <v>0</v>
      </c>
      <c r="I847" s="57" t="n">
        <f aca="false">F847*H847</f>
        <v>0</v>
      </c>
      <c r="J847" s="57" t="n">
        <f aca="false">IF(D847="Income",F847,-F847)</f>
        <v>-80720.81</v>
      </c>
    </row>
    <row r="848" customFormat="false" ht="15" hidden="false" customHeight="false" outlineLevel="0" collapsed="false">
      <c r="A848" s="54" t="s">
        <v>1060</v>
      </c>
      <c r="B848" s="54" t="s">
        <v>214</v>
      </c>
      <c r="C848" s="54" t="s">
        <v>131</v>
      </c>
      <c r="D848" s="54" t="s">
        <v>188</v>
      </c>
      <c r="E848" s="54" t="s">
        <v>121</v>
      </c>
      <c r="F848" s="55" t="n">
        <v>88855.86</v>
      </c>
      <c r="G848" s="54" t="s">
        <v>131</v>
      </c>
      <c r="H848" s="56" t="n">
        <f aca="false">VLOOKUP(E848,Treatment_Table!$B$5:$E$11,4,FALSE())</f>
        <v>0</v>
      </c>
      <c r="I848" s="57" t="n">
        <f aca="false">F848*H848</f>
        <v>0</v>
      </c>
      <c r="J848" s="57" t="n">
        <f aca="false">IF(D848="Income",F848,-F848)</f>
        <v>-88855.86</v>
      </c>
    </row>
    <row r="849" customFormat="false" ht="15" hidden="false" customHeight="false" outlineLevel="0" collapsed="false">
      <c r="A849" s="54" t="s">
        <v>1061</v>
      </c>
      <c r="B849" s="54" t="s">
        <v>230</v>
      </c>
      <c r="C849" s="54" t="s">
        <v>128</v>
      </c>
      <c r="D849" s="54" t="s">
        <v>188</v>
      </c>
      <c r="E849" s="54" t="s">
        <v>121</v>
      </c>
      <c r="F849" s="55" t="n">
        <v>17892.03</v>
      </c>
      <c r="G849" s="54" t="s">
        <v>128</v>
      </c>
      <c r="H849" s="56" t="n">
        <f aca="false">VLOOKUP(E849,Treatment_Table!$B$5:$E$11,4,FALSE())</f>
        <v>0</v>
      </c>
      <c r="I849" s="57" t="n">
        <f aca="false">F849*H849</f>
        <v>0</v>
      </c>
      <c r="J849" s="57" t="n">
        <f aca="false">IF(D849="Income",F849,-F849)</f>
        <v>-17892.03</v>
      </c>
    </row>
    <row r="850" customFormat="false" ht="15" hidden="false" customHeight="false" outlineLevel="0" collapsed="false">
      <c r="A850" s="54" t="s">
        <v>1062</v>
      </c>
      <c r="B850" s="54" t="s">
        <v>210</v>
      </c>
      <c r="C850" s="54" t="s">
        <v>138</v>
      </c>
      <c r="D850" s="54" t="s">
        <v>188</v>
      </c>
      <c r="E850" s="54" t="s">
        <v>139</v>
      </c>
      <c r="F850" s="55" t="n">
        <v>4060.4</v>
      </c>
      <c r="G850" s="54" t="s">
        <v>138</v>
      </c>
      <c r="H850" s="56" t="n">
        <f aca="false">VLOOKUP(E850,Treatment_Table!$B$5:$E$11,4,FALSE())</f>
        <v>0.5</v>
      </c>
      <c r="I850" s="57" t="n">
        <f aca="false">F850*H850</f>
        <v>2030.2</v>
      </c>
      <c r="J850" s="57" t="n">
        <f aca="false">IF(D850="Income",F850,-F850)</f>
        <v>-4060.4</v>
      </c>
    </row>
    <row r="851" customFormat="false" ht="15" hidden="false" customHeight="false" outlineLevel="0" collapsed="false">
      <c r="A851" s="54" t="s">
        <v>1063</v>
      </c>
      <c r="B851" s="54" t="s">
        <v>230</v>
      </c>
      <c r="C851" s="54" t="s">
        <v>142</v>
      </c>
      <c r="D851" s="54" t="s">
        <v>188</v>
      </c>
      <c r="E851" s="54" t="s">
        <v>141</v>
      </c>
      <c r="F851" s="55" t="n">
        <v>45156.76</v>
      </c>
      <c r="G851" s="54" t="s">
        <v>142</v>
      </c>
      <c r="H851" s="56" t="n">
        <f aca="false">VLOOKUP(E851,Treatment_Table!$B$5:$E$11,4,FALSE())</f>
        <v>0</v>
      </c>
      <c r="I851" s="57" t="n">
        <f aca="false">F851*H851</f>
        <v>0</v>
      </c>
      <c r="J851" s="57" t="n">
        <f aca="false">IF(D851="Income",F851,-F851)</f>
        <v>-45156.76</v>
      </c>
    </row>
    <row r="852" customFormat="false" ht="15" hidden="false" customHeight="false" outlineLevel="0" collapsed="false">
      <c r="A852" s="54" t="s">
        <v>1064</v>
      </c>
      <c r="B852" s="54" t="s">
        <v>216</v>
      </c>
      <c r="C852" s="54" t="s">
        <v>138</v>
      </c>
      <c r="D852" s="54" t="s">
        <v>188</v>
      </c>
      <c r="E852" s="54" t="s">
        <v>139</v>
      </c>
      <c r="F852" s="55" t="n">
        <v>6726.15</v>
      </c>
      <c r="G852" s="54" t="s">
        <v>138</v>
      </c>
      <c r="H852" s="56" t="n">
        <f aca="false">VLOOKUP(E852,Treatment_Table!$B$5:$E$11,4,FALSE())</f>
        <v>0.5</v>
      </c>
      <c r="I852" s="57" t="n">
        <f aca="false">F852*H852</f>
        <v>3363.075</v>
      </c>
      <c r="J852" s="57" t="n">
        <f aca="false">IF(D852="Income",F852,-F852)</f>
        <v>-6726.15</v>
      </c>
    </row>
    <row r="853" customFormat="false" ht="15" hidden="false" customHeight="false" outlineLevel="0" collapsed="false">
      <c r="A853" s="54" t="s">
        <v>1065</v>
      </c>
      <c r="B853" s="54" t="s">
        <v>223</v>
      </c>
      <c r="C853" s="54" t="s">
        <v>123</v>
      </c>
      <c r="D853" s="54" t="s">
        <v>188</v>
      </c>
      <c r="E853" s="54" t="s">
        <v>121</v>
      </c>
      <c r="F853" s="55" t="n">
        <v>162459.11</v>
      </c>
      <c r="G853" s="54" t="s">
        <v>123</v>
      </c>
      <c r="H853" s="56" t="n">
        <f aca="false">VLOOKUP(E853,Treatment_Table!$B$5:$E$11,4,FALSE())</f>
        <v>0</v>
      </c>
      <c r="I853" s="57" t="n">
        <f aca="false">F853*H853</f>
        <v>0</v>
      </c>
      <c r="J853" s="57" t="n">
        <f aca="false">IF(D853="Income",F853,-F853)</f>
        <v>-162459.11</v>
      </c>
    </row>
    <row r="854" customFormat="false" ht="15" hidden="false" customHeight="false" outlineLevel="0" collapsed="false">
      <c r="A854" s="54" t="s">
        <v>1066</v>
      </c>
      <c r="B854" s="54" t="s">
        <v>205</v>
      </c>
      <c r="C854" s="54" t="s">
        <v>129</v>
      </c>
      <c r="D854" s="54" t="s">
        <v>188</v>
      </c>
      <c r="E854" s="54" t="s">
        <v>121</v>
      </c>
      <c r="F854" s="55" t="n">
        <v>36114.33</v>
      </c>
      <c r="G854" s="54" t="s">
        <v>129</v>
      </c>
      <c r="H854" s="56" t="n">
        <f aca="false">VLOOKUP(E854,Treatment_Table!$B$5:$E$11,4,FALSE())</f>
        <v>0</v>
      </c>
      <c r="I854" s="57" t="n">
        <f aca="false">F854*H854</f>
        <v>0</v>
      </c>
      <c r="J854" s="57" t="n">
        <f aca="false">IF(D854="Income",F854,-F854)</f>
        <v>-36114.33</v>
      </c>
    </row>
    <row r="855" customFormat="false" ht="15" hidden="false" customHeight="false" outlineLevel="0" collapsed="false">
      <c r="A855" s="54" t="s">
        <v>1067</v>
      </c>
      <c r="B855" s="54" t="s">
        <v>210</v>
      </c>
      <c r="C855" s="54" t="s">
        <v>123</v>
      </c>
      <c r="D855" s="54" t="s">
        <v>188</v>
      </c>
      <c r="E855" s="54" t="s">
        <v>121</v>
      </c>
      <c r="F855" s="55" t="n">
        <v>204557.64</v>
      </c>
      <c r="G855" s="54" t="s">
        <v>123</v>
      </c>
      <c r="H855" s="56" t="n">
        <f aca="false">VLOOKUP(E855,Treatment_Table!$B$5:$E$11,4,FALSE())</f>
        <v>0</v>
      </c>
      <c r="I855" s="57" t="n">
        <f aca="false">F855*H855</f>
        <v>0</v>
      </c>
      <c r="J855" s="57" t="n">
        <f aca="false">IF(D855="Income",F855,-F855)</f>
        <v>-204557.64</v>
      </c>
    </row>
    <row r="856" customFormat="false" ht="15" hidden="false" customHeight="false" outlineLevel="0" collapsed="false">
      <c r="A856" s="54" t="s">
        <v>1068</v>
      </c>
      <c r="B856" s="54" t="s">
        <v>243</v>
      </c>
      <c r="C856" s="54" t="s">
        <v>131</v>
      </c>
      <c r="D856" s="54" t="s">
        <v>188</v>
      </c>
      <c r="E856" s="54" t="s">
        <v>121</v>
      </c>
      <c r="F856" s="55" t="n">
        <v>201531.48</v>
      </c>
      <c r="G856" s="54" t="s">
        <v>131</v>
      </c>
      <c r="H856" s="56" t="n">
        <f aca="false">VLOOKUP(E856,Treatment_Table!$B$5:$E$11,4,FALSE())</f>
        <v>0</v>
      </c>
      <c r="I856" s="57" t="n">
        <f aca="false">F856*H856</f>
        <v>0</v>
      </c>
      <c r="J856" s="57" t="n">
        <f aca="false">IF(D856="Income",F856,-F856)</f>
        <v>-201531.48</v>
      </c>
    </row>
    <row r="857" customFormat="false" ht="15" hidden="false" customHeight="false" outlineLevel="0" collapsed="false">
      <c r="A857" s="54" t="s">
        <v>1069</v>
      </c>
      <c r="B857" s="54" t="s">
        <v>218</v>
      </c>
      <c r="C857" s="54" t="s">
        <v>131</v>
      </c>
      <c r="D857" s="54" t="s">
        <v>188</v>
      </c>
      <c r="E857" s="54" t="s">
        <v>121</v>
      </c>
      <c r="F857" s="55" t="n">
        <v>79814.61</v>
      </c>
      <c r="G857" s="54" t="s">
        <v>131</v>
      </c>
      <c r="H857" s="56" t="n">
        <f aca="false">VLOOKUP(E857,Treatment_Table!$B$5:$E$11,4,FALSE())</f>
        <v>0</v>
      </c>
      <c r="I857" s="57" t="n">
        <f aca="false">F857*H857</f>
        <v>0</v>
      </c>
      <c r="J857" s="57" t="n">
        <f aca="false">IF(D857="Income",F857,-F857)</f>
        <v>-79814.61</v>
      </c>
    </row>
    <row r="858" customFormat="false" ht="15" hidden="false" customHeight="false" outlineLevel="0" collapsed="false">
      <c r="A858" s="54" t="s">
        <v>1070</v>
      </c>
      <c r="B858" s="54" t="s">
        <v>223</v>
      </c>
      <c r="C858" s="54" t="s">
        <v>123</v>
      </c>
      <c r="D858" s="54" t="s">
        <v>188</v>
      </c>
      <c r="E858" s="54" t="s">
        <v>121</v>
      </c>
      <c r="F858" s="55" t="n">
        <v>127151.95</v>
      </c>
      <c r="G858" s="54" t="s">
        <v>123</v>
      </c>
      <c r="H858" s="56" t="n">
        <f aca="false">VLOOKUP(E858,Treatment_Table!$B$5:$E$11,4,FALSE())</f>
        <v>0</v>
      </c>
      <c r="I858" s="57" t="n">
        <f aca="false">F858*H858</f>
        <v>0</v>
      </c>
      <c r="J858" s="57" t="n">
        <f aca="false">IF(D858="Income",F858,-F858)</f>
        <v>-127151.95</v>
      </c>
    </row>
    <row r="859" customFormat="false" ht="15" hidden="false" customHeight="false" outlineLevel="0" collapsed="false">
      <c r="A859" s="54" t="s">
        <v>1071</v>
      </c>
      <c r="B859" s="54" t="s">
        <v>235</v>
      </c>
      <c r="C859" s="54" t="s">
        <v>130</v>
      </c>
      <c r="D859" s="54" t="s">
        <v>188</v>
      </c>
      <c r="E859" s="54" t="s">
        <v>121</v>
      </c>
      <c r="F859" s="55" t="n">
        <v>125246.63</v>
      </c>
      <c r="G859" s="54" t="s">
        <v>130</v>
      </c>
      <c r="H859" s="56" t="n">
        <f aca="false">VLOOKUP(E859,Treatment_Table!$B$5:$E$11,4,FALSE())</f>
        <v>0</v>
      </c>
      <c r="I859" s="57" t="n">
        <f aca="false">F859*H859</f>
        <v>0</v>
      </c>
      <c r="J859" s="57" t="n">
        <f aca="false">IF(D859="Income",F859,-F859)</f>
        <v>-125246.63</v>
      </c>
    </row>
    <row r="860" customFormat="false" ht="15" hidden="false" customHeight="false" outlineLevel="0" collapsed="false">
      <c r="A860" s="54" t="s">
        <v>1072</v>
      </c>
      <c r="B860" s="54" t="s">
        <v>228</v>
      </c>
      <c r="C860" s="54" t="s">
        <v>132</v>
      </c>
      <c r="D860" s="54" t="s">
        <v>188</v>
      </c>
      <c r="E860" s="54" t="s">
        <v>121</v>
      </c>
      <c r="F860" s="55" t="n">
        <v>18267.94</v>
      </c>
      <c r="G860" s="54" t="s">
        <v>132</v>
      </c>
      <c r="H860" s="56" t="n">
        <f aca="false">VLOOKUP(E860,Treatment_Table!$B$5:$E$11,4,FALSE())</f>
        <v>0</v>
      </c>
      <c r="I860" s="57" t="n">
        <f aca="false">F860*H860</f>
        <v>0</v>
      </c>
      <c r="J860" s="57" t="n">
        <f aca="false">IF(D860="Income",F860,-F860)</f>
        <v>-18267.94</v>
      </c>
    </row>
    <row r="861" customFormat="false" ht="15" hidden="false" customHeight="false" outlineLevel="0" collapsed="false">
      <c r="A861" s="54" t="s">
        <v>1073</v>
      </c>
      <c r="B861" s="54" t="s">
        <v>208</v>
      </c>
      <c r="C861" s="54" t="s">
        <v>123</v>
      </c>
      <c r="D861" s="54" t="s">
        <v>188</v>
      </c>
      <c r="E861" s="54" t="s">
        <v>121</v>
      </c>
      <c r="F861" s="55" t="n">
        <v>156677.12</v>
      </c>
      <c r="G861" s="54" t="s">
        <v>123</v>
      </c>
      <c r="H861" s="56" t="n">
        <f aca="false">VLOOKUP(E861,Treatment_Table!$B$5:$E$11,4,FALSE())</f>
        <v>0</v>
      </c>
      <c r="I861" s="57" t="n">
        <f aca="false">F861*H861</f>
        <v>0</v>
      </c>
      <c r="J861" s="57" t="n">
        <f aca="false">IF(D861="Income",F861,-F861)</f>
        <v>-156677.12</v>
      </c>
    </row>
    <row r="862" customFormat="false" ht="15" hidden="false" customHeight="false" outlineLevel="0" collapsed="false">
      <c r="A862" s="54" t="s">
        <v>1074</v>
      </c>
      <c r="B862" s="54" t="s">
        <v>235</v>
      </c>
      <c r="C862" s="54" t="s">
        <v>123</v>
      </c>
      <c r="D862" s="54" t="s">
        <v>188</v>
      </c>
      <c r="E862" s="54" t="s">
        <v>121</v>
      </c>
      <c r="F862" s="55" t="n">
        <v>58240.78</v>
      </c>
      <c r="G862" s="54" t="s">
        <v>123</v>
      </c>
      <c r="H862" s="56" t="n">
        <f aca="false">VLOOKUP(E862,Treatment_Table!$B$5:$E$11,4,FALSE())</f>
        <v>0</v>
      </c>
      <c r="I862" s="57" t="n">
        <f aca="false">F862*H862</f>
        <v>0</v>
      </c>
      <c r="J862" s="57" t="n">
        <f aca="false">IF(D862="Income",F862,-F862)</f>
        <v>-58240.78</v>
      </c>
    </row>
    <row r="863" customFormat="false" ht="15" hidden="false" customHeight="false" outlineLevel="0" collapsed="false">
      <c r="A863" s="54" t="s">
        <v>1075</v>
      </c>
      <c r="B863" s="54" t="s">
        <v>230</v>
      </c>
      <c r="C863" s="54" t="s">
        <v>123</v>
      </c>
      <c r="D863" s="54" t="s">
        <v>188</v>
      </c>
      <c r="E863" s="54" t="s">
        <v>121</v>
      </c>
      <c r="F863" s="55" t="n">
        <v>161989.64</v>
      </c>
      <c r="G863" s="54" t="s">
        <v>123</v>
      </c>
      <c r="H863" s="56" t="n">
        <f aca="false">VLOOKUP(E863,Treatment_Table!$B$5:$E$11,4,FALSE())</f>
        <v>0</v>
      </c>
      <c r="I863" s="57" t="n">
        <f aca="false">F863*H863</f>
        <v>0</v>
      </c>
      <c r="J863" s="57" t="n">
        <f aca="false">IF(D863="Income",F863,-F863)</f>
        <v>-161989.64</v>
      </c>
    </row>
    <row r="864" customFormat="false" ht="15" hidden="false" customHeight="false" outlineLevel="0" collapsed="false">
      <c r="A864" s="54" t="s">
        <v>1076</v>
      </c>
      <c r="B864" s="54" t="s">
        <v>230</v>
      </c>
      <c r="C864" s="54" t="s">
        <v>138</v>
      </c>
      <c r="D864" s="54" t="s">
        <v>188</v>
      </c>
      <c r="E864" s="54" t="s">
        <v>139</v>
      </c>
      <c r="F864" s="55" t="n">
        <v>5450.07</v>
      </c>
      <c r="G864" s="54" t="s">
        <v>138</v>
      </c>
      <c r="H864" s="56" t="n">
        <f aca="false">VLOOKUP(E864,Treatment_Table!$B$5:$E$11,4,FALSE())</f>
        <v>0.5</v>
      </c>
      <c r="I864" s="57" t="n">
        <f aca="false">F864*H864</f>
        <v>2725.035</v>
      </c>
      <c r="J864" s="57" t="n">
        <f aca="false">IF(D864="Income",F864,-F864)</f>
        <v>-5450.07</v>
      </c>
    </row>
    <row r="865" customFormat="false" ht="15" hidden="false" customHeight="false" outlineLevel="0" collapsed="false">
      <c r="A865" s="54" t="s">
        <v>1077</v>
      </c>
      <c r="B865" s="54" t="s">
        <v>205</v>
      </c>
      <c r="C865" s="54" t="s">
        <v>137</v>
      </c>
      <c r="D865" s="54" t="s">
        <v>188</v>
      </c>
      <c r="E865" s="54" t="s">
        <v>134</v>
      </c>
      <c r="F865" s="55" t="n">
        <v>10214.07</v>
      </c>
      <c r="G865" s="54" t="s">
        <v>137</v>
      </c>
      <c r="H865" s="56" t="n">
        <f aca="false">VLOOKUP(E865,Treatment_Table!$B$5:$E$11,4,FALSE())</f>
        <v>1</v>
      </c>
      <c r="I865" s="57" t="n">
        <f aca="false">F865*H865</f>
        <v>10214.07</v>
      </c>
      <c r="J865" s="57" t="n">
        <f aca="false">IF(D865="Income",F865,-F865)</f>
        <v>-10214.07</v>
      </c>
    </row>
    <row r="866" customFormat="false" ht="15" hidden="false" customHeight="false" outlineLevel="0" collapsed="false">
      <c r="A866" s="54" t="s">
        <v>1078</v>
      </c>
      <c r="B866" s="54" t="s">
        <v>243</v>
      </c>
      <c r="C866" s="54" t="s">
        <v>123</v>
      </c>
      <c r="D866" s="54" t="s">
        <v>188</v>
      </c>
      <c r="E866" s="54" t="s">
        <v>121</v>
      </c>
      <c r="F866" s="55" t="n">
        <v>160472.79</v>
      </c>
      <c r="G866" s="54" t="s">
        <v>123</v>
      </c>
      <c r="H866" s="56" t="n">
        <f aca="false">VLOOKUP(E866,Treatment_Table!$B$5:$E$11,4,FALSE())</f>
        <v>0</v>
      </c>
      <c r="I866" s="57" t="n">
        <f aca="false">F866*H866</f>
        <v>0</v>
      </c>
      <c r="J866" s="57" t="n">
        <f aca="false">IF(D866="Income",F866,-F866)</f>
        <v>-160472.79</v>
      </c>
    </row>
    <row r="867" customFormat="false" ht="15" hidden="false" customHeight="false" outlineLevel="0" collapsed="false">
      <c r="A867" s="54" t="s">
        <v>1079</v>
      </c>
      <c r="B867" s="54" t="s">
        <v>228</v>
      </c>
      <c r="C867" s="54" t="s">
        <v>123</v>
      </c>
      <c r="D867" s="54" t="s">
        <v>188</v>
      </c>
      <c r="E867" s="54" t="s">
        <v>121</v>
      </c>
      <c r="F867" s="55" t="n">
        <v>121943.06</v>
      </c>
      <c r="G867" s="54" t="s">
        <v>123</v>
      </c>
      <c r="H867" s="56" t="n">
        <f aca="false">VLOOKUP(E867,Treatment_Table!$B$5:$E$11,4,FALSE())</f>
        <v>0</v>
      </c>
      <c r="I867" s="57" t="n">
        <f aca="false">F867*H867</f>
        <v>0</v>
      </c>
      <c r="J867" s="57" t="n">
        <f aca="false">IF(D867="Income",F867,-F867)</f>
        <v>-121943.06</v>
      </c>
    </row>
    <row r="868" customFormat="false" ht="15" hidden="false" customHeight="false" outlineLevel="0" collapsed="false">
      <c r="A868" s="54" t="s">
        <v>1080</v>
      </c>
      <c r="B868" s="54" t="s">
        <v>218</v>
      </c>
      <c r="C868" s="54" t="s">
        <v>131</v>
      </c>
      <c r="D868" s="54" t="s">
        <v>188</v>
      </c>
      <c r="E868" s="54" t="s">
        <v>121</v>
      </c>
      <c r="F868" s="55" t="n">
        <v>38222.63</v>
      </c>
      <c r="G868" s="54" t="s">
        <v>131</v>
      </c>
      <c r="H868" s="56" t="n">
        <f aca="false">VLOOKUP(E868,Treatment_Table!$B$5:$E$11,4,FALSE())</f>
        <v>0</v>
      </c>
      <c r="I868" s="57" t="n">
        <f aca="false">F868*H868</f>
        <v>0</v>
      </c>
      <c r="J868" s="57" t="n">
        <f aca="false">IF(D868="Income",F868,-F868)</f>
        <v>-38222.63</v>
      </c>
    </row>
    <row r="869" customFormat="false" ht="15" hidden="false" customHeight="false" outlineLevel="0" collapsed="false">
      <c r="A869" s="54" t="s">
        <v>1081</v>
      </c>
      <c r="B869" s="54" t="s">
        <v>247</v>
      </c>
      <c r="C869" s="54" t="s">
        <v>123</v>
      </c>
      <c r="D869" s="54" t="s">
        <v>188</v>
      </c>
      <c r="E869" s="54" t="s">
        <v>121</v>
      </c>
      <c r="F869" s="55" t="n">
        <v>52227.38</v>
      </c>
      <c r="G869" s="54" t="s">
        <v>123</v>
      </c>
      <c r="H869" s="56" t="n">
        <f aca="false">VLOOKUP(E869,Treatment_Table!$B$5:$E$11,4,FALSE())</f>
        <v>0</v>
      </c>
      <c r="I869" s="57" t="n">
        <f aca="false">F869*H869</f>
        <v>0</v>
      </c>
      <c r="J869" s="57" t="n">
        <f aca="false">IF(D869="Income",F869,-F869)</f>
        <v>-52227.38</v>
      </c>
    </row>
    <row r="870" customFormat="false" ht="15" hidden="false" customHeight="false" outlineLevel="0" collapsed="false">
      <c r="A870" s="54" t="s">
        <v>1082</v>
      </c>
      <c r="B870" s="54" t="s">
        <v>243</v>
      </c>
      <c r="C870" s="54" t="s">
        <v>124</v>
      </c>
      <c r="D870" s="54" t="s">
        <v>188</v>
      </c>
      <c r="E870" s="54" t="s">
        <v>121</v>
      </c>
      <c r="F870" s="55" t="n">
        <v>35625.42</v>
      </c>
      <c r="G870" s="54" t="s">
        <v>124</v>
      </c>
      <c r="H870" s="56" t="n">
        <f aca="false">VLOOKUP(E870,Treatment_Table!$B$5:$E$11,4,FALSE())</f>
        <v>0</v>
      </c>
      <c r="I870" s="57" t="n">
        <f aca="false">F870*H870</f>
        <v>0</v>
      </c>
      <c r="J870" s="57" t="n">
        <f aca="false">IF(D870="Income",F870,-F870)</f>
        <v>-35625.42</v>
      </c>
    </row>
    <row r="871" customFormat="false" ht="15" hidden="false" customHeight="false" outlineLevel="0" collapsed="false">
      <c r="A871" s="54" t="s">
        <v>1083</v>
      </c>
      <c r="B871" s="54" t="s">
        <v>243</v>
      </c>
      <c r="C871" s="54" t="s">
        <v>123</v>
      </c>
      <c r="D871" s="54" t="s">
        <v>188</v>
      </c>
      <c r="E871" s="54" t="s">
        <v>121</v>
      </c>
      <c r="F871" s="55" t="n">
        <v>60144.72</v>
      </c>
      <c r="G871" s="54" t="s">
        <v>123</v>
      </c>
      <c r="H871" s="56" t="n">
        <f aca="false">VLOOKUP(E871,Treatment_Table!$B$5:$E$11,4,FALSE())</f>
        <v>0</v>
      </c>
      <c r="I871" s="57" t="n">
        <f aca="false">F871*H871</f>
        <v>0</v>
      </c>
      <c r="J871" s="57" t="n">
        <f aca="false">IF(D871="Income",F871,-F871)</f>
        <v>-60144.72</v>
      </c>
    </row>
    <row r="872" customFormat="false" ht="15" hidden="false" customHeight="false" outlineLevel="0" collapsed="false">
      <c r="A872" s="54" t="s">
        <v>1084</v>
      </c>
      <c r="B872" s="54" t="s">
        <v>210</v>
      </c>
      <c r="C872" s="54" t="s">
        <v>128</v>
      </c>
      <c r="D872" s="54" t="s">
        <v>188</v>
      </c>
      <c r="E872" s="54" t="s">
        <v>121</v>
      </c>
      <c r="F872" s="55" t="n">
        <v>25766.38</v>
      </c>
      <c r="G872" s="54" t="s">
        <v>128</v>
      </c>
      <c r="H872" s="56" t="n">
        <f aca="false">VLOOKUP(E872,Treatment_Table!$B$5:$E$11,4,FALSE())</f>
        <v>0</v>
      </c>
      <c r="I872" s="57" t="n">
        <f aca="false">F872*H872</f>
        <v>0</v>
      </c>
      <c r="J872" s="57" t="n">
        <f aca="false">IF(D872="Income",F872,-F872)</f>
        <v>-25766.38</v>
      </c>
    </row>
    <row r="873" customFormat="false" ht="15" hidden="false" customHeight="false" outlineLevel="0" collapsed="false">
      <c r="A873" s="54" t="s">
        <v>1085</v>
      </c>
      <c r="B873" s="54" t="s">
        <v>205</v>
      </c>
      <c r="C873" s="54" t="s">
        <v>123</v>
      </c>
      <c r="D873" s="54" t="s">
        <v>188</v>
      </c>
      <c r="E873" s="54" t="s">
        <v>121</v>
      </c>
      <c r="F873" s="55" t="n">
        <v>45880.43</v>
      </c>
      <c r="G873" s="54" t="s">
        <v>123</v>
      </c>
      <c r="H873" s="56" t="n">
        <f aca="false">VLOOKUP(E873,Treatment_Table!$B$5:$E$11,4,FALSE())</f>
        <v>0</v>
      </c>
      <c r="I873" s="57" t="n">
        <f aca="false">F873*H873</f>
        <v>0</v>
      </c>
      <c r="J873" s="57" t="n">
        <f aca="false">IF(D873="Income",F873,-F873)</f>
        <v>-45880.43</v>
      </c>
    </row>
    <row r="874" customFormat="false" ht="15" hidden="false" customHeight="false" outlineLevel="0" collapsed="false">
      <c r="A874" s="54" t="s">
        <v>1086</v>
      </c>
      <c r="B874" s="54" t="s">
        <v>214</v>
      </c>
      <c r="C874" s="54" t="s">
        <v>131</v>
      </c>
      <c r="D874" s="54" t="s">
        <v>188</v>
      </c>
      <c r="E874" s="54" t="s">
        <v>121</v>
      </c>
      <c r="F874" s="55" t="n">
        <v>64554.23</v>
      </c>
      <c r="G874" s="54" t="s">
        <v>131</v>
      </c>
      <c r="H874" s="56" t="n">
        <f aca="false">VLOOKUP(E874,Treatment_Table!$B$5:$E$11,4,FALSE())</f>
        <v>0</v>
      </c>
      <c r="I874" s="57" t="n">
        <f aca="false">F874*H874</f>
        <v>0</v>
      </c>
      <c r="J874" s="57" t="n">
        <f aca="false">IF(D874="Income",F874,-F874)</f>
        <v>-64554.23</v>
      </c>
    </row>
    <row r="875" customFormat="false" ht="15" hidden="false" customHeight="false" outlineLevel="0" collapsed="false">
      <c r="A875" s="54" t="s">
        <v>1087</v>
      </c>
      <c r="B875" s="54" t="s">
        <v>230</v>
      </c>
      <c r="C875" s="54" t="s">
        <v>127</v>
      </c>
      <c r="D875" s="54" t="s">
        <v>188</v>
      </c>
      <c r="E875" s="54" t="s">
        <v>121</v>
      </c>
      <c r="F875" s="55" t="n">
        <v>7250.43</v>
      </c>
      <c r="G875" s="54" t="s">
        <v>127</v>
      </c>
      <c r="H875" s="56" t="n">
        <f aca="false">VLOOKUP(E875,Treatment_Table!$B$5:$E$11,4,FALSE())</f>
        <v>0</v>
      </c>
      <c r="I875" s="57" t="n">
        <f aca="false">F875*H875</f>
        <v>0</v>
      </c>
      <c r="J875" s="57" t="n">
        <f aca="false">IF(D875="Income",F875,-F875)</f>
        <v>-7250.43</v>
      </c>
    </row>
    <row r="876" customFormat="false" ht="15" hidden="false" customHeight="false" outlineLevel="0" collapsed="false">
      <c r="A876" s="54" t="s">
        <v>1088</v>
      </c>
      <c r="B876" s="54" t="s">
        <v>208</v>
      </c>
      <c r="C876" s="54" t="s">
        <v>138</v>
      </c>
      <c r="D876" s="54" t="s">
        <v>188</v>
      </c>
      <c r="E876" s="54" t="s">
        <v>139</v>
      </c>
      <c r="F876" s="55" t="n">
        <v>13673.4</v>
      </c>
      <c r="G876" s="54" t="s">
        <v>138</v>
      </c>
      <c r="H876" s="56" t="n">
        <f aca="false">VLOOKUP(E876,Treatment_Table!$B$5:$E$11,4,FALSE())</f>
        <v>0.5</v>
      </c>
      <c r="I876" s="57" t="n">
        <f aca="false">F876*H876</f>
        <v>6836.7</v>
      </c>
      <c r="J876" s="57" t="n">
        <f aca="false">IF(D876="Income",F876,-F876)</f>
        <v>-13673.4</v>
      </c>
    </row>
    <row r="877" customFormat="false" ht="15" hidden="false" customHeight="false" outlineLevel="0" collapsed="false">
      <c r="A877" s="54" t="s">
        <v>1089</v>
      </c>
      <c r="B877" s="54" t="s">
        <v>214</v>
      </c>
      <c r="C877" s="54" t="s">
        <v>132</v>
      </c>
      <c r="D877" s="54" t="s">
        <v>188</v>
      </c>
      <c r="E877" s="54" t="s">
        <v>121</v>
      </c>
      <c r="F877" s="55" t="n">
        <v>2389.96</v>
      </c>
      <c r="G877" s="54" t="s">
        <v>132</v>
      </c>
      <c r="H877" s="56" t="n">
        <f aca="false">VLOOKUP(E877,Treatment_Table!$B$5:$E$11,4,FALSE())</f>
        <v>0</v>
      </c>
      <c r="I877" s="57" t="n">
        <f aca="false">F877*H877</f>
        <v>0</v>
      </c>
      <c r="J877" s="57" t="n">
        <f aca="false">IF(D877="Income",F877,-F877)</f>
        <v>-2389.96</v>
      </c>
    </row>
    <row r="878" customFormat="false" ht="15" hidden="false" customHeight="false" outlineLevel="0" collapsed="false">
      <c r="A878" s="54" t="s">
        <v>1090</v>
      </c>
      <c r="B878" s="54" t="s">
        <v>218</v>
      </c>
      <c r="C878" s="54" t="s">
        <v>123</v>
      </c>
      <c r="D878" s="54" t="s">
        <v>188</v>
      </c>
      <c r="E878" s="54" t="s">
        <v>121</v>
      </c>
      <c r="F878" s="55" t="n">
        <v>123580.38</v>
      </c>
      <c r="G878" s="54" t="s">
        <v>123</v>
      </c>
      <c r="H878" s="56" t="n">
        <f aca="false">VLOOKUP(E878,Treatment_Table!$B$5:$E$11,4,FALSE())</f>
        <v>0</v>
      </c>
      <c r="I878" s="57" t="n">
        <f aca="false">F878*H878</f>
        <v>0</v>
      </c>
      <c r="J878" s="57" t="n">
        <f aca="false">IF(D878="Income",F878,-F878)</f>
        <v>-123580.38</v>
      </c>
    </row>
    <row r="879" customFormat="false" ht="15" hidden="false" customHeight="false" outlineLevel="0" collapsed="false">
      <c r="A879" s="54" t="s">
        <v>1091</v>
      </c>
      <c r="B879" s="54" t="s">
        <v>243</v>
      </c>
      <c r="C879" s="54" t="s">
        <v>131</v>
      </c>
      <c r="D879" s="54" t="s">
        <v>188</v>
      </c>
      <c r="E879" s="54" t="s">
        <v>121</v>
      </c>
      <c r="F879" s="55" t="n">
        <v>129140.44</v>
      </c>
      <c r="G879" s="54" t="s">
        <v>131</v>
      </c>
      <c r="H879" s="56" t="n">
        <f aca="false">VLOOKUP(E879,Treatment_Table!$B$5:$E$11,4,FALSE())</f>
        <v>0</v>
      </c>
      <c r="I879" s="57" t="n">
        <f aca="false">F879*H879</f>
        <v>0</v>
      </c>
      <c r="J879" s="57" t="n">
        <f aca="false">IF(D879="Income",F879,-F879)</f>
        <v>-129140.44</v>
      </c>
    </row>
    <row r="880" customFormat="false" ht="15" hidden="false" customHeight="false" outlineLevel="0" collapsed="false">
      <c r="A880" s="54" t="s">
        <v>1092</v>
      </c>
      <c r="B880" s="54" t="s">
        <v>208</v>
      </c>
      <c r="C880" s="54" t="s">
        <v>129</v>
      </c>
      <c r="D880" s="54" t="s">
        <v>188</v>
      </c>
      <c r="E880" s="54" t="s">
        <v>121</v>
      </c>
      <c r="F880" s="55" t="n">
        <v>21720.55</v>
      </c>
      <c r="G880" s="54" t="s">
        <v>129</v>
      </c>
      <c r="H880" s="56" t="n">
        <f aca="false">VLOOKUP(E880,Treatment_Table!$B$5:$E$11,4,FALSE())</f>
        <v>0</v>
      </c>
      <c r="I880" s="57" t="n">
        <f aca="false">F880*H880</f>
        <v>0</v>
      </c>
      <c r="J880" s="57" t="n">
        <f aca="false">IF(D880="Income",F880,-F880)</f>
        <v>-21720.55</v>
      </c>
    </row>
    <row r="881" customFormat="false" ht="15" hidden="false" customHeight="false" outlineLevel="0" collapsed="false">
      <c r="A881" s="54" t="s">
        <v>1093</v>
      </c>
      <c r="B881" s="54" t="s">
        <v>214</v>
      </c>
      <c r="C881" s="54" t="s">
        <v>128</v>
      </c>
      <c r="D881" s="54" t="s">
        <v>188</v>
      </c>
      <c r="E881" s="54" t="s">
        <v>121</v>
      </c>
      <c r="F881" s="55" t="n">
        <v>50784.58</v>
      </c>
      <c r="G881" s="54" t="s">
        <v>128</v>
      </c>
      <c r="H881" s="56" t="n">
        <f aca="false">VLOOKUP(E881,Treatment_Table!$B$5:$E$11,4,FALSE())</f>
        <v>0</v>
      </c>
      <c r="I881" s="57" t="n">
        <f aca="false">F881*H881</f>
        <v>0</v>
      </c>
      <c r="J881" s="57" t="n">
        <f aca="false">IF(D881="Income",F881,-F881)</f>
        <v>-50784.58</v>
      </c>
    </row>
    <row r="882" customFormat="false" ht="15" hidden="false" customHeight="false" outlineLevel="0" collapsed="false">
      <c r="A882" s="54" t="s">
        <v>1094</v>
      </c>
      <c r="B882" s="54" t="s">
        <v>235</v>
      </c>
      <c r="C882" s="54" t="s">
        <v>131</v>
      </c>
      <c r="D882" s="54" t="s">
        <v>188</v>
      </c>
      <c r="E882" s="54" t="s">
        <v>121</v>
      </c>
      <c r="F882" s="55" t="n">
        <v>53866.45</v>
      </c>
      <c r="G882" s="54" t="s">
        <v>131</v>
      </c>
      <c r="H882" s="56" t="n">
        <f aca="false">VLOOKUP(E882,Treatment_Table!$B$5:$E$11,4,FALSE())</f>
        <v>0</v>
      </c>
      <c r="I882" s="57" t="n">
        <f aca="false">F882*H882</f>
        <v>0</v>
      </c>
      <c r="J882" s="57" t="n">
        <f aca="false">IF(D882="Income",F882,-F882)</f>
        <v>-53866.45</v>
      </c>
    </row>
    <row r="883" customFormat="false" ht="15" hidden="false" customHeight="false" outlineLevel="0" collapsed="false">
      <c r="A883" s="54" t="s">
        <v>1095</v>
      </c>
      <c r="B883" s="54" t="s">
        <v>205</v>
      </c>
      <c r="C883" s="54" t="s">
        <v>123</v>
      </c>
      <c r="D883" s="54" t="s">
        <v>188</v>
      </c>
      <c r="E883" s="54" t="s">
        <v>121</v>
      </c>
      <c r="F883" s="55" t="n">
        <v>188757.61</v>
      </c>
      <c r="G883" s="54" t="s">
        <v>123</v>
      </c>
      <c r="H883" s="56" t="n">
        <f aca="false">VLOOKUP(E883,Treatment_Table!$B$5:$E$11,4,FALSE())</f>
        <v>0</v>
      </c>
      <c r="I883" s="57" t="n">
        <f aca="false">F883*H883</f>
        <v>0</v>
      </c>
      <c r="J883" s="57" t="n">
        <f aca="false">IF(D883="Income",F883,-F883)</f>
        <v>-188757.61</v>
      </c>
    </row>
    <row r="884" customFormat="false" ht="15" hidden="false" customHeight="false" outlineLevel="0" collapsed="false">
      <c r="A884" s="54" t="s">
        <v>1096</v>
      </c>
      <c r="B884" s="54" t="s">
        <v>210</v>
      </c>
      <c r="C884" s="54" t="s">
        <v>131</v>
      </c>
      <c r="D884" s="54" t="s">
        <v>188</v>
      </c>
      <c r="E884" s="54" t="s">
        <v>121</v>
      </c>
      <c r="F884" s="55" t="n">
        <v>85541.52</v>
      </c>
      <c r="G884" s="54" t="s">
        <v>131</v>
      </c>
      <c r="H884" s="56" t="n">
        <f aca="false">VLOOKUP(E884,Treatment_Table!$B$5:$E$11,4,FALSE())</f>
        <v>0</v>
      </c>
      <c r="I884" s="57" t="n">
        <f aca="false">F884*H884</f>
        <v>0</v>
      </c>
      <c r="J884" s="57" t="n">
        <f aca="false">IF(D884="Income",F884,-F884)</f>
        <v>-85541.52</v>
      </c>
    </row>
    <row r="885" customFormat="false" ht="15" hidden="false" customHeight="false" outlineLevel="0" collapsed="false">
      <c r="A885" s="54" t="s">
        <v>1097</v>
      </c>
      <c r="B885" s="54" t="s">
        <v>216</v>
      </c>
      <c r="C885" s="54" t="s">
        <v>138</v>
      </c>
      <c r="D885" s="54" t="s">
        <v>188</v>
      </c>
      <c r="E885" s="54" t="s">
        <v>139</v>
      </c>
      <c r="F885" s="55" t="n">
        <v>8824.13</v>
      </c>
      <c r="G885" s="54" t="s">
        <v>138</v>
      </c>
      <c r="H885" s="56" t="n">
        <f aca="false">VLOOKUP(E885,Treatment_Table!$B$5:$E$11,4,FALSE())</f>
        <v>0.5</v>
      </c>
      <c r="I885" s="57" t="n">
        <f aca="false">F885*H885</f>
        <v>4412.065</v>
      </c>
      <c r="J885" s="57" t="n">
        <f aca="false">IF(D885="Income",F885,-F885)</f>
        <v>-8824.13</v>
      </c>
    </row>
    <row r="886" customFormat="false" ht="15" hidden="false" customHeight="false" outlineLevel="0" collapsed="false">
      <c r="A886" s="54" t="s">
        <v>1098</v>
      </c>
      <c r="B886" s="54" t="s">
        <v>243</v>
      </c>
      <c r="C886" s="54" t="s">
        <v>133</v>
      </c>
      <c r="D886" s="54" t="s">
        <v>188</v>
      </c>
      <c r="E886" s="54" t="s">
        <v>134</v>
      </c>
      <c r="F886" s="55" t="n">
        <v>2276.44</v>
      </c>
      <c r="G886" s="54" t="s">
        <v>133</v>
      </c>
      <c r="H886" s="56" t="n">
        <f aca="false">VLOOKUP(E886,Treatment_Table!$B$5:$E$11,4,FALSE())</f>
        <v>1</v>
      </c>
      <c r="I886" s="57" t="n">
        <f aca="false">F886*H886</f>
        <v>2276.44</v>
      </c>
      <c r="J886" s="57" t="n">
        <f aca="false">IF(D886="Income",F886,-F886)</f>
        <v>-2276.44</v>
      </c>
    </row>
    <row r="887" customFormat="false" ht="15" hidden="false" customHeight="false" outlineLevel="0" collapsed="false">
      <c r="A887" s="54" t="s">
        <v>1099</v>
      </c>
      <c r="B887" s="54" t="s">
        <v>216</v>
      </c>
      <c r="C887" s="54" t="s">
        <v>129</v>
      </c>
      <c r="D887" s="54" t="s">
        <v>188</v>
      </c>
      <c r="E887" s="54" t="s">
        <v>121</v>
      </c>
      <c r="F887" s="55" t="n">
        <v>9665.62</v>
      </c>
      <c r="G887" s="54" t="s">
        <v>129</v>
      </c>
      <c r="H887" s="56" t="n">
        <f aca="false">VLOOKUP(E887,Treatment_Table!$B$5:$E$11,4,FALSE())</f>
        <v>0</v>
      </c>
      <c r="I887" s="57" t="n">
        <f aca="false">F887*H887</f>
        <v>0</v>
      </c>
      <c r="J887" s="57" t="n">
        <f aca="false">IF(D887="Income",F887,-F887)</f>
        <v>-9665.62</v>
      </c>
    </row>
    <row r="888" customFormat="false" ht="15" hidden="false" customHeight="false" outlineLevel="0" collapsed="false">
      <c r="A888" s="54" t="s">
        <v>1100</v>
      </c>
      <c r="B888" s="54" t="s">
        <v>208</v>
      </c>
      <c r="C888" s="54" t="s">
        <v>123</v>
      </c>
      <c r="D888" s="54" t="s">
        <v>188</v>
      </c>
      <c r="E888" s="54" t="s">
        <v>121</v>
      </c>
      <c r="F888" s="55" t="n">
        <v>85887.41</v>
      </c>
      <c r="G888" s="54" t="s">
        <v>123</v>
      </c>
      <c r="H888" s="56" t="n">
        <f aca="false">VLOOKUP(E888,Treatment_Table!$B$5:$E$11,4,FALSE())</f>
        <v>0</v>
      </c>
      <c r="I888" s="57" t="n">
        <f aca="false">F888*H888</f>
        <v>0</v>
      </c>
      <c r="J888" s="57" t="n">
        <f aca="false">IF(D888="Income",F888,-F888)</f>
        <v>-85887.41</v>
      </c>
    </row>
    <row r="889" customFormat="false" ht="15" hidden="false" customHeight="false" outlineLevel="0" collapsed="false">
      <c r="A889" s="54" t="s">
        <v>1101</v>
      </c>
      <c r="B889" s="54" t="s">
        <v>216</v>
      </c>
      <c r="C889" s="54" t="s">
        <v>135</v>
      </c>
      <c r="D889" s="54" t="s">
        <v>188</v>
      </c>
      <c r="E889" s="54" t="s">
        <v>134</v>
      </c>
      <c r="F889" s="55" t="n">
        <v>3587.3</v>
      </c>
      <c r="G889" s="54" t="s">
        <v>135</v>
      </c>
      <c r="H889" s="56" t="n">
        <f aca="false">VLOOKUP(E889,Treatment_Table!$B$5:$E$11,4,FALSE())</f>
        <v>1</v>
      </c>
      <c r="I889" s="57" t="n">
        <f aca="false">F889*H889</f>
        <v>3587.3</v>
      </c>
      <c r="J889" s="57" t="n">
        <f aca="false">IF(D889="Income",F889,-F889)</f>
        <v>-3587.3</v>
      </c>
    </row>
    <row r="890" customFormat="false" ht="15" hidden="false" customHeight="false" outlineLevel="0" collapsed="false">
      <c r="A890" s="54" t="s">
        <v>1102</v>
      </c>
      <c r="B890" s="54" t="s">
        <v>243</v>
      </c>
      <c r="C890" s="54" t="s">
        <v>125</v>
      </c>
      <c r="D890" s="54" t="s">
        <v>188</v>
      </c>
      <c r="E890" s="54" t="s">
        <v>121</v>
      </c>
      <c r="F890" s="55" t="n">
        <v>12770.89</v>
      </c>
      <c r="G890" s="54" t="s">
        <v>125</v>
      </c>
      <c r="H890" s="56" t="n">
        <f aca="false">VLOOKUP(E890,Treatment_Table!$B$5:$E$11,4,FALSE())</f>
        <v>0</v>
      </c>
      <c r="I890" s="57" t="n">
        <f aca="false">F890*H890</f>
        <v>0</v>
      </c>
      <c r="J890" s="57" t="n">
        <f aca="false">IF(D890="Income",F890,-F890)</f>
        <v>-12770.89</v>
      </c>
    </row>
    <row r="891" customFormat="false" ht="15" hidden="false" customHeight="false" outlineLevel="0" collapsed="false">
      <c r="A891" s="54" t="s">
        <v>1103</v>
      </c>
      <c r="B891" s="54" t="s">
        <v>218</v>
      </c>
      <c r="C891" s="54" t="s">
        <v>124</v>
      </c>
      <c r="D891" s="54" t="s">
        <v>188</v>
      </c>
      <c r="E891" s="54" t="s">
        <v>121</v>
      </c>
      <c r="F891" s="55" t="n">
        <v>29352.35</v>
      </c>
      <c r="G891" s="54" t="s">
        <v>124</v>
      </c>
      <c r="H891" s="56" t="n">
        <f aca="false">VLOOKUP(E891,Treatment_Table!$B$5:$E$11,4,FALSE())</f>
        <v>0</v>
      </c>
      <c r="I891" s="57" t="n">
        <f aca="false">F891*H891</f>
        <v>0</v>
      </c>
      <c r="J891" s="57" t="n">
        <f aca="false">IF(D891="Income",F891,-F891)</f>
        <v>-29352.35</v>
      </c>
    </row>
    <row r="892" customFormat="false" ht="15" hidden="false" customHeight="false" outlineLevel="0" collapsed="false">
      <c r="A892" s="54" t="s">
        <v>1104</v>
      </c>
      <c r="B892" s="54" t="s">
        <v>223</v>
      </c>
      <c r="C892" s="54" t="s">
        <v>129</v>
      </c>
      <c r="D892" s="54" t="s">
        <v>188</v>
      </c>
      <c r="E892" s="54" t="s">
        <v>121</v>
      </c>
      <c r="F892" s="55" t="n">
        <v>14091.38</v>
      </c>
      <c r="G892" s="54" t="s">
        <v>129</v>
      </c>
      <c r="H892" s="56" t="n">
        <f aca="false">VLOOKUP(E892,Treatment_Table!$B$5:$E$11,4,FALSE())</f>
        <v>0</v>
      </c>
      <c r="I892" s="57" t="n">
        <f aca="false">F892*H892</f>
        <v>0</v>
      </c>
      <c r="J892" s="57" t="n">
        <f aca="false">IF(D892="Income",F892,-F892)</f>
        <v>-14091.38</v>
      </c>
    </row>
    <row r="893" customFormat="false" ht="15" hidden="false" customHeight="false" outlineLevel="0" collapsed="false">
      <c r="A893" s="54" t="s">
        <v>1105</v>
      </c>
      <c r="B893" s="54" t="s">
        <v>235</v>
      </c>
      <c r="C893" s="54" t="s">
        <v>123</v>
      </c>
      <c r="D893" s="54" t="s">
        <v>188</v>
      </c>
      <c r="E893" s="54" t="s">
        <v>121</v>
      </c>
      <c r="F893" s="55" t="n">
        <v>154316.43</v>
      </c>
      <c r="G893" s="54" t="s">
        <v>123</v>
      </c>
      <c r="H893" s="56" t="n">
        <f aca="false">VLOOKUP(E893,Treatment_Table!$B$5:$E$11,4,FALSE())</f>
        <v>0</v>
      </c>
      <c r="I893" s="57" t="n">
        <f aca="false">F893*H893</f>
        <v>0</v>
      </c>
      <c r="J893" s="57" t="n">
        <f aca="false">IF(D893="Income",F893,-F893)</f>
        <v>-154316.43</v>
      </c>
    </row>
    <row r="894" customFormat="false" ht="15" hidden="false" customHeight="false" outlineLevel="0" collapsed="false">
      <c r="A894" s="54" t="s">
        <v>1106</v>
      </c>
      <c r="B894" s="54" t="s">
        <v>235</v>
      </c>
      <c r="C894" s="54" t="s">
        <v>132</v>
      </c>
      <c r="D894" s="54" t="s">
        <v>188</v>
      </c>
      <c r="E894" s="54" t="s">
        <v>121</v>
      </c>
      <c r="F894" s="55" t="n">
        <v>12245.23</v>
      </c>
      <c r="G894" s="54" t="s">
        <v>132</v>
      </c>
      <c r="H894" s="56" t="n">
        <f aca="false">VLOOKUP(E894,Treatment_Table!$B$5:$E$11,4,FALSE())</f>
        <v>0</v>
      </c>
      <c r="I894" s="57" t="n">
        <f aca="false">F894*H894</f>
        <v>0</v>
      </c>
      <c r="J894" s="57" t="n">
        <f aca="false">IF(D894="Income",F894,-F894)</f>
        <v>-12245.23</v>
      </c>
    </row>
    <row r="895" customFormat="false" ht="15" hidden="false" customHeight="false" outlineLevel="0" collapsed="false">
      <c r="A895" s="54" t="s">
        <v>1107</v>
      </c>
      <c r="B895" s="54" t="s">
        <v>228</v>
      </c>
      <c r="C895" s="54" t="s">
        <v>124</v>
      </c>
      <c r="D895" s="54" t="s">
        <v>188</v>
      </c>
      <c r="E895" s="54" t="s">
        <v>121</v>
      </c>
      <c r="F895" s="55" t="n">
        <v>52640.13</v>
      </c>
      <c r="G895" s="54" t="s">
        <v>124</v>
      </c>
      <c r="H895" s="56" t="n">
        <f aca="false">VLOOKUP(E895,Treatment_Table!$B$5:$E$11,4,FALSE())</f>
        <v>0</v>
      </c>
      <c r="I895" s="57" t="n">
        <f aca="false">F895*H895</f>
        <v>0</v>
      </c>
      <c r="J895" s="57" t="n">
        <f aca="false">IF(D895="Income",F895,-F895)</f>
        <v>-52640.13</v>
      </c>
    </row>
    <row r="896" customFormat="false" ht="15" hidden="false" customHeight="false" outlineLevel="0" collapsed="false">
      <c r="A896" s="54" t="s">
        <v>1108</v>
      </c>
      <c r="B896" s="54" t="s">
        <v>216</v>
      </c>
      <c r="C896" s="54" t="s">
        <v>132</v>
      </c>
      <c r="D896" s="54" t="s">
        <v>188</v>
      </c>
      <c r="E896" s="54" t="s">
        <v>121</v>
      </c>
      <c r="F896" s="55" t="n">
        <v>10757.55</v>
      </c>
      <c r="G896" s="54" t="s">
        <v>132</v>
      </c>
      <c r="H896" s="56" t="n">
        <f aca="false">VLOOKUP(E896,Treatment_Table!$B$5:$E$11,4,FALSE())</f>
        <v>0</v>
      </c>
      <c r="I896" s="57" t="n">
        <f aca="false">F896*H896</f>
        <v>0</v>
      </c>
      <c r="J896" s="57" t="n">
        <f aca="false">IF(D896="Income",F896,-F896)</f>
        <v>-10757.55</v>
      </c>
    </row>
    <row r="897" customFormat="false" ht="15" hidden="false" customHeight="false" outlineLevel="0" collapsed="false">
      <c r="A897" s="54" t="s">
        <v>1109</v>
      </c>
      <c r="B897" s="54" t="s">
        <v>205</v>
      </c>
      <c r="C897" s="54" t="s">
        <v>132</v>
      </c>
      <c r="D897" s="54" t="s">
        <v>188</v>
      </c>
      <c r="E897" s="54" t="s">
        <v>121</v>
      </c>
      <c r="F897" s="55" t="n">
        <v>12157.14</v>
      </c>
      <c r="G897" s="54" t="s">
        <v>132</v>
      </c>
      <c r="H897" s="56" t="n">
        <f aca="false">VLOOKUP(E897,Treatment_Table!$B$5:$E$11,4,FALSE())</f>
        <v>0</v>
      </c>
      <c r="I897" s="57" t="n">
        <f aca="false">F897*H897</f>
        <v>0</v>
      </c>
      <c r="J897" s="57" t="n">
        <f aca="false">IF(D897="Income",F897,-F897)</f>
        <v>-12157.14</v>
      </c>
    </row>
    <row r="898" customFormat="false" ht="15" hidden="false" customHeight="false" outlineLevel="0" collapsed="false">
      <c r="A898" s="54" t="s">
        <v>1110</v>
      </c>
      <c r="B898" s="54" t="s">
        <v>228</v>
      </c>
      <c r="C898" s="54" t="s">
        <v>142</v>
      </c>
      <c r="D898" s="54" t="s">
        <v>188</v>
      </c>
      <c r="E898" s="54" t="s">
        <v>141</v>
      </c>
      <c r="F898" s="55" t="n">
        <v>28425.75</v>
      </c>
      <c r="G898" s="54" t="s">
        <v>142</v>
      </c>
      <c r="H898" s="56" t="n">
        <f aca="false">VLOOKUP(E898,Treatment_Table!$B$5:$E$11,4,FALSE())</f>
        <v>0</v>
      </c>
      <c r="I898" s="57" t="n">
        <f aca="false">F898*H898</f>
        <v>0</v>
      </c>
      <c r="J898" s="57" t="n">
        <f aca="false">IF(D898="Income",F898,-F898)</f>
        <v>-28425.75</v>
      </c>
    </row>
    <row r="899" customFormat="false" ht="15" hidden="false" customHeight="false" outlineLevel="0" collapsed="false">
      <c r="A899" s="54" t="s">
        <v>1111</v>
      </c>
      <c r="B899" s="54" t="s">
        <v>243</v>
      </c>
      <c r="C899" s="54" t="s">
        <v>130</v>
      </c>
      <c r="D899" s="54" t="s">
        <v>188</v>
      </c>
      <c r="E899" s="54" t="s">
        <v>121</v>
      </c>
      <c r="F899" s="55" t="n">
        <v>15577.33</v>
      </c>
      <c r="G899" s="54" t="s">
        <v>130</v>
      </c>
      <c r="H899" s="56" t="n">
        <f aca="false">VLOOKUP(E899,Treatment_Table!$B$5:$E$11,4,FALSE())</f>
        <v>0</v>
      </c>
      <c r="I899" s="57" t="n">
        <f aca="false">F899*H899</f>
        <v>0</v>
      </c>
      <c r="J899" s="57" t="n">
        <f aca="false">IF(D899="Income",F899,-F899)</f>
        <v>-15577.33</v>
      </c>
    </row>
    <row r="900" customFormat="false" ht="15" hidden="false" customHeight="false" outlineLevel="0" collapsed="false">
      <c r="A900" s="54" t="s">
        <v>1112</v>
      </c>
      <c r="B900" s="54" t="s">
        <v>205</v>
      </c>
      <c r="C900" s="54" t="s">
        <v>130</v>
      </c>
      <c r="D900" s="54" t="s">
        <v>188</v>
      </c>
      <c r="E900" s="54" t="s">
        <v>121</v>
      </c>
      <c r="F900" s="55" t="n">
        <v>42058.27</v>
      </c>
      <c r="G900" s="54" t="s">
        <v>130</v>
      </c>
      <c r="H900" s="56" t="n">
        <f aca="false">VLOOKUP(E900,Treatment_Table!$B$5:$E$11,4,FALSE())</f>
        <v>0</v>
      </c>
      <c r="I900" s="57" t="n">
        <f aca="false">F900*H900</f>
        <v>0</v>
      </c>
      <c r="J900" s="57" t="n">
        <f aca="false">IF(D900="Income",F900,-F900)</f>
        <v>-42058.27</v>
      </c>
    </row>
    <row r="901" customFormat="false" ht="15" hidden="false" customHeight="false" outlineLevel="0" collapsed="false">
      <c r="A901" s="54" t="s">
        <v>1113</v>
      </c>
      <c r="B901" s="54" t="s">
        <v>228</v>
      </c>
      <c r="C901" s="54" t="s">
        <v>126</v>
      </c>
      <c r="D901" s="54" t="s">
        <v>188</v>
      </c>
      <c r="E901" s="54" t="s">
        <v>121</v>
      </c>
      <c r="F901" s="55" t="n">
        <v>43470.76</v>
      </c>
      <c r="G901" s="54" t="s">
        <v>126</v>
      </c>
      <c r="H901" s="56" t="n">
        <f aca="false">VLOOKUP(E901,Treatment_Table!$B$5:$E$11,4,FALSE())</f>
        <v>0</v>
      </c>
      <c r="I901" s="57" t="n">
        <f aca="false">F901*H901</f>
        <v>0</v>
      </c>
      <c r="J901" s="57" t="n">
        <f aca="false">IF(D901="Income",F901,-F901)</f>
        <v>-43470.76</v>
      </c>
    </row>
    <row r="902" customFormat="false" ht="15" hidden="false" customHeight="false" outlineLevel="0" collapsed="false">
      <c r="A902" s="54" t="s">
        <v>1114</v>
      </c>
      <c r="B902" s="54" t="s">
        <v>210</v>
      </c>
      <c r="C902" s="54" t="s">
        <v>128</v>
      </c>
      <c r="D902" s="54" t="s">
        <v>188</v>
      </c>
      <c r="E902" s="54" t="s">
        <v>121</v>
      </c>
      <c r="F902" s="55" t="n">
        <v>47658.67</v>
      </c>
      <c r="G902" s="54" t="s">
        <v>128</v>
      </c>
      <c r="H902" s="56" t="n">
        <f aca="false">VLOOKUP(E902,Treatment_Table!$B$5:$E$11,4,FALSE())</f>
        <v>0</v>
      </c>
      <c r="I902" s="57" t="n">
        <f aca="false">F902*H902</f>
        <v>0</v>
      </c>
      <c r="J902" s="57" t="n">
        <f aca="false">IF(D902="Income",F902,-F902)</f>
        <v>-47658.67</v>
      </c>
    </row>
    <row r="903" customFormat="false" ht="15" hidden="false" customHeight="false" outlineLevel="0" collapsed="false">
      <c r="A903" s="54" t="s">
        <v>1115</v>
      </c>
      <c r="B903" s="54" t="s">
        <v>235</v>
      </c>
      <c r="C903" s="54" t="s">
        <v>123</v>
      </c>
      <c r="D903" s="54" t="s">
        <v>188</v>
      </c>
      <c r="E903" s="54" t="s">
        <v>121</v>
      </c>
      <c r="F903" s="55" t="n">
        <v>90157.39</v>
      </c>
      <c r="G903" s="54" t="s">
        <v>123</v>
      </c>
      <c r="H903" s="56" t="n">
        <f aca="false">VLOOKUP(E903,Treatment_Table!$B$5:$E$11,4,FALSE())</f>
        <v>0</v>
      </c>
      <c r="I903" s="57" t="n">
        <f aca="false">F903*H903</f>
        <v>0</v>
      </c>
      <c r="J903" s="57" t="n">
        <f aca="false">IF(D903="Income",F903,-F903)</f>
        <v>-90157.39</v>
      </c>
    </row>
    <row r="904" customFormat="false" ht="15" hidden="false" customHeight="false" outlineLevel="0" collapsed="false">
      <c r="A904" s="54" t="s">
        <v>1116</v>
      </c>
      <c r="B904" s="54" t="s">
        <v>223</v>
      </c>
      <c r="C904" s="54" t="s">
        <v>124</v>
      </c>
      <c r="D904" s="54" t="s">
        <v>188</v>
      </c>
      <c r="E904" s="54" t="s">
        <v>121</v>
      </c>
      <c r="F904" s="55" t="n">
        <v>45284.45</v>
      </c>
      <c r="G904" s="54" t="s">
        <v>124</v>
      </c>
      <c r="H904" s="56" t="n">
        <f aca="false">VLOOKUP(E904,Treatment_Table!$B$5:$E$11,4,FALSE())</f>
        <v>0</v>
      </c>
      <c r="I904" s="57" t="n">
        <f aca="false">F904*H904</f>
        <v>0</v>
      </c>
      <c r="J904" s="57" t="n">
        <f aca="false">IF(D904="Income",F904,-F904)</f>
        <v>-45284.45</v>
      </c>
    </row>
    <row r="905" customFormat="false" ht="15" hidden="false" customHeight="false" outlineLevel="0" collapsed="false">
      <c r="A905" s="54" t="s">
        <v>1117</v>
      </c>
      <c r="B905" s="54" t="s">
        <v>216</v>
      </c>
      <c r="C905" s="54" t="s">
        <v>131</v>
      </c>
      <c r="D905" s="54" t="s">
        <v>188</v>
      </c>
      <c r="E905" s="54" t="s">
        <v>121</v>
      </c>
      <c r="F905" s="55" t="n">
        <v>74232.17</v>
      </c>
      <c r="G905" s="54" t="s">
        <v>131</v>
      </c>
      <c r="H905" s="56" t="n">
        <f aca="false">VLOOKUP(E905,Treatment_Table!$B$5:$E$11,4,FALSE())</f>
        <v>0</v>
      </c>
      <c r="I905" s="57" t="n">
        <f aca="false">F905*H905</f>
        <v>0</v>
      </c>
      <c r="J905" s="57" t="n">
        <f aca="false">IF(D905="Income",F905,-F905)</f>
        <v>-74232.17</v>
      </c>
    </row>
    <row r="906" customFormat="false" ht="15" hidden="false" customHeight="false" outlineLevel="0" collapsed="false">
      <c r="A906" s="54" t="s">
        <v>1118</v>
      </c>
      <c r="B906" s="54" t="s">
        <v>230</v>
      </c>
      <c r="C906" s="54" t="s">
        <v>127</v>
      </c>
      <c r="D906" s="54" t="s">
        <v>188</v>
      </c>
      <c r="E906" s="54" t="s">
        <v>121</v>
      </c>
      <c r="F906" s="55" t="n">
        <v>6912.45</v>
      </c>
      <c r="G906" s="54" t="s">
        <v>127</v>
      </c>
      <c r="H906" s="56" t="n">
        <f aca="false">VLOOKUP(E906,Treatment_Table!$B$5:$E$11,4,FALSE())</f>
        <v>0</v>
      </c>
      <c r="I906" s="57" t="n">
        <f aca="false">F906*H906</f>
        <v>0</v>
      </c>
      <c r="J906" s="57" t="n">
        <f aca="false">IF(D906="Income",F906,-F906)</f>
        <v>-6912.45</v>
      </c>
    </row>
    <row r="907" customFormat="false" ht="15" hidden="false" customHeight="false" outlineLevel="0" collapsed="false">
      <c r="A907" s="54" t="s">
        <v>1119</v>
      </c>
      <c r="B907" s="54" t="s">
        <v>214</v>
      </c>
      <c r="C907" s="54" t="s">
        <v>126</v>
      </c>
      <c r="D907" s="54" t="s">
        <v>188</v>
      </c>
      <c r="E907" s="54" t="s">
        <v>121</v>
      </c>
      <c r="F907" s="55" t="n">
        <v>25902.4</v>
      </c>
      <c r="G907" s="54" t="s">
        <v>126</v>
      </c>
      <c r="H907" s="56" t="n">
        <f aca="false">VLOOKUP(E907,Treatment_Table!$B$5:$E$11,4,FALSE())</f>
        <v>0</v>
      </c>
      <c r="I907" s="57" t="n">
        <f aca="false">F907*H907</f>
        <v>0</v>
      </c>
      <c r="J907" s="57" t="n">
        <f aca="false">IF(D907="Income",F907,-F907)</f>
        <v>-25902.4</v>
      </c>
    </row>
    <row r="908" customFormat="false" ht="15" hidden="false" customHeight="false" outlineLevel="0" collapsed="false">
      <c r="A908" s="54" t="s">
        <v>1120</v>
      </c>
      <c r="B908" s="54" t="s">
        <v>208</v>
      </c>
      <c r="C908" s="54" t="s">
        <v>133</v>
      </c>
      <c r="D908" s="54" t="s">
        <v>188</v>
      </c>
      <c r="E908" s="54" t="s">
        <v>134</v>
      </c>
      <c r="F908" s="55" t="n">
        <v>3756.28</v>
      </c>
      <c r="G908" s="54" t="s">
        <v>133</v>
      </c>
      <c r="H908" s="56" t="n">
        <f aca="false">VLOOKUP(E908,Treatment_Table!$B$5:$E$11,4,FALSE())</f>
        <v>1</v>
      </c>
      <c r="I908" s="57" t="n">
        <f aca="false">F908*H908</f>
        <v>3756.28</v>
      </c>
      <c r="J908" s="57" t="n">
        <f aca="false">IF(D908="Income",F908,-F908)</f>
        <v>-3756.28</v>
      </c>
    </row>
    <row r="909" customFormat="false" ht="15" hidden="false" customHeight="false" outlineLevel="0" collapsed="false">
      <c r="A909" s="54" t="s">
        <v>1121</v>
      </c>
      <c r="B909" s="54" t="s">
        <v>208</v>
      </c>
      <c r="C909" s="54" t="s">
        <v>126</v>
      </c>
      <c r="D909" s="54" t="s">
        <v>188</v>
      </c>
      <c r="E909" s="54" t="s">
        <v>121</v>
      </c>
      <c r="F909" s="55" t="n">
        <v>58871.79</v>
      </c>
      <c r="G909" s="54" t="s">
        <v>126</v>
      </c>
      <c r="H909" s="56" t="n">
        <f aca="false">VLOOKUP(E909,Treatment_Table!$B$5:$E$11,4,FALSE())</f>
        <v>0</v>
      </c>
      <c r="I909" s="57" t="n">
        <f aca="false">F909*H909</f>
        <v>0</v>
      </c>
      <c r="J909" s="57" t="n">
        <f aca="false">IF(D909="Income",F909,-F909)</f>
        <v>-58871.79</v>
      </c>
    </row>
    <row r="910" customFormat="false" ht="15" hidden="false" customHeight="false" outlineLevel="0" collapsed="false">
      <c r="A910" s="54" t="s">
        <v>1122</v>
      </c>
      <c r="B910" s="54" t="s">
        <v>247</v>
      </c>
      <c r="C910" s="54" t="s">
        <v>131</v>
      </c>
      <c r="D910" s="54" t="s">
        <v>188</v>
      </c>
      <c r="E910" s="54" t="s">
        <v>121</v>
      </c>
      <c r="F910" s="55" t="n">
        <v>77877.35</v>
      </c>
      <c r="G910" s="54" t="s">
        <v>131</v>
      </c>
      <c r="H910" s="56" t="n">
        <f aca="false">VLOOKUP(E910,Treatment_Table!$B$5:$E$11,4,FALSE())</f>
        <v>0</v>
      </c>
      <c r="I910" s="57" t="n">
        <f aca="false">F910*H910</f>
        <v>0</v>
      </c>
      <c r="J910" s="57" t="n">
        <f aca="false">IF(D910="Income",F910,-F910)</f>
        <v>-77877.35</v>
      </c>
    </row>
    <row r="911" customFormat="false" ht="15" hidden="false" customHeight="false" outlineLevel="0" collapsed="false">
      <c r="A911" s="54" t="s">
        <v>1123</v>
      </c>
      <c r="B911" s="54" t="s">
        <v>247</v>
      </c>
      <c r="C911" s="54" t="s">
        <v>129</v>
      </c>
      <c r="D911" s="54" t="s">
        <v>188</v>
      </c>
      <c r="E911" s="54" t="s">
        <v>121</v>
      </c>
      <c r="F911" s="55" t="n">
        <v>52559.27</v>
      </c>
      <c r="G911" s="54" t="s">
        <v>129</v>
      </c>
      <c r="H911" s="56" t="n">
        <f aca="false">VLOOKUP(E911,Treatment_Table!$B$5:$E$11,4,FALSE())</f>
        <v>0</v>
      </c>
      <c r="I911" s="57" t="n">
        <f aca="false">F911*H911</f>
        <v>0</v>
      </c>
      <c r="J911" s="57" t="n">
        <f aca="false">IF(D911="Income",F911,-F911)</f>
        <v>-52559.27</v>
      </c>
    </row>
    <row r="912" customFormat="false" ht="15" hidden="false" customHeight="false" outlineLevel="0" collapsed="false">
      <c r="A912" s="54" t="s">
        <v>1124</v>
      </c>
      <c r="B912" s="54" t="s">
        <v>235</v>
      </c>
      <c r="C912" s="54" t="s">
        <v>135</v>
      </c>
      <c r="D912" s="54" t="s">
        <v>188</v>
      </c>
      <c r="E912" s="54" t="s">
        <v>134</v>
      </c>
      <c r="F912" s="55" t="n">
        <v>1060.78</v>
      </c>
      <c r="G912" s="54" t="s">
        <v>135</v>
      </c>
      <c r="H912" s="56" t="n">
        <f aca="false">VLOOKUP(E912,Treatment_Table!$B$5:$E$11,4,FALSE())</f>
        <v>1</v>
      </c>
      <c r="I912" s="57" t="n">
        <f aca="false">F912*H912</f>
        <v>1060.78</v>
      </c>
      <c r="J912" s="57" t="n">
        <f aca="false">IF(D912="Income",F912,-F912)</f>
        <v>-1060.78</v>
      </c>
    </row>
    <row r="913" customFormat="false" ht="15" hidden="false" customHeight="false" outlineLevel="0" collapsed="false">
      <c r="A913" s="54" t="s">
        <v>1125</v>
      </c>
      <c r="B913" s="54" t="s">
        <v>243</v>
      </c>
      <c r="C913" s="54" t="s">
        <v>131</v>
      </c>
      <c r="D913" s="54" t="s">
        <v>188</v>
      </c>
      <c r="E913" s="54" t="s">
        <v>121</v>
      </c>
      <c r="F913" s="55" t="n">
        <v>48574.55</v>
      </c>
      <c r="G913" s="54" t="s">
        <v>131</v>
      </c>
      <c r="H913" s="56" t="n">
        <f aca="false">VLOOKUP(E913,Treatment_Table!$B$5:$E$11,4,FALSE())</f>
        <v>0</v>
      </c>
      <c r="I913" s="57" t="n">
        <f aca="false">F913*H913</f>
        <v>0</v>
      </c>
      <c r="J913" s="57" t="n">
        <f aca="false">IF(D913="Income",F913,-F913)</f>
        <v>-48574.55</v>
      </c>
    </row>
    <row r="914" customFormat="false" ht="15" hidden="false" customHeight="false" outlineLevel="0" collapsed="false">
      <c r="A914" s="54" t="s">
        <v>1126</v>
      </c>
      <c r="B914" s="54" t="s">
        <v>235</v>
      </c>
      <c r="C914" s="54" t="s">
        <v>131</v>
      </c>
      <c r="D914" s="54" t="s">
        <v>188</v>
      </c>
      <c r="E914" s="54" t="s">
        <v>121</v>
      </c>
      <c r="F914" s="55" t="n">
        <v>64811.21</v>
      </c>
      <c r="G914" s="54" t="s">
        <v>131</v>
      </c>
      <c r="H914" s="56" t="n">
        <f aca="false">VLOOKUP(E914,Treatment_Table!$B$5:$E$11,4,FALSE())</f>
        <v>0</v>
      </c>
      <c r="I914" s="57" t="n">
        <f aca="false">F914*H914</f>
        <v>0</v>
      </c>
      <c r="J914" s="57" t="n">
        <f aca="false">IF(D914="Income",F914,-F914)</f>
        <v>-64811.21</v>
      </c>
    </row>
    <row r="915" customFormat="false" ht="15" hidden="false" customHeight="false" outlineLevel="0" collapsed="false">
      <c r="A915" s="54" t="s">
        <v>1127</v>
      </c>
      <c r="B915" s="54" t="s">
        <v>247</v>
      </c>
      <c r="C915" s="54" t="s">
        <v>130</v>
      </c>
      <c r="D915" s="54" t="s">
        <v>188</v>
      </c>
      <c r="E915" s="54" t="s">
        <v>121</v>
      </c>
      <c r="F915" s="55" t="n">
        <v>21131</v>
      </c>
      <c r="G915" s="54" t="s">
        <v>130</v>
      </c>
      <c r="H915" s="56" t="n">
        <f aca="false">VLOOKUP(E915,Treatment_Table!$B$5:$E$11,4,FALSE())</f>
        <v>0</v>
      </c>
      <c r="I915" s="57" t="n">
        <f aca="false">F915*H915</f>
        <v>0</v>
      </c>
      <c r="J915" s="57" t="n">
        <f aca="false">IF(D915="Income",F915,-F915)</f>
        <v>-21131</v>
      </c>
    </row>
    <row r="916" customFormat="false" ht="15" hidden="false" customHeight="false" outlineLevel="0" collapsed="false">
      <c r="A916" s="54" t="s">
        <v>1128</v>
      </c>
      <c r="B916" s="54" t="s">
        <v>235</v>
      </c>
      <c r="C916" s="54" t="s">
        <v>131</v>
      </c>
      <c r="D916" s="54" t="s">
        <v>188</v>
      </c>
      <c r="E916" s="54" t="s">
        <v>121</v>
      </c>
      <c r="F916" s="55" t="n">
        <v>43147.82</v>
      </c>
      <c r="G916" s="54" t="s">
        <v>131</v>
      </c>
      <c r="H916" s="56" t="n">
        <f aca="false">VLOOKUP(E916,Treatment_Table!$B$5:$E$11,4,FALSE())</f>
        <v>0</v>
      </c>
      <c r="I916" s="57" t="n">
        <f aca="false">F916*H916</f>
        <v>0</v>
      </c>
      <c r="J916" s="57" t="n">
        <f aca="false">IF(D916="Income",F916,-F916)</f>
        <v>-43147.82</v>
      </c>
    </row>
    <row r="917" customFormat="false" ht="15" hidden="false" customHeight="false" outlineLevel="0" collapsed="false">
      <c r="A917" s="54" t="s">
        <v>1129</v>
      </c>
      <c r="B917" s="54" t="s">
        <v>210</v>
      </c>
      <c r="C917" s="54" t="s">
        <v>131</v>
      </c>
      <c r="D917" s="54" t="s">
        <v>188</v>
      </c>
      <c r="E917" s="54" t="s">
        <v>121</v>
      </c>
      <c r="F917" s="55" t="n">
        <v>51564.69</v>
      </c>
      <c r="G917" s="54" t="s">
        <v>131</v>
      </c>
      <c r="H917" s="56" t="n">
        <f aca="false">VLOOKUP(E917,Treatment_Table!$B$5:$E$11,4,FALSE())</f>
        <v>0</v>
      </c>
      <c r="I917" s="57" t="n">
        <f aca="false">F917*H917</f>
        <v>0</v>
      </c>
      <c r="J917" s="57" t="n">
        <f aca="false">IF(D917="Income",F917,-F917)</f>
        <v>-51564.69</v>
      </c>
    </row>
    <row r="918" customFormat="false" ht="15" hidden="false" customHeight="false" outlineLevel="0" collapsed="false">
      <c r="A918" s="54" t="s">
        <v>1130</v>
      </c>
      <c r="B918" s="54" t="s">
        <v>208</v>
      </c>
      <c r="C918" s="54" t="s">
        <v>130</v>
      </c>
      <c r="D918" s="54" t="s">
        <v>188</v>
      </c>
      <c r="E918" s="54" t="s">
        <v>121</v>
      </c>
      <c r="F918" s="55" t="n">
        <v>75035.06</v>
      </c>
      <c r="G918" s="54" t="s">
        <v>130</v>
      </c>
      <c r="H918" s="56" t="n">
        <f aca="false">VLOOKUP(E918,Treatment_Table!$B$5:$E$11,4,FALSE())</f>
        <v>0</v>
      </c>
      <c r="I918" s="57" t="n">
        <f aca="false">F918*H918</f>
        <v>0</v>
      </c>
      <c r="J918" s="57" t="n">
        <f aca="false">IF(D918="Income",F918,-F918)</f>
        <v>-75035.06</v>
      </c>
    </row>
    <row r="919" customFormat="false" ht="15" hidden="false" customHeight="false" outlineLevel="0" collapsed="false">
      <c r="A919" s="54" t="s">
        <v>1131</v>
      </c>
      <c r="B919" s="54" t="s">
        <v>247</v>
      </c>
      <c r="C919" s="54" t="s">
        <v>138</v>
      </c>
      <c r="D919" s="54" t="s">
        <v>188</v>
      </c>
      <c r="E919" s="54" t="s">
        <v>139</v>
      </c>
      <c r="F919" s="55" t="n">
        <v>3814.63</v>
      </c>
      <c r="G919" s="54" t="s">
        <v>138</v>
      </c>
      <c r="H919" s="56" t="n">
        <f aca="false">VLOOKUP(E919,Treatment_Table!$B$5:$E$11,4,FALSE())</f>
        <v>0.5</v>
      </c>
      <c r="I919" s="57" t="n">
        <f aca="false">F919*H919</f>
        <v>1907.315</v>
      </c>
      <c r="J919" s="57" t="n">
        <f aca="false">IF(D919="Income",F919,-F919)</f>
        <v>-3814.63</v>
      </c>
    </row>
    <row r="920" customFormat="false" ht="15" hidden="false" customHeight="false" outlineLevel="0" collapsed="false">
      <c r="A920" s="54" t="s">
        <v>1132</v>
      </c>
      <c r="B920" s="54" t="s">
        <v>243</v>
      </c>
      <c r="C920" s="54" t="s">
        <v>126</v>
      </c>
      <c r="D920" s="54" t="s">
        <v>188</v>
      </c>
      <c r="E920" s="54" t="s">
        <v>121</v>
      </c>
      <c r="F920" s="55" t="n">
        <v>26645.09</v>
      </c>
      <c r="G920" s="54" t="s">
        <v>126</v>
      </c>
      <c r="H920" s="56" t="n">
        <f aca="false">VLOOKUP(E920,Treatment_Table!$B$5:$E$11,4,FALSE())</f>
        <v>0</v>
      </c>
      <c r="I920" s="57" t="n">
        <f aca="false">F920*H920</f>
        <v>0</v>
      </c>
      <c r="J920" s="57" t="n">
        <f aca="false">IF(D920="Income",F920,-F920)</f>
        <v>-26645.09</v>
      </c>
    </row>
    <row r="921" customFormat="false" ht="15" hidden="false" customHeight="false" outlineLevel="0" collapsed="false">
      <c r="A921" s="54" t="s">
        <v>1133</v>
      </c>
      <c r="B921" s="54" t="s">
        <v>205</v>
      </c>
      <c r="C921" s="54" t="s">
        <v>137</v>
      </c>
      <c r="D921" s="54" t="s">
        <v>188</v>
      </c>
      <c r="E921" s="54" t="s">
        <v>134</v>
      </c>
      <c r="F921" s="55" t="n">
        <v>8638.87</v>
      </c>
      <c r="G921" s="54" t="s">
        <v>137</v>
      </c>
      <c r="H921" s="56" t="n">
        <f aca="false">VLOOKUP(E921,Treatment_Table!$B$5:$E$11,4,FALSE())</f>
        <v>1</v>
      </c>
      <c r="I921" s="57" t="n">
        <f aca="false">F921*H921</f>
        <v>8638.87</v>
      </c>
      <c r="J921" s="57" t="n">
        <f aca="false">IF(D921="Income",F921,-F921)</f>
        <v>-8638.87</v>
      </c>
    </row>
    <row r="922" customFormat="false" ht="15" hidden="false" customHeight="false" outlineLevel="0" collapsed="false">
      <c r="A922" s="54" t="s">
        <v>1134</v>
      </c>
      <c r="B922" s="54" t="s">
        <v>235</v>
      </c>
      <c r="C922" s="54" t="s">
        <v>142</v>
      </c>
      <c r="D922" s="54" t="s">
        <v>188</v>
      </c>
      <c r="E922" s="54" t="s">
        <v>141</v>
      </c>
      <c r="F922" s="55" t="n">
        <v>47152.88</v>
      </c>
      <c r="G922" s="54" t="s">
        <v>142</v>
      </c>
      <c r="H922" s="56" t="n">
        <f aca="false">VLOOKUP(E922,Treatment_Table!$B$5:$E$11,4,FALSE())</f>
        <v>0</v>
      </c>
      <c r="I922" s="57" t="n">
        <f aca="false">F922*H922</f>
        <v>0</v>
      </c>
      <c r="J922" s="57" t="n">
        <f aca="false">IF(D922="Income",F922,-F922)</f>
        <v>-47152.88</v>
      </c>
    </row>
    <row r="923" customFormat="false" ht="15" hidden="false" customHeight="false" outlineLevel="0" collapsed="false">
      <c r="A923" s="54" t="s">
        <v>1135</v>
      </c>
      <c r="B923" s="54" t="s">
        <v>208</v>
      </c>
      <c r="C923" s="54" t="s">
        <v>123</v>
      </c>
      <c r="D923" s="54" t="s">
        <v>188</v>
      </c>
      <c r="E923" s="54" t="s">
        <v>121</v>
      </c>
      <c r="F923" s="55" t="n">
        <v>190284.58</v>
      </c>
      <c r="G923" s="54" t="s">
        <v>123</v>
      </c>
      <c r="H923" s="56" t="n">
        <f aca="false">VLOOKUP(E923,Treatment_Table!$B$5:$E$11,4,FALSE())</f>
        <v>0</v>
      </c>
      <c r="I923" s="57" t="n">
        <f aca="false">F923*H923</f>
        <v>0</v>
      </c>
      <c r="J923" s="57" t="n">
        <f aca="false">IF(D923="Income",F923,-F923)</f>
        <v>-190284.58</v>
      </c>
    </row>
    <row r="924" customFormat="false" ht="15" hidden="false" customHeight="false" outlineLevel="0" collapsed="false">
      <c r="A924" s="54" t="s">
        <v>1136</v>
      </c>
      <c r="B924" s="54" t="s">
        <v>216</v>
      </c>
      <c r="C924" s="54" t="s">
        <v>131</v>
      </c>
      <c r="D924" s="54" t="s">
        <v>188</v>
      </c>
      <c r="E924" s="54" t="s">
        <v>121</v>
      </c>
      <c r="F924" s="55" t="n">
        <v>80843.02</v>
      </c>
      <c r="G924" s="54" t="s">
        <v>131</v>
      </c>
      <c r="H924" s="56" t="n">
        <f aca="false">VLOOKUP(E924,Treatment_Table!$B$5:$E$11,4,FALSE())</f>
        <v>0</v>
      </c>
      <c r="I924" s="57" t="n">
        <f aca="false">F924*H924</f>
        <v>0</v>
      </c>
      <c r="J924" s="57" t="n">
        <f aca="false">IF(D924="Income",F924,-F924)</f>
        <v>-80843.02</v>
      </c>
    </row>
    <row r="925" customFormat="false" ht="15" hidden="false" customHeight="false" outlineLevel="0" collapsed="false">
      <c r="A925" s="54" t="s">
        <v>1137</v>
      </c>
      <c r="B925" s="54" t="s">
        <v>218</v>
      </c>
      <c r="C925" s="54" t="s">
        <v>123</v>
      </c>
      <c r="D925" s="54" t="s">
        <v>188</v>
      </c>
      <c r="E925" s="54" t="s">
        <v>121</v>
      </c>
      <c r="F925" s="55" t="n">
        <v>81566.81</v>
      </c>
      <c r="G925" s="54" t="s">
        <v>123</v>
      </c>
      <c r="H925" s="56" t="n">
        <f aca="false">VLOOKUP(E925,Treatment_Table!$B$5:$E$11,4,FALSE())</f>
        <v>0</v>
      </c>
      <c r="I925" s="57" t="n">
        <f aca="false">F925*H925</f>
        <v>0</v>
      </c>
      <c r="J925" s="57" t="n">
        <f aca="false">IF(D925="Income",F925,-F925)</f>
        <v>-81566.81</v>
      </c>
    </row>
    <row r="926" customFormat="false" ht="15" hidden="false" customHeight="false" outlineLevel="0" collapsed="false">
      <c r="A926" s="54" t="s">
        <v>1138</v>
      </c>
      <c r="B926" s="54" t="s">
        <v>218</v>
      </c>
      <c r="C926" s="54" t="s">
        <v>130</v>
      </c>
      <c r="D926" s="54" t="s">
        <v>188</v>
      </c>
      <c r="E926" s="54" t="s">
        <v>121</v>
      </c>
      <c r="F926" s="55" t="n">
        <v>21212.7</v>
      </c>
      <c r="G926" s="54" t="s">
        <v>130</v>
      </c>
      <c r="H926" s="56" t="n">
        <f aca="false">VLOOKUP(E926,Treatment_Table!$B$5:$E$11,4,FALSE())</f>
        <v>0</v>
      </c>
      <c r="I926" s="57" t="n">
        <f aca="false">F926*H926</f>
        <v>0</v>
      </c>
      <c r="J926" s="57" t="n">
        <f aca="false">IF(D926="Income",F926,-F926)</f>
        <v>-21212.7</v>
      </c>
    </row>
    <row r="927" customFormat="false" ht="15" hidden="false" customHeight="false" outlineLevel="0" collapsed="false">
      <c r="A927" s="54" t="s">
        <v>1139</v>
      </c>
      <c r="B927" s="54" t="s">
        <v>230</v>
      </c>
      <c r="C927" s="54" t="s">
        <v>131</v>
      </c>
      <c r="D927" s="54" t="s">
        <v>188</v>
      </c>
      <c r="E927" s="54" t="s">
        <v>121</v>
      </c>
      <c r="F927" s="55" t="n">
        <v>117088.79</v>
      </c>
      <c r="G927" s="54" t="s">
        <v>131</v>
      </c>
      <c r="H927" s="56" t="n">
        <f aca="false">VLOOKUP(E927,Treatment_Table!$B$5:$E$11,4,FALSE())</f>
        <v>0</v>
      </c>
      <c r="I927" s="57" t="n">
        <f aca="false">F927*H927</f>
        <v>0</v>
      </c>
      <c r="J927" s="57" t="n">
        <f aca="false">IF(D927="Income",F927,-F927)</f>
        <v>-117088.79</v>
      </c>
    </row>
    <row r="928" customFormat="false" ht="15" hidden="false" customHeight="false" outlineLevel="0" collapsed="false">
      <c r="A928" s="54" t="s">
        <v>1140</v>
      </c>
      <c r="B928" s="54" t="s">
        <v>243</v>
      </c>
      <c r="C928" s="54" t="s">
        <v>128</v>
      </c>
      <c r="D928" s="54" t="s">
        <v>188</v>
      </c>
      <c r="E928" s="54" t="s">
        <v>121</v>
      </c>
      <c r="F928" s="55" t="n">
        <v>12979.73</v>
      </c>
      <c r="G928" s="54" t="s">
        <v>128</v>
      </c>
      <c r="H928" s="56" t="n">
        <f aca="false">VLOOKUP(E928,Treatment_Table!$B$5:$E$11,4,FALSE())</f>
        <v>0</v>
      </c>
      <c r="I928" s="57" t="n">
        <f aca="false">F928*H928</f>
        <v>0</v>
      </c>
      <c r="J928" s="57" t="n">
        <f aca="false">IF(D928="Income",F928,-F928)</f>
        <v>-12979.73</v>
      </c>
    </row>
    <row r="929" customFormat="false" ht="15" hidden="false" customHeight="false" outlineLevel="0" collapsed="false">
      <c r="A929" s="54" t="s">
        <v>1141</v>
      </c>
      <c r="B929" s="54" t="s">
        <v>216</v>
      </c>
      <c r="C929" s="54" t="s">
        <v>131</v>
      </c>
      <c r="D929" s="54" t="s">
        <v>188</v>
      </c>
      <c r="E929" s="54" t="s">
        <v>121</v>
      </c>
      <c r="F929" s="55" t="n">
        <v>36295.98</v>
      </c>
      <c r="G929" s="54" t="s">
        <v>131</v>
      </c>
      <c r="H929" s="56" t="n">
        <f aca="false">VLOOKUP(E929,Treatment_Table!$B$5:$E$11,4,FALSE())</f>
        <v>0</v>
      </c>
      <c r="I929" s="57" t="n">
        <f aca="false">F929*H929</f>
        <v>0</v>
      </c>
      <c r="J929" s="57" t="n">
        <f aca="false">IF(D929="Income",F929,-F929)</f>
        <v>-36295.98</v>
      </c>
    </row>
    <row r="930" customFormat="false" ht="15" hidden="false" customHeight="false" outlineLevel="0" collapsed="false">
      <c r="A930" s="54" t="s">
        <v>1142</v>
      </c>
      <c r="B930" s="54" t="s">
        <v>210</v>
      </c>
      <c r="C930" s="54" t="s">
        <v>129</v>
      </c>
      <c r="D930" s="54" t="s">
        <v>188</v>
      </c>
      <c r="E930" s="54" t="s">
        <v>121</v>
      </c>
      <c r="F930" s="55" t="n">
        <v>23132.84</v>
      </c>
      <c r="G930" s="54" t="s">
        <v>129</v>
      </c>
      <c r="H930" s="56" t="n">
        <f aca="false">VLOOKUP(E930,Treatment_Table!$B$5:$E$11,4,FALSE())</f>
        <v>0</v>
      </c>
      <c r="I930" s="57" t="n">
        <f aca="false">F930*H930</f>
        <v>0</v>
      </c>
      <c r="J930" s="57" t="n">
        <f aca="false">IF(D930="Income",F930,-F930)</f>
        <v>-23132.84</v>
      </c>
    </row>
    <row r="931" customFormat="false" ht="15" hidden="false" customHeight="false" outlineLevel="0" collapsed="false">
      <c r="A931" s="54" t="s">
        <v>1143</v>
      </c>
      <c r="B931" s="54" t="s">
        <v>247</v>
      </c>
      <c r="C931" s="54" t="s">
        <v>126</v>
      </c>
      <c r="D931" s="54" t="s">
        <v>188</v>
      </c>
      <c r="E931" s="54" t="s">
        <v>121</v>
      </c>
      <c r="F931" s="55" t="n">
        <v>9988.97</v>
      </c>
      <c r="G931" s="54" t="s">
        <v>126</v>
      </c>
      <c r="H931" s="56" t="n">
        <f aca="false">VLOOKUP(E931,Treatment_Table!$B$5:$E$11,4,FALSE())</f>
        <v>0</v>
      </c>
      <c r="I931" s="57" t="n">
        <f aca="false">F931*H931</f>
        <v>0</v>
      </c>
      <c r="J931" s="57" t="n">
        <f aca="false">IF(D931="Income",F931,-F931)</f>
        <v>-9988.97</v>
      </c>
    </row>
    <row r="932" customFormat="false" ht="15" hidden="false" customHeight="false" outlineLevel="0" collapsed="false">
      <c r="A932" s="54" t="s">
        <v>1144</v>
      </c>
      <c r="B932" s="54" t="s">
        <v>205</v>
      </c>
      <c r="C932" s="54" t="s">
        <v>131</v>
      </c>
      <c r="D932" s="54" t="s">
        <v>188</v>
      </c>
      <c r="E932" s="54" t="s">
        <v>121</v>
      </c>
      <c r="F932" s="55" t="n">
        <v>28100.69</v>
      </c>
      <c r="G932" s="54" t="s">
        <v>131</v>
      </c>
      <c r="H932" s="56" t="n">
        <f aca="false">VLOOKUP(E932,Treatment_Table!$B$5:$E$11,4,FALSE())</f>
        <v>0</v>
      </c>
      <c r="I932" s="57" t="n">
        <f aca="false">F932*H932</f>
        <v>0</v>
      </c>
      <c r="J932" s="57" t="n">
        <f aca="false">IF(D932="Income",F932,-F932)</f>
        <v>-28100.69</v>
      </c>
    </row>
    <row r="933" customFormat="false" ht="15" hidden="false" customHeight="false" outlineLevel="0" collapsed="false">
      <c r="A933" s="54" t="s">
        <v>1145</v>
      </c>
      <c r="B933" s="54" t="s">
        <v>210</v>
      </c>
      <c r="C933" s="54" t="s">
        <v>123</v>
      </c>
      <c r="D933" s="54" t="s">
        <v>188</v>
      </c>
      <c r="E933" s="54" t="s">
        <v>121</v>
      </c>
      <c r="F933" s="55" t="n">
        <v>135103.33</v>
      </c>
      <c r="G933" s="54" t="s">
        <v>123</v>
      </c>
      <c r="H933" s="56" t="n">
        <f aca="false">VLOOKUP(E933,Treatment_Table!$B$5:$E$11,4,FALSE())</f>
        <v>0</v>
      </c>
      <c r="I933" s="57" t="n">
        <f aca="false">F933*H933</f>
        <v>0</v>
      </c>
      <c r="J933" s="57" t="n">
        <f aca="false">IF(D933="Income",F933,-F933)</f>
        <v>-135103.33</v>
      </c>
    </row>
    <row r="934" customFormat="false" ht="15" hidden="false" customHeight="false" outlineLevel="0" collapsed="false">
      <c r="A934" s="54" t="s">
        <v>1146</v>
      </c>
      <c r="B934" s="54" t="s">
        <v>214</v>
      </c>
      <c r="C934" s="54" t="s">
        <v>130</v>
      </c>
      <c r="D934" s="54" t="s">
        <v>188</v>
      </c>
      <c r="E934" s="54" t="s">
        <v>121</v>
      </c>
      <c r="F934" s="55" t="n">
        <v>35940.04</v>
      </c>
      <c r="G934" s="54" t="s">
        <v>130</v>
      </c>
      <c r="H934" s="56" t="n">
        <f aca="false">VLOOKUP(E934,Treatment_Table!$B$5:$E$11,4,FALSE())</f>
        <v>0</v>
      </c>
      <c r="I934" s="57" t="n">
        <f aca="false">F934*H934</f>
        <v>0</v>
      </c>
      <c r="J934" s="57" t="n">
        <f aca="false">IF(D934="Income",F934,-F934)</f>
        <v>-35940.04</v>
      </c>
    </row>
    <row r="935" customFormat="false" ht="15" hidden="false" customHeight="false" outlineLevel="0" collapsed="false">
      <c r="A935" s="54" t="s">
        <v>1147</v>
      </c>
      <c r="B935" s="54" t="s">
        <v>247</v>
      </c>
      <c r="C935" s="54" t="s">
        <v>128</v>
      </c>
      <c r="D935" s="54" t="s">
        <v>188</v>
      </c>
      <c r="E935" s="54" t="s">
        <v>121</v>
      </c>
      <c r="F935" s="55" t="n">
        <v>15455.87</v>
      </c>
      <c r="G935" s="54" t="s">
        <v>128</v>
      </c>
      <c r="H935" s="56" t="n">
        <f aca="false">VLOOKUP(E935,Treatment_Table!$B$5:$E$11,4,FALSE())</f>
        <v>0</v>
      </c>
      <c r="I935" s="57" t="n">
        <f aca="false">F935*H935</f>
        <v>0</v>
      </c>
      <c r="J935" s="57" t="n">
        <f aca="false">IF(D935="Income",F935,-F935)</f>
        <v>-15455.87</v>
      </c>
    </row>
    <row r="936" customFormat="false" ht="15" hidden="false" customHeight="false" outlineLevel="0" collapsed="false">
      <c r="A936" s="54" t="s">
        <v>1148</v>
      </c>
      <c r="B936" s="54" t="s">
        <v>228</v>
      </c>
      <c r="C936" s="54" t="s">
        <v>123</v>
      </c>
      <c r="D936" s="54" t="s">
        <v>188</v>
      </c>
      <c r="E936" s="54" t="s">
        <v>121</v>
      </c>
      <c r="F936" s="55" t="n">
        <v>83666.07</v>
      </c>
      <c r="G936" s="54" t="s">
        <v>123</v>
      </c>
      <c r="H936" s="56" t="n">
        <f aca="false">VLOOKUP(E936,Treatment_Table!$B$5:$E$11,4,FALSE())</f>
        <v>0</v>
      </c>
      <c r="I936" s="57" t="n">
        <f aca="false">F936*H936</f>
        <v>0</v>
      </c>
      <c r="J936" s="57" t="n">
        <f aca="false">IF(D936="Income",F936,-F936)</f>
        <v>-83666.07</v>
      </c>
    </row>
    <row r="937" customFormat="false" ht="15" hidden="false" customHeight="false" outlineLevel="0" collapsed="false">
      <c r="A937" s="54" t="s">
        <v>1149</v>
      </c>
      <c r="B937" s="54" t="s">
        <v>247</v>
      </c>
      <c r="C937" s="54" t="s">
        <v>123</v>
      </c>
      <c r="D937" s="54" t="s">
        <v>188</v>
      </c>
      <c r="E937" s="54" t="s">
        <v>121</v>
      </c>
      <c r="F937" s="55" t="n">
        <v>109304.34</v>
      </c>
      <c r="G937" s="54" t="s">
        <v>123</v>
      </c>
      <c r="H937" s="56" t="n">
        <f aca="false">VLOOKUP(E937,Treatment_Table!$B$5:$E$11,4,FALSE())</f>
        <v>0</v>
      </c>
      <c r="I937" s="57" t="n">
        <f aca="false">F937*H937</f>
        <v>0</v>
      </c>
      <c r="J937" s="57" t="n">
        <f aca="false">IF(D937="Income",F937,-F937)</f>
        <v>-109304.34</v>
      </c>
    </row>
    <row r="938" customFormat="false" ht="15" hidden="false" customHeight="false" outlineLevel="0" collapsed="false">
      <c r="A938" s="54" t="s">
        <v>1150</v>
      </c>
      <c r="B938" s="54" t="s">
        <v>235</v>
      </c>
      <c r="C938" s="54" t="s">
        <v>126</v>
      </c>
      <c r="D938" s="54" t="s">
        <v>188</v>
      </c>
      <c r="E938" s="54" t="s">
        <v>121</v>
      </c>
      <c r="F938" s="55" t="n">
        <v>35675.49</v>
      </c>
      <c r="G938" s="54" t="s">
        <v>126</v>
      </c>
      <c r="H938" s="56" t="n">
        <f aca="false">VLOOKUP(E938,Treatment_Table!$B$5:$E$11,4,FALSE())</f>
        <v>0</v>
      </c>
      <c r="I938" s="57" t="n">
        <f aca="false">F938*H938</f>
        <v>0</v>
      </c>
      <c r="J938" s="57" t="n">
        <f aca="false">IF(D938="Income",F938,-F938)</f>
        <v>-35675.49</v>
      </c>
    </row>
    <row r="939" customFormat="false" ht="15" hidden="false" customHeight="false" outlineLevel="0" collapsed="false">
      <c r="A939" s="54" t="s">
        <v>1151</v>
      </c>
      <c r="B939" s="54" t="s">
        <v>235</v>
      </c>
      <c r="C939" s="54" t="s">
        <v>123</v>
      </c>
      <c r="D939" s="54" t="s">
        <v>188</v>
      </c>
      <c r="E939" s="54" t="s">
        <v>121</v>
      </c>
      <c r="F939" s="55" t="n">
        <v>197835.83</v>
      </c>
      <c r="G939" s="54" t="s">
        <v>123</v>
      </c>
      <c r="H939" s="56" t="n">
        <f aca="false">VLOOKUP(E939,Treatment_Table!$B$5:$E$11,4,FALSE())</f>
        <v>0</v>
      </c>
      <c r="I939" s="57" t="n">
        <f aca="false">F939*H939</f>
        <v>0</v>
      </c>
      <c r="J939" s="57" t="n">
        <f aca="false">IF(D939="Income",F939,-F939)</f>
        <v>-197835.83</v>
      </c>
    </row>
    <row r="940" customFormat="false" ht="15" hidden="false" customHeight="false" outlineLevel="0" collapsed="false">
      <c r="A940" s="54" t="s">
        <v>1152</v>
      </c>
      <c r="B940" s="54" t="s">
        <v>228</v>
      </c>
      <c r="C940" s="54" t="s">
        <v>138</v>
      </c>
      <c r="D940" s="54" t="s">
        <v>188</v>
      </c>
      <c r="E940" s="54" t="s">
        <v>139</v>
      </c>
      <c r="F940" s="55" t="n">
        <v>5619.98</v>
      </c>
      <c r="G940" s="54" t="s">
        <v>138</v>
      </c>
      <c r="H940" s="56" t="n">
        <f aca="false">VLOOKUP(E940,Treatment_Table!$B$5:$E$11,4,FALSE())</f>
        <v>0.5</v>
      </c>
      <c r="I940" s="57" t="n">
        <f aca="false">F940*H940</f>
        <v>2809.99</v>
      </c>
      <c r="J940" s="57" t="n">
        <f aca="false">IF(D940="Income",F940,-F940)</f>
        <v>-5619.98</v>
      </c>
    </row>
    <row r="941" customFormat="false" ht="15" hidden="false" customHeight="false" outlineLevel="0" collapsed="false">
      <c r="A941" s="54" t="s">
        <v>1153</v>
      </c>
      <c r="B941" s="54" t="s">
        <v>228</v>
      </c>
      <c r="C941" s="54" t="s">
        <v>132</v>
      </c>
      <c r="D941" s="54" t="s">
        <v>188</v>
      </c>
      <c r="E941" s="54" t="s">
        <v>121</v>
      </c>
      <c r="F941" s="55" t="n">
        <v>15230.56</v>
      </c>
      <c r="G941" s="54" t="s">
        <v>132</v>
      </c>
      <c r="H941" s="56" t="n">
        <f aca="false">VLOOKUP(E941,Treatment_Table!$B$5:$E$11,4,FALSE())</f>
        <v>0</v>
      </c>
      <c r="I941" s="57" t="n">
        <f aca="false">F941*H941</f>
        <v>0</v>
      </c>
      <c r="J941" s="57" t="n">
        <f aca="false">IF(D941="Income",F941,-F941)</f>
        <v>-15230.56</v>
      </c>
    </row>
    <row r="942" customFormat="false" ht="15" hidden="false" customHeight="false" outlineLevel="0" collapsed="false">
      <c r="A942" s="54" t="s">
        <v>1154</v>
      </c>
      <c r="B942" s="54" t="s">
        <v>210</v>
      </c>
      <c r="C942" s="54" t="s">
        <v>123</v>
      </c>
      <c r="D942" s="54" t="s">
        <v>188</v>
      </c>
      <c r="E942" s="54" t="s">
        <v>121</v>
      </c>
      <c r="F942" s="55" t="n">
        <v>76152.57</v>
      </c>
      <c r="G942" s="54" t="s">
        <v>123</v>
      </c>
      <c r="H942" s="56" t="n">
        <f aca="false">VLOOKUP(E942,Treatment_Table!$B$5:$E$11,4,FALSE())</f>
        <v>0</v>
      </c>
      <c r="I942" s="57" t="n">
        <f aca="false">F942*H942</f>
        <v>0</v>
      </c>
      <c r="J942" s="57" t="n">
        <f aca="false">IF(D942="Income",F942,-F942)</f>
        <v>-76152.57</v>
      </c>
    </row>
    <row r="943" customFormat="false" ht="15" hidden="false" customHeight="false" outlineLevel="0" collapsed="false">
      <c r="A943" s="54" t="s">
        <v>1155</v>
      </c>
      <c r="B943" s="54" t="s">
        <v>208</v>
      </c>
      <c r="C943" s="54" t="s">
        <v>133</v>
      </c>
      <c r="D943" s="54" t="s">
        <v>188</v>
      </c>
      <c r="E943" s="54" t="s">
        <v>134</v>
      </c>
      <c r="F943" s="55" t="n">
        <v>3211.44</v>
      </c>
      <c r="G943" s="54" t="s">
        <v>133</v>
      </c>
      <c r="H943" s="56" t="n">
        <f aca="false">VLOOKUP(E943,Treatment_Table!$B$5:$E$11,4,FALSE())</f>
        <v>1</v>
      </c>
      <c r="I943" s="57" t="n">
        <f aca="false">F943*H943</f>
        <v>3211.44</v>
      </c>
      <c r="J943" s="57" t="n">
        <f aca="false">IF(D943="Income",F943,-F943)</f>
        <v>-3211.44</v>
      </c>
    </row>
    <row r="944" customFormat="false" ht="15" hidden="false" customHeight="false" outlineLevel="0" collapsed="false">
      <c r="A944" s="54" t="s">
        <v>1156</v>
      </c>
      <c r="B944" s="54" t="s">
        <v>235</v>
      </c>
      <c r="C944" s="54" t="s">
        <v>123</v>
      </c>
      <c r="D944" s="54" t="s">
        <v>188</v>
      </c>
      <c r="E944" s="54" t="s">
        <v>121</v>
      </c>
      <c r="F944" s="55" t="n">
        <v>16184.43</v>
      </c>
      <c r="G944" s="54" t="s">
        <v>123</v>
      </c>
      <c r="H944" s="56" t="n">
        <f aca="false">VLOOKUP(E944,Treatment_Table!$B$5:$E$11,4,FALSE())</f>
        <v>0</v>
      </c>
      <c r="I944" s="57" t="n">
        <f aca="false">F944*H944</f>
        <v>0</v>
      </c>
      <c r="J944" s="57" t="n">
        <f aca="false">IF(D944="Income",F944,-F944)</f>
        <v>-16184.43</v>
      </c>
    </row>
    <row r="945" customFormat="false" ht="15" hidden="false" customHeight="false" outlineLevel="0" collapsed="false">
      <c r="A945" s="54" t="s">
        <v>1157</v>
      </c>
      <c r="B945" s="54" t="s">
        <v>214</v>
      </c>
      <c r="C945" s="54" t="s">
        <v>132</v>
      </c>
      <c r="D945" s="54" t="s">
        <v>188</v>
      </c>
      <c r="E945" s="54" t="s">
        <v>121</v>
      </c>
      <c r="F945" s="55" t="n">
        <v>10766.51</v>
      </c>
      <c r="G945" s="54" t="s">
        <v>132</v>
      </c>
      <c r="H945" s="56" t="n">
        <f aca="false">VLOOKUP(E945,Treatment_Table!$B$5:$E$11,4,FALSE())</f>
        <v>0</v>
      </c>
      <c r="I945" s="57" t="n">
        <f aca="false">F945*H945</f>
        <v>0</v>
      </c>
      <c r="J945" s="57" t="n">
        <f aca="false">IF(D945="Income",F945,-F945)</f>
        <v>-10766.51</v>
      </c>
    </row>
    <row r="946" customFormat="false" ht="15" hidden="false" customHeight="false" outlineLevel="0" collapsed="false">
      <c r="A946" s="54" t="s">
        <v>1158</v>
      </c>
      <c r="B946" s="54" t="s">
        <v>223</v>
      </c>
      <c r="C946" s="54" t="s">
        <v>130</v>
      </c>
      <c r="D946" s="54" t="s">
        <v>188</v>
      </c>
      <c r="E946" s="54" t="s">
        <v>121</v>
      </c>
      <c r="F946" s="55" t="n">
        <v>34727.87</v>
      </c>
      <c r="G946" s="54" t="s">
        <v>130</v>
      </c>
      <c r="H946" s="56" t="n">
        <f aca="false">VLOOKUP(E946,Treatment_Table!$B$5:$E$11,4,FALSE())</f>
        <v>0</v>
      </c>
      <c r="I946" s="57" t="n">
        <f aca="false">F946*H946</f>
        <v>0</v>
      </c>
      <c r="J946" s="57" t="n">
        <f aca="false">IF(D946="Income",F946,-F946)</f>
        <v>-34727.87</v>
      </c>
    </row>
    <row r="947" customFormat="false" ht="15" hidden="false" customHeight="false" outlineLevel="0" collapsed="false">
      <c r="A947" s="54" t="s">
        <v>1159</v>
      </c>
      <c r="B947" s="54" t="s">
        <v>235</v>
      </c>
      <c r="C947" s="54" t="s">
        <v>126</v>
      </c>
      <c r="D947" s="54" t="s">
        <v>188</v>
      </c>
      <c r="E947" s="54" t="s">
        <v>121</v>
      </c>
      <c r="F947" s="55" t="n">
        <v>52580.07</v>
      </c>
      <c r="G947" s="54" t="s">
        <v>126</v>
      </c>
      <c r="H947" s="56" t="n">
        <f aca="false">VLOOKUP(E947,Treatment_Table!$B$5:$E$11,4,FALSE())</f>
        <v>0</v>
      </c>
      <c r="I947" s="57" t="n">
        <f aca="false">F947*H947</f>
        <v>0</v>
      </c>
      <c r="J947" s="57" t="n">
        <f aca="false">IF(D947="Income",F947,-F947)</f>
        <v>-52580.07</v>
      </c>
    </row>
    <row r="948" customFormat="false" ht="15" hidden="false" customHeight="false" outlineLevel="0" collapsed="false">
      <c r="A948" s="54" t="s">
        <v>1160</v>
      </c>
      <c r="B948" s="54" t="s">
        <v>230</v>
      </c>
      <c r="C948" s="54" t="s">
        <v>129</v>
      </c>
      <c r="D948" s="54" t="s">
        <v>188</v>
      </c>
      <c r="E948" s="54" t="s">
        <v>121</v>
      </c>
      <c r="F948" s="55" t="n">
        <v>33555.16</v>
      </c>
      <c r="G948" s="54" t="s">
        <v>129</v>
      </c>
      <c r="H948" s="56" t="n">
        <f aca="false">VLOOKUP(E948,Treatment_Table!$B$5:$E$11,4,FALSE())</f>
        <v>0</v>
      </c>
      <c r="I948" s="57" t="n">
        <f aca="false">F948*H948</f>
        <v>0</v>
      </c>
      <c r="J948" s="57" t="n">
        <f aca="false">IF(D948="Income",F948,-F948)</f>
        <v>-33555.16</v>
      </c>
    </row>
    <row r="949" customFormat="false" ht="15" hidden="false" customHeight="false" outlineLevel="0" collapsed="false">
      <c r="A949" s="54" t="s">
        <v>1161</v>
      </c>
      <c r="B949" s="54" t="s">
        <v>210</v>
      </c>
      <c r="C949" s="54" t="s">
        <v>123</v>
      </c>
      <c r="D949" s="54" t="s">
        <v>188</v>
      </c>
      <c r="E949" s="54" t="s">
        <v>121</v>
      </c>
      <c r="F949" s="55" t="n">
        <v>76404.42</v>
      </c>
      <c r="G949" s="54" t="s">
        <v>123</v>
      </c>
      <c r="H949" s="56" t="n">
        <f aca="false">VLOOKUP(E949,Treatment_Table!$B$5:$E$11,4,FALSE())</f>
        <v>0</v>
      </c>
      <c r="I949" s="57" t="n">
        <f aca="false">F949*H949</f>
        <v>0</v>
      </c>
      <c r="J949" s="57" t="n">
        <f aca="false">IF(D949="Income",F949,-F949)</f>
        <v>-76404.42</v>
      </c>
    </row>
    <row r="950" customFormat="false" ht="15" hidden="false" customHeight="false" outlineLevel="0" collapsed="false">
      <c r="A950" s="54" t="s">
        <v>1162</v>
      </c>
      <c r="B950" s="54" t="s">
        <v>210</v>
      </c>
      <c r="C950" s="54" t="s">
        <v>130</v>
      </c>
      <c r="D950" s="54" t="s">
        <v>188</v>
      </c>
      <c r="E950" s="54" t="s">
        <v>121</v>
      </c>
      <c r="F950" s="55" t="n">
        <v>49699.97</v>
      </c>
      <c r="G950" s="54" t="s">
        <v>130</v>
      </c>
      <c r="H950" s="56" t="n">
        <f aca="false">VLOOKUP(E950,Treatment_Table!$B$5:$E$11,4,FALSE())</f>
        <v>0</v>
      </c>
      <c r="I950" s="57" t="n">
        <f aca="false">F950*H950</f>
        <v>0</v>
      </c>
      <c r="J950" s="57" t="n">
        <f aca="false">IF(D950="Income",F950,-F950)</f>
        <v>-49699.97</v>
      </c>
    </row>
    <row r="951" customFormat="false" ht="15" hidden="false" customHeight="false" outlineLevel="0" collapsed="false">
      <c r="A951" s="54" t="s">
        <v>1163</v>
      </c>
      <c r="B951" s="54" t="s">
        <v>208</v>
      </c>
      <c r="C951" s="54" t="s">
        <v>123</v>
      </c>
      <c r="D951" s="54" t="s">
        <v>188</v>
      </c>
      <c r="E951" s="54" t="s">
        <v>121</v>
      </c>
      <c r="F951" s="55" t="n">
        <v>346162.92</v>
      </c>
      <c r="G951" s="54" t="s">
        <v>123</v>
      </c>
      <c r="H951" s="56" t="n">
        <f aca="false">VLOOKUP(E951,Treatment_Table!$B$5:$E$11,4,FALSE())</f>
        <v>0</v>
      </c>
      <c r="I951" s="57" t="n">
        <f aca="false">F951*H951</f>
        <v>0</v>
      </c>
      <c r="J951" s="57" t="n">
        <f aca="false">IF(D951="Income",F951,-F951)</f>
        <v>-346162.92</v>
      </c>
    </row>
    <row r="952" customFormat="false" ht="15" hidden="false" customHeight="false" outlineLevel="0" collapsed="false">
      <c r="A952" s="54" t="s">
        <v>1164</v>
      </c>
      <c r="B952" s="54" t="s">
        <v>228</v>
      </c>
      <c r="C952" s="54" t="s">
        <v>128</v>
      </c>
      <c r="D952" s="54" t="s">
        <v>188</v>
      </c>
      <c r="E952" s="54" t="s">
        <v>121</v>
      </c>
      <c r="F952" s="55" t="n">
        <v>28747.34</v>
      </c>
      <c r="G952" s="54" t="s">
        <v>128</v>
      </c>
      <c r="H952" s="56" t="n">
        <f aca="false">VLOOKUP(E952,Treatment_Table!$B$5:$E$11,4,FALSE())</f>
        <v>0</v>
      </c>
      <c r="I952" s="57" t="n">
        <f aca="false">F952*H952</f>
        <v>0</v>
      </c>
      <c r="J952" s="57" t="n">
        <f aca="false">IF(D952="Income",F952,-F952)</f>
        <v>-28747.34</v>
      </c>
    </row>
    <row r="953" customFormat="false" ht="15" hidden="false" customHeight="false" outlineLevel="0" collapsed="false">
      <c r="A953" s="54" t="s">
        <v>1165</v>
      </c>
      <c r="B953" s="54" t="s">
        <v>230</v>
      </c>
      <c r="C953" s="54" t="s">
        <v>130</v>
      </c>
      <c r="D953" s="54" t="s">
        <v>188</v>
      </c>
      <c r="E953" s="54" t="s">
        <v>121</v>
      </c>
      <c r="F953" s="55" t="n">
        <v>63939.4</v>
      </c>
      <c r="G953" s="54" t="s">
        <v>130</v>
      </c>
      <c r="H953" s="56" t="n">
        <f aca="false">VLOOKUP(E953,Treatment_Table!$B$5:$E$11,4,FALSE())</f>
        <v>0</v>
      </c>
      <c r="I953" s="57" t="n">
        <f aca="false">F953*H953</f>
        <v>0</v>
      </c>
      <c r="J953" s="57" t="n">
        <f aca="false">IF(D953="Income",F953,-F953)</f>
        <v>-63939.4</v>
      </c>
    </row>
    <row r="954" customFormat="false" ht="15" hidden="false" customHeight="false" outlineLevel="0" collapsed="false">
      <c r="A954" s="54" t="s">
        <v>1166</v>
      </c>
      <c r="B954" s="54" t="s">
        <v>247</v>
      </c>
      <c r="C954" s="54" t="s">
        <v>123</v>
      </c>
      <c r="D954" s="54" t="s">
        <v>188</v>
      </c>
      <c r="E954" s="54" t="s">
        <v>121</v>
      </c>
      <c r="F954" s="55" t="n">
        <v>44820.78</v>
      </c>
      <c r="G954" s="54" t="s">
        <v>123</v>
      </c>
      <c r="H954" s="56" t="n">
        <f aca="false">VLOOKUP(E954,Treatment_Table!$B$5:$E$11,4,FALSE())</f>
        <v>0</v>
      </c>
      <c r="I954" s="57" t="n">
        <f aca="false">F954*H954</f>
        <v>0</v>
      </c>
      <c r="J954" s="57" t="n">
        <f aca="false">IF(D954="Income",F954,-F954)</f>
        <v>-44820.78</v>
      </c>
    </row>
    <row r="955" customFormat="false" ht="15" hidden="false" customHeight="false" outlineLevel="0" collapsed="false">
      <c r="A955" s="54" t="s">
        <v>1167</v>
      </c>
      <c r="B955" s="54" t="s">
        <v>218</v>
      </c>
      <c r="C955" s="54" t="s">
        <v>132</v>
      </c>
      <c r="D955" s="54" t="s">
        <v>188</v>
      </c>
      <c r="E955" s="54" t="s">
        <v>121</v>
      </c>
      <c r="F955" s="55" t="n">
        <v>19595.33</v>
      </c>
      <c r="G955" s="54" t="s">
        <v>132</v>
      </c>
      <c r="H955" s="56" t="n">
        <f aca="false">VLOOKUP(E955,Treatment_Table!$B$5:$E$11,4,FALSE())</f>
        <v>0</v>
      </c>
      <c r="I955" s="57" t="n">
        <f aca="false">F955*H955</f>
        <v>0</v>
      </c>
      <c r="J955" s="57" t="n">
        <f aca="false">IF(D955="Income",F955,-F955)</f>
        <v>-19595.33</v>
      </c>
    </row>
    <row r="956" customFormat="false" ht="15" hidden="false" customHeight="false" outlineLevel="0" collapsed="false">
      <c r="A956" s="54" t="s">
        <v>1168</v>
      </c>
      <c r="B956" s="54" t="s">
        <v>216</v>
      </c>
      <c r="C956" s="54" t="s">
        <v>129</v>
      </c>
      <c r="D956" s="54" t="s">
        <v>188</v>
      </c>
      <c r="E956" s="54" t="s">
        <v>121</v>
      </c>
      <c r="F956" s="55" t="n">
        <v>24042.77</v>
      </c>
      <c r="G956" s="54" t="s">
        <v>129</v>
      </c>
      <c r="H956" s="56" t="n">
        <f aca="false">VLOOKUP(E956,Treatment_Table!$B$5:$E$11,4,FALSE())</f>
        <v>0</v>
      </c>
      <c r="I956" s="57" t="n">
        <f aca="false">F956*H956</f>
        <v>0</v>
      </c>
      <c r="J956" s="57" t="n">
        <f aca="false">IF(D956="Income",F956,-F956)</f>
        <v>-24042.77</v>
      </c>
    </row>
    <row r="957" customFormat="false" ht="15" hidden="false" customHeight="false" outlineLevel="0" collapsed="false">
      <c r="A957" s="54" t="s">
        <v>1169</v>
      </c>
      <c r="B957" s="54" t="s">
        <v>208</v>
      </c>
      <c r="C957" s="54" t="s">
        <v>132</v>
      </c>
      <c r="D957" s="54" t="s">
        <v>188</v>
      </c>
      <c r="E957" s="54" t="s">
        <v>121</v>
      </c>
      <c r="F957" s="55" t="n">
        <v>11667.1</v>
      </c>
      <c r="G957" s="54" t="s">
        <v>132</v>
      </c>
      <c r="H957" s="56" t="n">
        <f aca="false">VLOOKUP(E957,Treatment_Table!$B$5:$E$11,4,FALSE())</f>
        <v>0</v>
      </c>
      <c r="I957" s="57" t="n">
        <f aca="false">F957*H957</f>
        <v>0</v>
      </c>
      <c r="J957" s="57" t="n">
        <f aca="false">IF(D957="Income",F957,-F957)</f>
        <v>-11667.1</v>
      </c>
    </row>
    <row r="958" customFormat="false" ht="15" hidden="false" customHeight="false" outlineLevel="0" collapsed="false">
      <c r="A958" s="54" t="s">
        <v>1170</v>
      </c>
      <c r="B958" s="54" t="s">
        <v>205</v>
      </c>
      <c r="C958" s="54" t="s">
        <v>126</v>
      </c>
      <c r="D958" s="54" t="s">
        <v>188</v>
      </c>
      <c r="E958" s="54" t="s">
        <v>121</v>
      </c>
      <c r="F958" s="55" t="n">
        <v>38512.14</v>
      </c>
      <c r="G958" s="54" t="s">
        <v>126</v>
      </c>
      <c r="H958" s="56" t="n">
        <f aca="false">VLOOKUP(E958,Treatment_Table!$B$5:$E$11,4,FALSE())</f>
        <v>0</v>
      </c>
      <c r="I958" s="57" t="n">
        <f aca="false">F958*H958</f>
        <v>0</v>
      </c>
      <c r="J958" s="57" t="n">
        <f aca="false">IF(D958="Income",F958,-F958)</f>
        <v>-38512.14</v>
      </c>
    </row>
    <row r="959" customFormat="false" ht="15" hidden="false" customHeight="false" outlineLevel="0" collapsed="false">
      <c r="A959" s="54" t="s">
        <v>1171</v>
      </c>
      <c r="B959" s="54" t="s">
        <v>223</v>
      </c>
      <c r="C959" s="54" t="s">
        <v>123</v>
      </c>
      <c r="D959" s="54" t="s">
        <v>188</v>
      </c>
      <c r="E959" s="54" t="s">
        <v>121</v>
      </c>
      <c r="F959" s="55" t="n">
        <v>89672.42</v>
      </c>
      <c r="G959" s="54" t="s">
        <v>123</v>
      </c>
      <c r="H959" s="56" t="n">
        <f aca="false">VLOOKUP(E959,Treatment_Table!$B$5:$E$11,4,FALSE())</f>
        <v>0</v>
      </c>
      <c r="I959" s="57" t="n">
        <f aca="false">F959*H959</f>
        <v>0</v>
      </c>
      <c r="J959" s="57" t="n">
        <f aca="false">IF(D959="Income",F959,-F959)</f>
        <v>-89672.42</v>
      </c>
    </row>
    <row r="960" customFormat="false" ht="15" hidden="false" customHeight="false" outlineLevel="0" collapsed="false">
      <c r="A960" s="54" t="s">
        <v>1172</v>
      </c>
      <c r="B960" s="54" t="s">
        <v>218</v>
      </c>
      <c r="C960" s="54" t="s">
        <v>127</v>
      </c>
      <c r="D960" s="54" t="s">
        <v>188</v>
      </c>
      <c r="E960" s="54" t="s">
        <v>121</v>
      </c>
      <c r="F960" s="55" t="n">
        <v>9115.33</v>
      </c>
      <c r="G960" s="54" t="s">
        <v>127</v>
      </c>
      <c r="H960" s="56" t="n">
        <f aca="false">VLOOKUP(E960,Treatment_Table!$B$5:$E$11,4,FALSE())</f>
        <v>0</v>
      </c>
      <c r="I960" s="57" t="n">
        <f aca="false">F960*H960</f>
        <v>0</v>
      </c>
      <c r="J960" s="57" t="n">
        <f aca="false">IF(D960="Income",F960,-F960)</f>
        <v>-9115.33</v>
      </c>
    </row>
    <row r="961" customFormat="false" ht="15" hidden="false" customHeight="false" outlineLevel="0" collapsed="false">
      <c r="A961" s="54" t="s">
        <v>1173</v>
      </c>
      <c r="B961" s="54" t="s">
        <v>218</v>
      </c>
      <c r="C961" s="54" t="s">
        <v>130</v>
      </c>
      <c r="D961" s="54" t="s">
        <v>188</v>
      </c>
      <c r="E961" s="54" t="s">
        <v>121</v>
      </c>
      <c r="F961" s="55" t="n">
        <v>81413.29</v>
      </c>
      <c r="G961" s="54" t="s">
        <v>130</v>
      </c>
      <c r="H961" s="56" t="n">
        <f aca="false">VLOOKUP(E961,Treatment_Table!$B$5:$E$11,4,FALSE())</f>
        <v>0</v>
      </c>
      <c r="I961" s="57" t="n">
        <f aca="false">F961*H961</f>
        <v>0</v>
      </c>
      <c r="J961" s="57" t="n">
        <f aca="false">IF(D961="Income",F961,-F961)</f>
        <v>-81413.29</v>
      </c>
    </row>
    <row r="962" customFormat="false" ht="15" hidden="false" customHeight="false" outlineLevel="0" collapsed="false">
      <c r="A962" s="54" t="s">
        <v>1174</v>
      </c>
      <c r="B962" s="54" t="s">
        <v>216</v>
      </c>
      <c r="C962" s="54" t="s">
        <v>137</v>
      </c>
      <c r="D962" s="54" t="s">
        <v>188</v>
      </c>
      <c r="E962" s="54" t="s">
        <v>134</v>
      </c>
      <c r="F962" s="55" t="n">
        <v>63744.85</v>
      </c>
      <c r="G962" s="54" t="s">
        <v>137</v>
      </c>
      <c r="H962" s="56" t="n">
        <f aca="false">VLOOKUP(E962,Treatment_Table!$B$5:$E$11,4,FALSE())</f>
        <v>1</v>
      </c>
      <c r="I962" s="57" t="n">
        <f aca="false">F962*H962</f>
        <v>63744.85</v>
      </c>
      <c r="J962" s="57" t="n">
        <f aca="false">IF(D962="Income",F962,-F962)</f>
        <v>-63744.85</v>
      </c>
    </row>
    <row r="963" customFormat="false" ht="15" hidden="false" customHeight="false" outlineLevel="0" collapsed="false">
      <c r="A963" s="54" t="s">
        <v>1175</v>
      </c>
      <c r="B963" s="54" t="s">
        <v>235</v>
      </c>
      <c r="C963" s="54" t="s">
        <v>130</v>
      </c>
      <c r="D963" s="54" t="s">
        <v>188</v>
      </c>
      <c r="E963" s="54" t="s">
        <v>121</v>
      </c>
      <c r="F963" s="55" t="n">
        <v>63021.06</v>
      </c>
      <c r="G963" s="54" t="s">
        <v>130</v>
      </c>
      <c r="H963" s="56" t="n">
        <f aca="false">VLOOKUP(E963,Treatment_Table!$B$5:$E$11,4,FALSE())</f>
        <v>0</v>
      </c>
      <c r="I963" s="57" t="n">
        <f aca="false">F963*H963</f>
        <v>0</v>
      </c>
      <c r="J963" s="57" t="n">
        <f aca="false">IF(D963="Income",F963,-F963)</f>
        <v>-63021.06</v>
      </c>
    </row>
    <row r="964" customFormat="false" ht="15" hidden="false" customHeight="false" outlineLevel="0" collapsed="false">
      <c r="A964" s="54" t="s">
        <v>1176</v>
      </c>
      <c r="B964" s="54" t="s">
        <v>205</v>
      </c>
      <c r="C964" s="54" t="s">
        <v>131</v>
      </c>
      <c r="D964" s="54" t="s">
        <v>188</v>
      </c>
      <c r="E964" s="54" t="s">
        <v>121</v>
      </c>
      <c r="F964" s="55" t="n">
        <v>47552.76</v>
      </c>
      <c r="G964" s="54" t="s">
        <v>131</v>
      </c>
      <c r="H964" s="56" t="n">
        <f aca="false">VLOOKUP(E964,Treatment_Table!$B$5:$E$11,4,FALSE())</f>
        <v>0</v>
      </c>
      <c r="I964" s="57" t="n">
        <f aca="false">F964*H964</f>
        <v>0</v>
      </c>
      <c r="J964" s="57" t="n">
        <f aca="false">IF(D964="Income",F964,-F964)</f>
        <v>-47552.76</v>
      </c>
    </row>
    <row r="965" customFormat="false" ht="15" hidden="false" customHeight="false" outlineLevel="0" collapsed="false">
      <c r="A965" s="54" t="s">
        <v>1177</v>
      </c>
      <c r="B965" s="54" t="s">
        <v>230</v>
      </c>
      <c r="C965" s="54" t="s">
        <v>123</v>
      </c>
      <c r="D965" s="54" t="s">
        <v>188</v>
      </c>
      <c r="E965" s="54" t="s">
        <v>121</v>
      </c>
      <c r="F965" s="55" t="n">
        <v>129680.99</v>
      </c>
      <c r="G965" s="54" t="s">
        <v>123</v>
      </c>
      <c r="H965" s="56" t="n">
        <f aca="false">VLOOKUP(E965,Treatment_Table!$B$5:$E$11,4,FALSE())</f>
        <v>0</v>
      </c>
      <c r="I965" s="57" t="n">
        <f aca="false">F965*H965</f>
        <v>0</v>
      </c>
      <c r="J965" s="57" t="n">
        <f aca="false">IF(D965="Income",F965,-F965)</f>
        <v>-129680.99</v>
      </c>
    </row>
    <row r="966" customFormat="false" ht="15" hidden="false" customHeight="false" outlineLevel="0" collapsed="false">
      <c r="A966" s="54" t="s">
        <v>1178</v>
      </c>
      <c r="B966" s="54" t="s">
        <v>228</v>
      </c>
      <c r="C966" s="54" t="s">
        <v>120</v>
      </c>
      <c r="D966" s="54" t="s">
        <v>188</v>
      </c>
      <c r="E966" s="54" t="s">
        <v>121</v>
      </c>
      <c r="F966" s="55" t="n">
        <v>12452.82</v>
      </c>
      <c r="G966" s="54" t="s">
        <v>120</v>
      </c>
      <c r="H966" s="56" t="n">
        <f aca="false">VLOOKUP(E966,Treatment_Table!$B$5:$E$11,4,FALSE())</f>
        <v>0</v>
      </c>
      <c r="I966" s="57" t="n">
        <f aca="false">F966*H966</f>
        <v>0</v>
      </c>
      <c r="J966" s="57" t="n">
        <f aca="false">IF(D966="Income",F966,-F966)</f>
        <v>-12452.82</v>
      </c>
    </row>
    <row r="967" customFormat="false" ht="15" hidden="false" customHeight="false" outlineLevel="0" collapsed="false">
      <c r="A967" s="54" t="s">
        <v>1179</v>
      </c>
      <c r="B967" s="54" t="s">
        <v>247</v>
      </c>
      <c r="C967" s="54" t="s">
        <v>131</v>
      </c>
      <c r="D967" s="54" t="s">
        <v>188</v>
      </c>
      <c r="E967" s="54" t="s">
        <v>121</v>
      </c>
      <c r="F967" s="55" t="n">
        <v>29528.36</v>
      </c>
      <c r="G967" s="54" t="s">
        <v>131</v>
      </c>
      <c r="H967" s="56" t="n">
        <f aca="false">VLOOKUP(E967,Treatment_Table!$B$5:$E$11,4,FALSE())</f>
        <v>0</v>
      </c>
      <c r="I967" s="57" t="n">
        <f aca="false">F967*H967</f>
        <v>0</v>
      </c>
      <c r="J967" s="57" t="n">
        <f aca="false">IF(D967="Income",F967,-F967)</f>
        <v>-29528.36</v>
      </c>
    </row>
    <row r="968" customFormat="false" ht="15" hidden="false" customHeight="false" outlineLevel="0" collapsed="false">
      <c r="A968" s="54" t="s">
        <v>1180</v>
      </c>
      <c r="B968" s="54" t="s">
        <v>218</v>
      </c>
      <c r="C968" s="54" t="s">
        <v>131</v>
      </c>
      <c r="D968" s="54" t="s">
        <v>188</v>
      </c>
      <c r="E968" s="54" t="s">
        <v>121</v>
      </c>
      <c r="F968" s="55" t="n">
        <v>72825.2</v>
      </c>
      <c r="G968" s="54" t="s">
        <v>131</v>
      </c>
      <c r="H968" s="56" t="n">
        <f aca="false">VLOOKUP(E968,Treatment_Table!$B$5:$E$11,4,FALSE())</f>
        <v>0</v>
      </c>
      <c r="I968" s="57" t="n">
        <f aca="false">F968*H968</f>
        <v>0</v>
      </c>
      <c r="J968" s="57" t="n">
        <f aca="false">IF(D968="Income",F968,-F968)</f>
        <v>-72825.2</v>
      </c>
    </row>
    <row r="969" customFormat="false" ht="15" hidden="false" customHeight="false" outlineLevel="0" collapsed="false">
      <c r="A969" s="54" t="s">
        <v>1181</v>
      </c>
      <c r="B969" s="54" t="s">
        <v>205</v>
      </c>
      <c r="C969" s="54" t="s">
        <v>131</v>
      </c>
      <c r="D969" s="54" t="s">
        <v>188</v>
      </c>
      <c r="E969" s="54" t="s">
        <v>121</v>
      </c>
      <c r="F969" s="55" t="n">
        <v>32822.34</v>
      </c>
      <c r="G969" s="54" t="s">
        <v>131</v>
      </c>
      <c r="H969" s="56" t="n">
        <f aca="false">VLOOKUP(E969,Treatment_Table!$B$5:$E$11,4,FALSE())</f>
        <v>0</v>
      </c>
      <c r="I969" s="57" t="n">
        <f aca="false">F969*H969</f>
        <v>0</v>
      </c>
      <c r="J969" s="57" t="n">
        <f aca="false">IF(D969="Income",F969,-F969)</f>
        <v>-32822.34</v>
      </c>
    </row>
    <row r="970" customFormat="false" ht="15" hidden="false" customHeight="false" outlineLevel="0" collapsed="false">
      <c r="A970" s="54" t="s">
        <v>1182</v>
      </c>
      <c r="B970" s="54" t="s">
        <v>205</v>
      </c>
      <c r="C970" s="54" t="s">
        <v>138</v>
      </c>
      <c r="D970" s="54" t="s">
        <v>188</v>
      </c>
      <c r="E970" s="54" t="s">
        <v>139</v>
      </c>
      <c r="F970" s="55" t="n">
        <v>6638.36</v>
      </c>
      <c r="G970" s="54" t="s">
        <v>138</v>
      </c>
      <c r="H970" s="56" t="n">
        <f aca="false">VLOOKUP(E970,Treatment_Table!$B$5:$E$11,4,FALSE())</f>
        <v>0.5</v>
      </c>
      <c r="I970" s="57" t="n">
        <f aca="false">F970*H970</f>
        <v>3319.18</v>
      </c>
      <c r="J970" s="57" t="n">
        <f aca="false">IF(D970="Income",F970,-F970)</f>
        <v>-6638.36</v>
      </c>
    </row>
    <row r="971" customFormat="false" ht="15" hidden="false" customHeight="false" outlineLevel="0" collapsed="false">
      <c r="A971" s="54" t="s">
        <v>1183</v>
      </c>
      <c r="B971" s="54" t="s">
        <v>247</v>
      </c>
      <c r="C971" s="54" t="s">
        <v>130</v>
      </c>
      <c r="D971" s="54" t="s">
        <v>188</v>
      </c>
      <c r="E971" s="54" t="s">
        <v>121</v>
      </c>
      <c r="F971" s="55" t="n">
        <v>69983.55</v>
      </c>
      <c r="G971" s="54" t="s">
        <v>130</v>
      </c>
      <c r="H971" s="56" t="n">
        <f aca="false">VLOOKUP(E971,Treatment_Table!$B$5:$E$11,4,FALSE())</f>
        <v>0</v>
      </c>
      <c r="I971" s="57" t="n">
        <f aca="false">F971*H971</f>
        <v>0</v>
      </c>
      <c r="J971" s="57" t="n">
        <f aca="false">IF(D971="Income",F971,-F971)</f>
        <v>-69983.55</v>
      </c>
    </row>
    <row r="972" customFormat="false" ht="15" hidden="false" customHeight="false" outlineLevel="0" collapsed="false">
      <c r="A972" s="54" t="s">
        <v>1184</v>
      </c>
      <c r="B972" s="54" t="s">
        <v>243</v>
      </c>
      <c r="C972" s="54" t="s">
        <v>123</v>
      </c>
      <c r="D972" s="54" t="s">
        <v>188</v>
      </c>
      <c r="E972" s="54" t="s">
        <v>121</v>
      </c>
      <c r="F972" s="55" t="n">
        <v>86146.63</v>
      </c>
      <c r="G972" s="54" t="s">
        <v>123</v>
      </c>
      <c r="H972" s="56" t="n">
        <f aca="false">VLOOKUP(E972,Treatment_Table!$B$5:$E$11,4,FALSE())</f>
        <v>0</v>
      </c>
      <c r="I972" s="57" t="n">
        <f aca="false">F972*H972</f>
        <v>0</v>
      </c>
      <c r="J972" s="57" t="n">
        <f aca="false">IF(D972="Income",F972,-F972)</f>
        <v>-86146.63</v>
      </c>
    </row>
    <row r="973" customFormat="false" ht="15" hidden="false" customHeight="false" outlineLevel="0" collapsed="false">
      <c r="A973" s="54" t="s">
        <v>1185</v>
      </c>
      <c r="B973" s="54" t="s">
        <v>216</v>
      </c>
      <c r="C973" s="54" t="s">
        <v>124</v>
      </c>
      <c r="D973" s="54" t="s">
        <v>188</v>
      </c>
      <c r="E973" s="54" t="s">
        <v>121</v>
      </c>
      <c r="F973" s="55" t="n">
        <v>20610.4</v>
      </c>
      <c r="G973" s="54" t="s">
        <v>124</v>
      </c>
      <c r="H973" s="56" t="n">
        <f aca="false">VLOOKUP(E973,Treatment_Table!$B$5:$E$11,4,FALSE())</f>
        <v>0</v>
      </c>
      <c r="I973" s="57" t="n">
        <f aca="false">F973*H973</f>
        <v>0</v>
      </c>
      <c r="J973" s="57" t="n">
        <f aca="false">IF(D973="Income",F973,-F973)</f>
        <v>-20610.4</v>
      </c>
    </row>
    <row r="974" customFormat="false" ht="15" hidden="false" customHeight="false" outlineLevel="0" collapsed="false">
      <c r="A974" s="54" t="s">
        <v>1186</v>
      </c>
      <c r="B974" s="54" t="s">
        <v>210</v>
      </c>
      <c r="C974" s="54" t="s">
        <v>123</v>
      </c>
      <c r="D974" s="54" t="s">
        <v>188</v>
      </c>
      <c r="E974" s="54" t="s">
        <v>121</v>
      </c>
      <c r="F974" s="55" t="n">
        <v>50050.97</v>
      </c>
      <c r="G974" s="54" t="s">
        <v>123</v>
      </c>
      <c r="H974" s="56" t="n">
        <f aca="false">VLOOKUP(E974,Treatment_Table!$B$5:$E$11,4,FALSE())</f>
        <v>0</v>
      </c>
      <c r="I974" s="57" t="n">
        <f aca="false">F974*H974</f>
        <v>0</v>
      </c>
      <c r="J974" s="57" t="n">
        <f aca="false">IF(D974="Income",F974,-F974)</f>
        <v>-50050.97</v>
      </c>
    </row>
    <row r="975" customFormat="false" ht="15" hidden="false" customHeight="false" outlineLevel="0" collapsed="false">
      <c r="A975" s="54" t="s">
        <v>1187</v>
      </c>
      <c r="B975" s="54" t="s">
        <v>218</v>
      </c>
      <c r="C975" s="54" t="s">
        <v>123</v>
      </c>
      <c r="D975" s="54" t="s">
        <v>188</v>
      </c>
      <c r="E975" s="54" t="s">
        <v>121</v>
      </c>
      <c r="F975" s="55" t="n">
        <v>66035.99</v>
      </c>
      <c r="G975" s="54" t="s">
        <v>123</v>
      </c>
      <c r="H975" s="56" t="n">
        <f aca="false">VLOOKUP(E975,Treatment_Table!$B$5:$E$11,4,FALSE())</f>
        <v>0</v>
      </c>
      <c r="I975" s="57" t="n">
        <f aca="false">F975*H975</f>
        <v>0</v>
      </c>
      <c r="J975" s="57" t="n">
        <f aca="false">IF(D975="Income",F975,-F975)</f>
        <v>-66035.99</v>
      </c>
    </row>
    <row r="976" customFormat="false" ht="15" hidden="false" customHeight="false" outlineLevel="0" collapsed="false">
      <c r="A976" s="54" t="s">
        <v>1188</v>
      </c>
      <c r="B976" s="54" t="s">
        <v>228</v>
      </c>
      <c r="C976" s="54" t="s">
        <v>126</v>
      </c>
      <c r="D976" s="54" t="s">
        <v>188</v>
      </c>
      <c r="E976" s="54" t="s">
        <v>121</v>
      </c>
      <c r="F976" s="55" t="n">
        <v>34839.21</v>
      </c>
      <c r="G976" s="54" t="s">
        <v>126</v>
      </c>
      <c r="H976" s="56" t="n">
        <f aca="false">VLOOKUP(E976,Treatment_Table!$B$5:$E$11,4,FALSE())</f>
        <v>0</v>
      </c>
      <c r="I976" s="57" t="n">
        <f aca="false">F976*H976</f>
        <v>0</v>
      </c>
      <c r="J976" s="57" t="n">
        <f aca="false">IF(D976="Income",F976,-F976)</f>
        <v>-34839.21</v>
      </c>
    </row>
    <row r="977" customFormat="false" ht="15" hidden="false" customHeight="false" outlineLevel="0" collapsed="false">
      <c r="A977" s="54" t="s">
        <v>1189</v>
      </c>
      <c r="B977" s="54" t="s">
        <v>228</v>
      </c>
      <c r="C977" s="54" t="s">
        <v>131</v>
      </c>
      <c r="D977" s="54" t="s">
        <v>188</v>
      </c>
      <c r="E977" s="54" t="s">
        <v>121</v>
      </c>
      <c r="F977" s="55" t="n">
        <v>86748.85</v>
      </c>
      <c r="G977" s="54" t="s">
        <v>131</v>
      </c>
      <c r="H977" s="56" t="n">
        <f aca="false">VLOOKUP(E977,Treatment_Table!$B$5:$E$11,4,FALSE())</f>
        <v>0</v>
      </c>
      <c r="I977" s="57" t="n">
        <f aca="false">F977*H977</f>
        <v>0</v>
      </c>
      <c r="J977" s="57" t="n">
        <f aca="false">IF(D977="Income",F977,-F977)</f>
        <v>-86748.85</v>
      </c>
    </row>
    <row r="978" customFormat="false" ht="15" hidden="false" customHeight="false" outlineLevel="0" collapsed="false">
      <c r="A978" s="54" t="s">
        <v>1190</v>
      </c>
      <c r="B978" s="54" t="s">
        <v>218</v>
      </c>
      <c r="C978" s="54" t="s">
        <v>135</v>
      </c>
      <c r="D978" s="54" t="s">
        <v>188</v>
      </c>
      <c r="E978" s="54" t="s">
        <v>134</v>
      </c>
      <c r="F978" s="55" t="n">
        <v>2121.17</v>
      </c>
      <c r="G978" s="54" t="s">
        <v>135</v>
      </c>
      <c r="H978" s="56" t="n">
        <f aca="false">VLOOKUP(E978,Treatment_Table!$B$5:$E$11,4,FALSE())</f>
        <v>1</v>
      </c>
      <c r="I978" s="57" t="n">
        <f aca="false">F978*H978</f>
        <v>2121.17</v>
      </c>
      <c r="J978" s="57" t="n">
        <f aca="false">IF(D978="Income",F978,-F978)</f>
        <v>-2121.17</v>
      </c>
    </row>
    <row r="979" customFormat="false" ht="15" hidden="false" customHeight="false" outlineLevel="0" collapsed="false">
      <c r="A979" s="54" t="s">
        <v>1191</v>
      </c>
      <c r="B979" s="54" t="s">
        <v>216</v>
      </c>
      <c r="C979" s="54" t="s">
        <v>129</v>
      </c>
      <c r="D979" s="54" t="s">
        <v>188</v>
      </c>
      <c r="E979" s="54" t="s">
        <v>121</v>
      </c>
      <c r="F979" s="55" t="n">
        <v>45146.78</v>
      </c>
      <c r="G979" s="54" t="s">
        <v>129</v>
      </c>
      <c r="H979" s="56" t="n">
        <f aca="false">VLOOKUP(E979,Treatment_Table!$B$5:$E$11,4,FALSE())</f>
        <v>0</v>
      </c>
      <c r="I979" s="57" t="n">
        <f aca="false">F979*H979</f>
        <v>0</v>
      </c>
      <c r="J979" s="57" t="n">
        <f aca="false">IF(D979="Income",F979,-F979)</f>
        <v>-45146.78</v>
      </c>
    </row>
    <row r="980" customFormat="false" ht="15" hidden="false" customHeight="false" outlineLevel="0" collapsed="false">
      <c r="A980" s="54" t="s">
        <v>1192</v>
      </c>
      <c r="B980" s="54" t="s">
        <v>228</v>
      </c>
      <c r="C980" s="54" t="s">
        <v>123</v>
      </c>
      <c r="D980" s="54" t="s">
        <v>188</v>
      </c>
      <c r="E980" s="54" t="s">
        <v>121</v>
      </c>
      <c r="F980" s="55" t="n">
        <v>140815.36</v>
      </c>
      <c r="G980" s="54" t="s">
        <v>123</v>
      </c>
      <c r="H980" s="56" t="n">
        <f aca="false">VLOOKUP(E980,Treatment_Table!$B$5:$E$11,4,FALSE())</f>
        <v>0</v>
      </c>
      <c r="I980" s="57" t="n">
        <f aca="false">F980*H980</f>
        <v>0</v>
      </c>
      <c r="J980" s="57" t="n">
        <f aca="false">IF(D980="Income",F980,-F980)</f>
        <v>-140815.36</v>
      </c>
    </row>
    <row r="981" customFormat="false" ht="15" hidden="false" customHeight="false" outlineLevel="0" collapsed="false">
      <c r="A981" s="54" t="s">
        <v>1193</v>
      </c>
      <c r="B981" s="54" t="s">
        <v>223</v>
      </c>
      <c r="C981" s="54" t="s">
        <v>142</v>
      </c>
      <c r="D981" s="54" t="s">
        <v>188</v>
      </c>
      <c r="E981" s="54" t="s">
        <v>141</v>
      </c>
      <c r="F981" s="55" t="n">
        <v>86956.88</v>
      </c>
      <c r="G981" s="54" t="s">
        <v>142</v>
      </c>
      <c r="H981" s="56" t="n">
        <f aca="false">VLOOKUP(E981,Treatment_Table!$B$5:$E$11,4,FALSE())</f>
        <v>0</v>
      </c>
      <c r="I981" s="57" t="n">
        <f aca="false">F981*H981</f>
        <v>0</v>
      </c>
      <c r="J981" s="57" t="n">
        <f aca="false">IF(D981="Income",F981,-F981)</f>
        <v>-86956.88</v>
      </c>
    </row>
    <row r="982" customFormat="false" ht="15" hidden="false" customHeight="false" outlineLevel="0" collapsed="false">
      <c r="A982" s="54" t="s">
        <v>1194</v>
      </c>
      <c r="B982" s="54" t="s">
        <v>214</v>
      </c>
      <c r="C982" s="54" t="s">
        <v>131</v>
      </c>
      <c r="D982" s="54" t="s">
        <v>188</v>
      </c>
      <c r="E982" s="54" t="s">
        <v>121</v>
      </c>
      <c r="F982" s="55" t="n">
        <v>63767.74</v>
      </c>
      <c r="G982" s="54" t="s">
        <v>131</v>
      </c>
      <c r="H982" s="56" t="n">
        <f aca="false">VLOOKUP(E982,Treatment_Table!$B$5:$E$11,4,FALSE())</f>
        <v>0</v>
      </c>
      <c r="I982" s="57" t="n">
        <f aca="false">F982*H982</f>
        <v>0</v>
      </c>
      <c r="J982" s="57" t="n">
        <f aca="false">IF(D982="Income",F982,-F982)</f>
        <v>-63767.74</v>
      </c>
    </row>
    <row r="983" customFormat="false" ht="15" hidden="false" customHeight="false" outlineLevel="0" collapsed="false">
      <c r="A983" s="54" t="s">
        <v>1195</v>
      </c>
      <c r="B983" s="54" t="s">
        <v>243</v>
      </c>
      <c r="C983" s="54" t="s">
        <v>133</v>
      </c>
      <c r="D983" s="54" t="s">
        <v>188</v>
      </c>
      <c r="E983" s="54" t="s">
        <v>134</v>
      </c>
      <c r="F983" s="55" t="n">
        <v>9504.28</v>
      </c>
      <c r="G983" s="54" t="s">
        <v>133</v>
      </c>
      <c r="H983" s="56" t="n">
        <f aca="false">VLOOKUP(E983,Treatment_Table!$B$5:$E$11,4,FALSE())</f>
        <v>1</v>
      </c>
      <c r="I983" s="57" t="n">
        <f aca="false">F983*H983</f>
        <v>9504.28</v>
      </c>
      <c r="J983" s="57" t="n">
        <f aca="false">IF(D983="Income",F983,-F983)</f>
        <v>-9504.28</v>
      </c>
    </row>
    <row r="984" customFormat="false" ht="15" hidden="false" customHeight="false" outlineLevel="0" collapsed="false">
      <c r="A984" s="54" t="s">
        <v>1196</v>
      </c>
      <c r="B984" s="54" t="s">
        <v>223</v>
      </c>
      <c r="C984" s="54" t="s">
        <v>123</v>
      </c>
      <c r="D984" s="54" t="s">
        <v>188</v>
      </c>
      <c r="E984" s="54" t="s">
        <v>121</v>
      </c>
      <c r="F984" s="55" t="n">
        <v>114255.51</v>
      </c>
      <c r="G984" s="54" t="s">
        <v>123</v>
      </c>
      <c r="H984" s="56" t="n">
        <f aca="false">VLOOKUP(E984,Treatment_Table!$B$5:$E$11,4,FALSE())</f>
        <v>0</v>
      </c>
      <c r="I984" s="57" t="n">
        <f aca="false">F984*H984</f>
        <v>0</v>
      </c>
      <c r="J984" s="57" t="n">
        <f aca="false">IF(D984="Income",F984,-F984)</f>
        <v>-114255.51</v>
      </c>
    </row>
    <row r="985" customFormat="false" ht="15" hidden="false" customHeight="false" outlineLevel="0" collapsed="false">
      <c r="A985" s="54" t="s">
        <v>1197</v>
      </c>
      <c r="B985" s="54" t="s">
        <v>216</v>
      </c>
      <c r="C985" s="54" t="s">
        <v>128</v>
      </c>
      <c r="D985" s="54" t="s">
        <v>188</v>
      </c>
      <c r="E985" s="54" t="s">
        <v>121</v>
      </c>
      <c r="F985" s="55" t="n">
        <v>27351.7</v>
      </c>
      <c r="G985" s="54" t="s">
        <v>128</v>
      </c>
      <c r="H985" s="56" t="n">
        <f aca="false">VLOOKUP(E985,Treatment_Table!$B$5:$E$11,4,FALSE())</f>
        <v>0</v>
      </c>
      <c r="I985" s="57" t="n">
        <f aca="false">F985*H985</f>
        <v>0</v>
      </c>
      <c r="J985" s="57" t="n">
        <f aca="false">IF(D985="Income",F985,-F985)</f>
        <v>-27351.7</v>
      </c>
    </row>
    <row r="986" customFormat="false" ht="15" hidden="false" customHeight="false" outlineLevel="0" collapsed="false">
      <c r="A986" s="54" t="s">
        <v>1198</v>
      </c>
      <c r="B986" s="54" t="s">
        <v>214</v>
      </c>
      <c r="C986" s="54" t="s">
        <v>131</v>
      </c>
      <c r="D986" s="54" t="s">
        <v>188</v>
      </c>
      <c r="E986" s="54" t="s">
        <v>121</v>
      </c>
      <c r="F986" s="55" t="n">
        <v>90599.49</v>
      </c>
      <c r="G986" s="54" t="s">
        <v>131</v>
      </c>
      <c r="H986" s="56" t="n">
        <f aca="false">VLOOKUP(E986,Treatment_Table!$B$5:$E$11,4,FALSE())</f>
        <v>0</v>
      </c>
      <c r="I986" s="57" t="n">
        <f aca="false">F986*H986</f>
        <v>0</v>
      </c>
      <c r="J986" s="57" t="n">
        <f aca="false">IF(D986="Income",F986,-F986)</f>
        <v>-90599.49</v>
      </c>
    </row>
    <row r="987" customFormat="false" ht="15" hidden="false" customHeight="false" outlineLevel="0" collapsed="false">
      <c r="A987" s="54" t="s">
        <v>1199</v>
      </c>
      <c r="B987" s="54" t="s">
        <v>205</v>
      </c>
      <c r="C987" s="54" t="s">
        <v>131</v>
      </c>
      <c r="D987" s="54" t="s">
        <v>188</v>
      </c>
      <c r="E987" s="54" t="s">
        <v>121</v>
      </c>
      <c r="F987" s="55" t="n">
        <v>57440</v>
      </c>
      <c r="G987" s="54" t="s">
        <v>131</v>
      </c>
      <c r="H987" s="56" t="n">
        <f aca="false">VLOOKUP(E987,Treatment_Table!$B$5:$E$11,4,FALSE())</f>
        <v>0</v>
      </c>
      <c r="I987" s="57" t="n">
        <f aca="false">F987*H987</f>
        <v>0</v>
      </c>
      <c r="J987" s="57" t="n">
        <f aca="false">IF(D987="Income",F987,-F987)</f>
        <v>-57440</v>
      </c>
    </row>
    <row r="988" customFormat="false" ht="15" hidden="false" customHeight="false" outlineLevel="0" collapsed="false">
      <c r="A988" s="54" t="s">
        <v>1200</v>
      </c>
      <c r="B988" s="54" t="s">
        <v>218</v>
      </c>
      <c r="C988" s="54" t="s">
        <v>126</v>
      </c>
      <c r="D988" s="54" t="s">
        <v>188</v>
      </c>
      <c r="E988" s="54" t="s">
        <v>121</v>
      </c>
      <c r="F988" s="55" t="n">
        <v>13636.27</v>
      </c>
      <c r="G988" s="54" t="s">
        <v>126</v>
      </c>
      <c r="H988" s="56" t="n">
        <f aca="false">VLOOKUP(E988,Treatment_Table!$B$5:$E$11,4,FALSE())</f>
        <v>0</v>
      </c>
      <c r="I988" s="57" t="n">
        <f aca="false">F988*H988</f>
        <v>0</v>
      </c>
      <c r="J988" s="57" t="n">
        <f aca="false">IF(D988="Income",F988,-F988)</f>
        <v>-13636.27</v>
      </c>
    </row>
    <row r="989" customFormat="false" ht="15" hidden="false" customHeight="false" outlineLevel="0" collapsed="false">
      <c r="A989" s="54" t="s">
        <v>1201</v>
      </c>
      <c r="B989" s="54" t="s">
        <v>243</v>
      </c>
      <c r="C989" s="54" t="s">
        <v>128</v>
      </c>
      <c r="D989" s="54" t="s">
        <v>188</v>
      </c>
      <c r="E989" s="54" t="s">
        <v>121</v>
      </c>
      <c r="F989" s="55" t="n">
        <v>14087.62</v>
      </c>
      <c r="G989" s="54" t="s">
        <v>128</v>
      </c>
      <c r="H989" s="56" t="n">
        <f aca="false">VLOOKUP(E989,Treatment_Table!$B$5:$E$11,4,FALSE())</f>
        <v>0</v>
      </c>
      <c r="I989" s="57" t="n">
        <f aca="false">F989*H989</f>
        <v>0</v>
      </c>
      <c r="J989" s="57" t="n">
        <f aca="false">IF(D989="Income",F989,-F989)</f>
        <v>-14087.62</v>
      </c>
    </row>
    <row r="990" customFormat="false" ht="15" hidden="false" customHeight="false" outlineLevel="0" collapsed="false">
      <c r="A990" s="54" t="s">
        <v>1202</v>
      </c>
      <c r="B990" s="54" t="s">
        <v>223</v>
      </c>
      <c r="C990" s="54" t="s">
        <v>131</v>
      </c>
      <c r="D990" s="54" t="s">
        <v>188</v>
      </c>
      <c r="E990" s="54" t="s">
        <v>121</v>
      </c>
      <c r="F990" s="55" t="n">
        <v>96593.09</v>
      </c>
      <c r="G990" s="54" t="s">
        <v>131</v>
      </c>
      <c r="H990" s="56" t="n">
        <f aca="false">VLOOKUP(E990,Treatment_Table!$B$5:$E$11,4,FALSE())</f>
        <v>0</v>
      </c>
      <c r="I990" s="57" t="n">
        <f aca="false">F990*H990</f>
        <v>0</v>
      </c>
      <c r="J990" s="57" t="n">
        <f aca="false">IF(D990="Income",F990,-F990)</f>
        <v>-96593.09</v>
      </c>
    </row>
    <row r="991" customFormat="false" ht="15" hidden="false" customHeight="false" outlineLevel="0" collapsed="false">
      <c r="A991" s="54" t="s">
        <v>1203</v>
      </c>
      <c r="B991" s="54" t="s">
        <v>218</v>
      </c>
      <c r="C991" s="54" t="s">
        <v>131</v>
      </c>
      <c r="D991" s="54" t="s">
        <v>188</v>
      </c>
      <c r="E991" s="54" t="s">
        <v>121</v>
      </c>
      <c r="F991" s="55" t="n">
        <v>28372.94</v>
      </c>
      <c r="G991" s="54" t="s">
        <v>131</v>
      </c>
      <c r="H991" s="56" t="n">
        <f aca="false">VLOOKUP(E991,Treatment_Table!$B$5:$E$11,4,FALSE())</f>
        <v>0</v>
      </c>
      <c r="I991" s="57" t="n">
        <f aca="false">F991*H991</f>
        <v>0</v>
      </c>
      <c r="J991" s="57" t="n">
        <f aca="false">IF(D991="Income",F991,-F991)</f>
        <v>-28372.94</v>
      </c>
    </row>
    <row r="992" customFormat="false" ht="15" hidden="false" customHeight="false" outlineLevel="0" collapsed="false">
      <c r="A992" s="54" t="s">
        <v>1204</v>
      </c>
      <c r="B992" s="54" t="s">
        <v>247</v>
      </c>
      <c r="C992" s="54" t="s">
        <v>138</v>
      </c>
      <c r="D992" s="54" t="s">
        <v>188</v>
      </c>
      <c r="E992" s="54" t="s">
        <v>139</v>
      </c>
      <c r="F992" s="55" t="n">
        <v>2021.11</v>
      </c>
      <c r="G992" s="54" t="s">
        <v>138</v>
      </c>
      <c r="H992" s="56" t="n">
        <f aca="false">VLOOKUP(E992,Treatment_Table!$B$5:$E$11,4,FALSE())</f>
        <v>0.5</v>
      </c>
      <c r="I992" s="57" t="n">
        <f aca="false">F992*H992</f>
        <v>1010.555</v>
      </c>
      <c r="J992" s="57" t="n">
        <f aca="false">IF(D992="Income",F992,-F992)</f>
        <v>-2021.11</v>
      </c>
    </row>
    <row r="993" customFormat="false" ht="15" hidden="false" customHeight="false" outlineLevel="0" collapsed="false">
      <c r="A993" s="54" t="s">
        <v>1205</v>
      </c>
      <c r="B993" s="54" t="s">
        <v>218</v>
      </c>
      <c r="C993" s="54" t="s">
        <v>129</v>
      </c>
      <c r="D993" s="54" t="s">
        <v>188</v>
      </c>
      <c r="E993" s="54" t="s">
        <v>121</v>
      </c>
      <c r="F993" s="55" t="n">
        <v>23016.71</v>
      </c>
      <c r="G993" s="54" t="s">
        <v>129</v>
      </c>
      <c r="H993" s="56" t="n">
        <f aca="false">VLOOKUP(E993,Treatment_Table!$B$5:$E$11,4,FALSE())</f>
        <v>0</v>
      </c>
      <c r="I993" s="57" t="n">
        <f aca="false">F993*H993</f>
        <v>0</v>
      </c>
      <c r="J993" s="57" t="n">
        <f aca="false">IF(D993="Income",F993,-F993)</f>
        <v>-23016.71</v>
      </c>
    </row>
    <row r="994" customFormat="false" ht="15" hidden="false" customHeight="false" outlineLevel="0" collapsed="false">
      <c r="A994" s="54" t="s">
        <v>1206</v>
      </c>
      <c r="B994" s="54" t="s">
        <v>214</v>
      </c>
      <c r="C994" s="54" t="s">
        <v>128</v>
      </c>
      <c r="D994" s="54" t="s">
        <v>188</v>
      </c>
      <c r="E994" s="54" t="s">
        <v>121</v>
      </c>
      <c r="F994" s="55" t="n">
        <v>22243.35</v>
      </c>
      <c r="G994" s="54" t="s">
        <v>128</v>
      </c>
      <c r="H994" s="56" t="n">
        <f aca="false">VLOOKUP(E994,Treatment_Table!$B$5:$E$11,4,FALSE())</f>
        <v>0</v>
      </c>
      <c r="I994" s="57" t="n">
        <f aca="false">F994*H994</f>
        <v>0</v>
      </c>
      <c r="J994" s="57" t="n">
        <f aca="false">IF(D994="Income",F994,-F994)</f>
        <v>-22243.35</v>
      </c>
    </row>
    <row r="995" customFormat="false" ht="15" hidden="false" customHeight="false" outlineLevel="0" collapsed="false">
      <c r="A995" s="54" t="s">
        <v>1207</v>
      </c>
      <c r="B995" s="54" t="s">
        <v>228</v>
      </c>
      <c r="C995" s="54" t="s">
        <v>124</v>
      </c>
      <c r="D995" s="54" t="s">
        <v>188</v>
      </c>
      <c r="E995" s="54" t="s">
        <v>121</v>
      </c>
      <c r="F995" s="55" t="n">
        <v>32080.99</v>
      </c>
      <c r="G995" s="54" t="s">
        <v>124</v>
      </c>
      <c r="H995" s="56" t="n">
        <f aca="false">VLOOKUP(E995,Treatment_Table!$B$5:$E$11,4,FALSE())</f>
        <v>0</v>
      </c>
      <c r="I995" s="57" t="n">
        <f aca="false">F995*H995</f>
        <v>0</v>
      </c>
      <c r="J995" s="57" t="n">
        <f aca="false">IF(D995="Income",F995,-F995)</f>
        <v>-32080.99</v>
      </c>
    </row>
    <row r="996" customFormat="false" ht="15" hidden="false" customHeight="false" outlineLevel="0" collapsed="false">
      <c r="A996" s="54" t="s">
        <v>1208</v>
      </c>
      <c r="B996" s="54" t="s">
        <v>214</v>
      </c>
      <c r="C996" s="54" t="s">
        <v>131</v>
      </c>
      <c r="D996" s="54" t="s">
        <v>188</v>
      </c>
      <c r="E996" s="54" t="s">
        <v>121</v>
      </c>
      <c r="F996" s="55" t="n">
        <v>103342.53</v>
      </c>
      <c r="G996" s="54" t="s">
        <v>131</v>
      </c>
      <c r="H996" s="56" t="n">
        <f aca="false">VLOOKUP(E996,Treatment_Table!$B$5:$E$11,4,FALSE())</f>
        <v>0</v>
      </c>
      <c r="I996" s="57" t="n">
        <f aca="false">F996*H996</f>
        <v>0</v>
      </c>
      <c r="J996" s="57" t="n">
        <f aca="false">IF(D996="Income",F996,-F996)</f>
        <v>-103342.53</v>
      </c>
    </row>
    <row r="997" customFormat="false" ht="15" hidden="false" customHeight="false" outlineLevel="0" collapsed="false">
      <c r="A997" s="54" t="s">
        <v>1209</v>
      </c>
      <c r="B997" s="54" t="s">
        <v>210</v>
      </c>
      <c r="C997" s="54" t="s">
        <v>126</v>
      </c>
      <c r="D997" s="54" t="s">
        <v>188</v>
      </c>
      <c r="E997" s="54" t="s">
        <v>121</v>
      </c>
      <c r="F997" s="55" t="n">
        <v>25611.39</v>
      </c>
      <c r="G997" s="54" t="s">
        <v>126</v>
      </c>
      <c r="H997" s="56" t="n">
        <f aca="false">VLOOKUP(E997,Treatment_Table!$B$5:$E$11,4,FALSE())</f>
        <v>0</v>
      </c>
      <c r="I997" s="57" t="n">
        <f aca="false">F997*H997</f>
        <v>0</v>
      </c>
      <c r="J997" s="57" t="n">
        <f aca="false">IF(D997="Income",F997,-F997)</f>
        <v>-25611.39</v>
      </c>
    </row>
    <row r="998" customFormat="false" ht="15" hidden="false" customHeight="false" outlineLevel="0" collapsed="false">
      <c r="A998" s="54" t="s">
        <v>1210</v>
      </c>
      <c r="B998" s="54" t="s">
        <v>228</v>
      </c>
      <c r="C998" s="54" t="s">
        <v>131</v>
      </c>
      <c r="D998" s="54" t="s">
        <v>188</v>
      </c>
      <c r="E998" s="54" t="s">
        <v>121</v>
      </c>
      <c r="F998" s="55" t="n">
        <v>93444.3</v>
      </c>
      <c r="G998" s="54" t="s">
        <v>131</v>
      </c>
      <c r="H998" s="56" t="n">
        <f aca="false">VLOOKUP(E998,Treatment_Table!$B$5:$E$11,4,FALSE())</f>
        <v>0</v>
      </c>
      <c r="I998" s="57" t="n">
        <f aca="false">F998*H998</f>
        <v>0</v>
      </c>
      <c r="J998" s="57" t="n">
        <f aca="false">IF(D998="Income",F998,-F998)</f>
        <v>-93444.3</v>
      </c>
    </row>
    <row r="999" customFormat="false" ht="15" hidden="false" customHeight="false" outlineLevel="0" collapsed="false">
      <c r="A999" s="54" t="s">
        <v>1211</v>
      </c>
      <c r="B999" s="54" t="s">
        <v>210</v>
      </c>
      <c r="C999" s="54" t="s">
        <v>131</v>
      </c>
      <c r="D999" s="54" t="s">
        <v>188</v>
      </c>
      <c r="E999" s="54" t="s">
        <v>121</v>
      </c>
      <c r="F999" s="55" t="n">
        <v>74332.49</v>
      </c>
      <c r="G999" s="54" t="s">
        <v>131</v>
      </c>
      <c r="H999" s="56" t="n">
        <f aca="false">VLOOKUP(E999,Treatment_Table!$B$5:$E$11,4,FALSE())</f>
        <v>0</v>
      </c>
      <c r="I999" s="57" t="n">
        <f aca="false">F999*H999</f>
        <v>0</v>
      </c>
      <c r="J999" s="57" t="n">
        <f aca="false">IF(D999="Income",F999,-F999)</f>
        <v>-74332.49</v>
      </c>
    </row>
    <row r="1000" customFormat="false" ht="15" hidden="false" customHeight="false" outlineLevel="0" collapsed="false">
      <c r="A1000" s="54" t="s">
        <v>1212</v>
      </c>
      <c r="B1000" s="54" t="s">
        <v>223</v>
      </c>
      <c r="C1000" s="54" t="s">
        <v>142</v>
      </c>
      <c r="D1000" s="54" t="s">
        <v>188</v>
      </c>
      <c r="E1000" s="54" t="s">
        <v>141</v>
      </c>
      <c r="F1000" s="55" t="n">
        <v>54073.66</v>
      </c>
      <c r="G1000" s="54" t="s">
        <v>142</v>
      </c>
      <c r="H1000" s="56" t="n">
        <f aca="false">VLOOKUP(E1000,Treatment_Table!$B$5:$E$11,4,FALSE())</f>
        <v>0</v>
      </c>
      <c r="I1000" s="57" t="n">
        <f aca="false">F1000*H1000</f>
        <v>0</v>
      </c>
      <c r="J1000" s="57" t="n">
        <f aca="false">IF(D1000="Income",F1000,-F1000)</f>
        <v>-54073.66</v>
      </c>
    </row>
    <row r="1001" customFormat="false" ht="15" hidden="false" customHeight="false" outlineLevel="0" collapsed="false">
      <c r="A1001" s="54" t="s">
        <v>1213</v>
      </c>
      <c r="B1001" s="54" t="s">
        <v>230</v>
      </c>
      <c r="C1001" s="54" t="s">
        <v>131</v>
      </c>
      <c r="D1001" s="54" t="s">
        <v>188</v>
      </c>
      <c r="E1001" s="54" t="s">
        <v>121</v>
      </c>
      <c r="F1001" s="55" t="n">
        <v>107557.81</v>
      </c>
      <c r="G1001" s="54" t="s">
        <v>131</v>
      </c>
      <c r="H1001" s="56" t="n">
        <f aca="false">VLOOKUP(E1001,Treatment_Table!$B$5:$E$11,4,FALSE())</f>
        <v>0</v>
      </c>
      <c r="I1001" s="57" t="n">
        <f aca="false">F1001*H1001</f>
        <v>0</v>
      </c>
      <c r="J1001" s="57" t="n">
        <f aca="false">IF(D1001="Income",F1001,-F1001)</f>
        <v>-107557.81</v>
      </c>
    </row>
    <row r="1002" customFormat="false" ht="15" hidden="false" customHeight="false" outlineLevel="0" collapsed="false">
      <c r="A1002" s="54" t="s">
        <v>1214</v>
      </c>
      <c r="B1002" s="54" t="s">
        <v>243</v>
      </c>
      <c r="C1002" s="54" t="s">
        <v>123</v>
      </c>
      <c r="D1002" s="54" t="s">
        <v>188</v>
      </c>
      <c r="E1002" s="54" t="s">
        <v>121</v>
      </c>
      <c r="F1002" s="55" t="n">
        <v>102313.76</v>
      </c>
      <c r="G1002" s="54" t="s">
        <v>123</v>
      </c>
      <c r="H1002" s="56" t="n">
        <f aca="false">VLOOKUP(E1002,Treatment_Table!$B$5:$E$11,4,FALSE())</f>
        <v>0</v>
      </c>
      <c r="I1002" s="57" t="n">
        <f aca="false">F1002*H1002</f>
        <v>0</v>
      </c>
      <c r="J1002" s="57" t="n">
        <f aca="false">IF(D1002="Income",F1002,-F1002)</f>
        <v>-102313.76</v>
      </c>
    </row>
    <row r="1003" customFormat="false" ht="15" hidden="false" customHeight="false" outlineLevel="0" collapsed="false">
      <c r="A1003" s="54" t="s">
        <v>1215</v>
      </c>
      <c r="B1003" s="54" t="s">
        <v>235</v>
      </c>
      <c r="C1003" s="54" t="s">
        <v>124</v>
      </c>
      <c r="D1003" s="54" t="s">
        <v>188</v>
      </c>
      <c r="E1003" s="54" t="s">
        <v>121</v>
      </c>
      <c r="F1003" s="55" t="n">
        <v>57196.66</v>
      </c>
      <c r="G1003" s="54" t="s">
        <v>124</v>
      </c>
      <c r="H1003" s="56" t="n">
        <f aca="false">VLOOKUP(E1003,Treatment_Table!$B$5:$E$11,4,FALSE())</f>
        <v>0</v>
      </c>
      <c r="I1003" s="57" t="n">
        <f aca="false">F1003*H1003</f>
        <v>0</v>
      </c>
      <c r="J1003" s="57" t="n">
        <f aca="false">IF(D1003="Income",F1003,-F1003)</f>
        <v>-57196.66</v>
      </c>
    </row>
    <row r="1004" customFormat="false" ht="15" hidden="false" customHeight="false" outlineLevel="0" collapsed="false">
      <c r="A1004" s="54" t="s">
        <v>1216</v>
      </c>
      <c r="B1004" s="54" t="s">
        <v>208</v>
      </c>
      <c r="C1004" s="54" t="s">
        <v>123</v>
      </c>
      <c r="D1004" s="54" t="s">
        <v>188</v>
      </c>
      <c r="E1004" s="54" t="s">
        <v>121</v>
      </c>
      <c r="F1004" s="55" t="n">
        <v>129151.38</v>
      </c>
      <c r="G1004" s="54" t="s">
        <v>123</v>
      </c>
      <c r="H1004" s="56" t="n">
        <f aca="false">VLOOKUP(E1004,Treatment_Table!$B$5:$E$11,4,FALSE())</f>
        <v>0</v>
      </c>
      <c r="I1004" s="57" t="n">
        <f aca="false">F1004*H1004</f>
        <v>0</v>
      </c>
      <c r="J1004" s="57" t="n">
        <f aca="false">IF(D1004="Income",F1004,-F1004)</f>
        <v>-129151.38</v>
      </c>
    </row>
    <row r="1005" customFormat="false" ht="15" hidden="false" customHeight="false" outlineLevel="0" collapsed="false">
      <c r="A1005" s="54" t="s">
        <v>1217</v>
      </c>
      <c r="B1005" s="54" t="s">
        <v>228</v>
      </c>
      <c r="C1005" s="54" t="s">
        <v>124</v>
      </c>
      <c r="D1005" s="54" t="s">
        <v>188</v>
      </c>
      <c r="E1005" s="54" t="s">
        <v>121</v>
      </c>
      <c r="F1005" s="55" t="n">
        <v>77403.81</v>
      </c>
      <c r="G1005" s="54" t="s">
        <v>124</v>
      </c>
      <c r="H1005" s="56" t="n">
        <f aca="false">VLOOKUP(E1005,Treatment_Table!$B$5:$E$11,4,FALSE())</f>
        <v>0</v>
      </c>
      <c r="I1005" s="57" t="n">
        <f aca="false">F1005*H1005</f>
        <v>0</v>
      </c>
      <c r="J1005" s="57" t="n">
        <f aca="false">IF(D1005="Income",F1005,-F1005)</f>
        <v>-77403.81</v>
      </c>
    </row>
    <row r="1006" customFormat="false" ht="15" hidden="false" customHeight="false" outlineLevel="0" collapsed="false">
      <c r="A1006" s="54" t="s">
        <v>1218</v>
      </c>
      <c r="B1006" s="54" t="s">
        <v>218</v>
      </c>
      <c r="C1006" s="54" t="s">
        <v>131</v>
      </c>
      <c r="D1006" s="54" t="s">
        <v>188</v>
      </c>
      <c r="E1006" s="54" t="s">
        <v>121</v>
      </c>
      <c r="F1006" s="55" t="n">
        <v>45883.17</v>
      </c>
      <c r="G1006" s="54" t="s">
        <v>131</v>
      </c>
      <c r="H1006" s="56" t="n">
        <f aca="false">VLOOKUP(E1006,Treatment_Table!$B$5:$E$11,4,FALSE())</f>
        <v>0</v>
      </c>
      <c r="I1006" s="57" t="n">
        <f aca="false">F1006*H1006</f>
        <v>0</v>
      </c>
      <c r="J1006" s="57" t="n">
        <f aca="false">IF(D1006="Income",F1006,-F1006)</f>
        <v>-45883.17</v>
      </c>
    </row>
    <row r="1007" customFormat="false" ht="15" hidden="false" customHeight="false" outlineLevel="0" collapsed="false">
      <c r="A1007" s="54" t="s">
        <v>1219</v>
      </c>
      <c r="B1007" s="54" t="s">
        <v>210</v>
      </c>
      <c r="C1007" s="54" t="s">
        <v>131</v>
      </c>
      <c r="D1007" s="54" t="s">
        <v>188</v>
      </c>
      <c r="E1007" s="54" t="s">
        <v>121</v>
      </c>
      <c r="F1007" s="55" t="n">
        <v>98272.78</v>
      </c>
      <c r="G1007" s="54" t="s">
        <v>131</v>
      </c>
      <c r="H1007" s="56" t="n">
        <f aca="false">VLOOKUP(E1007,Treatment_Table!$B$5:$E$11,4,FALSE())</f>
        <v>0</v>
      </c>
      <c r="I1007" s="57" t="n">
        <f aca="false">F1007*H1007</f>
        <v>0</v>
      </c>
      <c r="J1007" s="57" t="n">
        <f aca="false">IF(D1007="Income",F1007,-F1007)</f>
        <v>-98272.78</v>
      </c>
    </row>
    <row r="1008" customFormat="false" ht="15" hidden="false" customHeight="false" outlineLevel="0" collapsed="false">
      <c r="A1008" s="54" t="s">
        <v>1220</v>
      </c>
      <c r="B1008" s="54" t="s">
        <v>247</v>
      </c>
      <c r="C1008" s="54" t="s">
        <v>130</v>
      </c>
      <c r="D1008" s="54" t="s">
        <v>188</v>
      </c>
      <c r="E1008" s="54" t="s">
        <v>121</v>
      </c>
      <c r="F1008" s="55" t="n">
        <v>76289.11</v>
      </c>
      <c r="G1008" s="54" t="s">
        <v>130</v>
      </c>
      <c r="H1008" s="56" t="n">
        <f aca="false">VLOOKUP(E1008,Treatment_Table!$B$5:$E$11,4,FALSE())</f>
        <v>0</v>
      </c>
      <c r="I1008" s="57" t="n">
        <f aca="false">F1008*H1008</f>
        <v>0</v>
      </c>
      <c r="J1008" s="57" t="n">
        <f aca="false">IF(D1008="Income",F1008,-F1008)</f>
        <v>-76289.11</v>
      </c>
    </row>
    <row r="1009" customFormat="false" ht="15" hidden="false" customHeight="false" outlineLevel="0" collapsed="false">
      <c r="A1009" s="54" t="s">
        <v>1221</v>
      </c>
      <c r="B1009" s="54" t="s">
        <v>228</v>
      </c>
      <c r="C1009" s="54" t="s">
        <v>123</v>
      </c>
      <c r="D1009" s="54" t="s">
        <v>188</v>
      </c>
      <c r="E1009" s="54" t="s">
        <v>121</v>
      </c>
      <c r="F1009" s="55" t="n">
        <v>117685.31</v>
      </c>
      <c r="G1009" s="54" t="s">
        <v>123</v>
      </c>
      <c r="H1009" s="56" t="n">
        <f aca="false">VLOOKUP(E1009,Treatment_Table!$B$5:$E$11,4,FALSE())</f>
        <v>0</v>
      </c>
      <c r="I1009" s="57" t="n">
        <f aca="false">F1009*H1009</f>
        <v>0</v>
      </c>
      <c r="J1009" s="57" t="n">
        <f aca="false">IF(D1009="Income",F1009,-F1009)</f>
        <v>-117685.31</v>
      </c>
    </row>
    <row r="1010" customFormat="false" ht="15" hidden="false" customHeight="false" outlineLevel="0" collapsed="false">
      <c r="A1010" s="54" t="s">
        <v>1222</v>
      </c>
      <c r="B1010" s="54" t="s">
        <v>230</v>
      </c>
      <c r="C1010" s="54" t="s">
        <v>131</v>
      </c>
      <c r="D1010" s="54" t="s">
        <v>188</v>
      </c>
      <c r="E1010" s="54" t="s">
        <v>121</v>
      </c>
      <c r="F1010" s="55" t="n">
        <v>17400.49</v>
      </c>
      <c r="G1010" s="54" t="s">
        <v>131</v>
      </c>
      <c r="H1010" s="56" t="n">
        <f aca="false">VLOOKUP(E1010,Treatment_Table!$B$5:$E$11,4,FALSE())</f>
        <v>0</v>
      </c>
      <c r="I1010" s="57" t="n">
        <f aca="false">F1010*H1010</f>
        <v>0</v>
      </c>
      <c r="J1010" s="57" t="n">
        <f aca="false">IF(D1010="Income",F1010,-F1010)</f>
        <v>-17400.49</v>
      </c>
    </row>
    <row r="1011" customFormat="false" ht="15" hidden="false" customHeight="false" outlineLevel="0" collapsed="false">
      <c r="A1011" s="54" t="s">
        <v>1223</v>
      </c>
      <c r="B1011" s="54" t="s">
        <v>223</v>
      </c>
      <c r="C1011" s="54" t="s">
        <v>129</v>
      </c>
      <c r="D1011" s="54" t="s">
        <v>188</v>
      </c>
      <c r="E1011" s="54" t="s">
        <v>121</v>
      </c>
      <c r="F1011" s="55" t="n">
        <v>17403.85</v>
      </c>
      <c r="G1011" s="54" t="s">
        <v>129</v>
      </c>
      <c r="H1011" s="56" t="n">
        <f aca="false">VLOOKUP(E1011,Treatment_Table!$B$5:$E$11,4,FALSE())</f>
        <v>0</v>
      </c>
      <c r="I1011" s="57" t="n">
        <f aca="false">F1011*H1011</f>
        <v>0</v>
      </c>
      <c r="J1011" s="57" t="n">
        <f aca="false">IF(D1011="Income",F1011,-F1011)</f>
        <v>-17403.85</v>
      </c>
    </row>
    <row r="1012" customFormat="false" ht="15" hidden="false" customHeight="false" outlineLevel="0" collapsed="false">
      <c r="A1012" s="54" t="s">
        <v>1224</v>
      </c>
      <c r="B1012" s="54" t="s">
        <v>223</v>
      </c>
      <c r="C1012" s="54" t="s">
        <v>128</v>
      </c>
      <c r="D1012" s="54" t="s">
        <v>188</v>
      </c>
      <c r="E1012" s="54" t="s">
        <v>121</v>
      </c>
      <c r="F1012" s="55" t="n">
        <v>15390.93</v>
      </c>
      <c r="G1012" s="54" t="s">
        <v>128</v>
      </c>
      <c r="H1012" s="56" t="n">
        <f aca="false">VLOOKUP(E1012,Treatment_Table!$B$5:$E$11,4,FALSE())</f>
        <v>0</v>
      </c>
      <c r="I1012" s="57" t="n">
        <f aca="false">F1012*H1012</f>
        <v>0</v>
      </c>
      <c r="J1012" s="57" t="n">
        <f aca="false">IF(D1012="Income",F1012,-F1012)</f>
        <v>-15390.93</v>
      </c>
    </row>
    <row r="1013" customFormat="false" ht="15" hidden="false" customHeight="false" outlineLevel="0" collapsed="false">
      <c r="A1013" s="54" t="s">
        <v>1225</v>
      </c>
      <c r="B1013" s="54" t="s">
        <v>228</v>
      </c>
      <c r="C1013" s="54" t="s">
        <v>123</v>
      </c>
      <c r="D1013" s="54" t="s">
        <v>188</v>
      </c>
      <c r="E1013" s="54" t="s">
        <v>121</v>
      </c>
      <c r="F1013" s="55" t="n">
        <v>97660.76</v>
      </c>
      <c r="G1013" s="54" t="s">
        <v>123</v>
      </c>
      <c r="H1013" s="56" t="n">
        <f aca="false">VLOOKUP(E1013,Treatment_Table!$B$5:$E$11,4,FALSE())</f>
        <v>0</v>
      </c>
      <c r="I1013" s="57" t="n">
        <f aca="false">F1013*H1013</f>
        <v>0</v>
      </c>
      <c r="J1013" s="57" t="n">
        <f aca="false">IF(D1013="Income",F1013,-F1013)</f>
        <v>-97660.76</v>
      </c>
    </row>
    <row r="1014" customFormat="false" ht="15" hidden="false" customHeight="false" outlineLevel="0" collapsed="false">
      <c r="A1014" s="54" t="s">
        <v>1226</v>
      </c>
      <c r="B1014" s="54" t="s">
        <v>205</v>
      </c>
      <c r="C1014" s="54" t="s">
        <v>126</v>
      </c>
      <c r="D1014" s="54" t="s">
        <v>188</v>
      </c>
      <c r="E1014" s="54" t="s">
        <v>121</v>
      </c>
      <c r="F1014" s="55" t="n">
        <v>22658.38</v>
      </c>
      <c r="G1014" s="54" t="s">
        <v>126</v>
      </c>
      <c r="H1014" s="56" t="n">
        <f aca="false">VLOOKUP(E1014,Treatment_Table!$B$5:$E$11,4,FALSE())</f>
        <v>0</v>
      </c>
      <c r="I1014" s="57" t="n">
        <f aca="false">F1014*H1014</f>
        <v>0</v>
      </c>
      <c r="J1014" s="57" t="n">
        <f aca="false">IF(D1014="Income",F1014,-F1014)</f>
        <v>-22658.38</v>
      </c>
    </row>
    <row r="1015" customFormat="false" ht="15" hidden="false" customHeight="false" outlineLevel="0" collapsed="false">
      <c r="A1015" s="54" t="s">
        <v>1227</v>
      </c>
      <c r="B1015" s="54" t="s">
        <v>223</v>
      </c>
      <c r="C1015" s="54" t="s">
        <v>123</v>
      </c>
      <c r="D1015" s="54" t="s">
        <v>188</v>
      </c>
      <c r="E1015" s="54" t="s">
        <v>121</v>
      </c>
      <c r="F1015" s="55" t="n">
        <v>104611.99</v>
      </c>
      <c r="G1015" s="54" t="s">
        <v>123</v>
      </c>
      <c r="H1015" s="56" t="n">
        <f aca="false">VLOOKUP(E1015,Treatment_Table!$B$5:$E$11,4,FALSE())</f>
        <v>0</v>
      </c>
      <c r="I1015" s="57" t="n">
        <f aca="false">F1015*H1015</f>
        <v>0</v>
      </c>
      <c r="J1015" s="57" t="n">
        <f aca="false">IF(D1015="Income",F1015,-F1015)</f>
        <v>-104611.99</v>
      </c>
    </row>
    <row r="1016" customFormat="false" ht="15" hidden="false" customHeight="false" outlineLevel="0" collapsed="false">
      <c r="A1016" s="54" t="s">
        <v>1228</v>
      </c>
      <c r="B1016" s="54" t="s">
        <v>210</v>
      </c>
      <c r="C1016" s="54" t="s">
        <v>122</v>
      </c>
      <c r="D1016" s="54" t="s">
        <v>188</v>
      </c>
      <c r="E1016" s="54" t="s">
        <v>121</v>
      </c>
      <c r="F1016" s="55" t="n">
        <v>687.64</v>
      </c>
      <c r="G1016" s="54" t="s">
        <v>122</v>
      </c>
      <c r="H1016" s="56" t="n">
        <f aca="false">VLOOKUP(E1016,Treatment_Table!$B$5:$E$11,4,FALSE())</f>
        <v>0</v>
      </c>
      <c r="I1016" s="57" t="n">
        <f aca="false">F1016*H1016</f>
        <v>0</v>
      </c>
      <c r="J1016" s="57" t="n">
        <f aca="false">IF(D1016="Income",F1016,-F1016)</f>
        <v>-687.64</v>
      </c>
    </row>
    <row r="1017" customFormat="false" ht="15" hidden="false" customHeight="false" outlineLevel="0" collapsed="false">
      <c r="A1017" s="54" t="s">
        <v>1229</v>
      </c>
      <c r="B1017" s="54" t="s">
        <v>218</v>
      </c>
      <c r="C1017" s="54" t="s">
        <v>123</v>
      </c>
      <c r="D1017" s="54" t="s">
        <v>188</v>
      </c>
      <c r="E1017" s="54" t="s">
        <v>121</v>
      </c>
      <c r="F1017" s="55" t="n">
        <v>116358.14</v>
      </c>
      <c r="G1017" s="54" t="s">
        <v>123</v>
      </c>
      <c r="H1017" s="56" t="n">
        <f aca="false">VLOOKUP(E1017,Treatment_Table!$B$5:$E$11,4,FALSE())</f>
        <v>0</v>
      </c>
      <c r="I1017" s="57" t="n">
        <f aca="false">F1017*H1017</f>
        <v>0</v>
      </c>
      <c r="J1017" s="57" t="n">
        <f aca="false">IF(D1017="Income",F1017,-F1017)</f>
        <v>-116358.14</v>
      </c>
    </row>
    <row r="1018" customFormat="false" ht="15" hidden="false" customHeight="false" outlineLevel="0" collapsed="false">
      <c r="A1018" s="54" t="s">
        <v>1230</v>
      </c>
      <c r="B1018" s="54" t="s">
        <v>243</v>
      </c>
      <c r="C1018" s="54" t="s">
        <v>123</v>
      </c>
      <c r="D1018" s="54" t="s">
        <v>188</v>
      </c>
      <c r="E1018" s="54" t="s">
        <v>121</v>
      </c>
      <c r="F1018" s="55" t="n">
        <v>88344.16</v>
      </c>
      <c r="G1018" s="54" t="s">
        <v>123</v>
      </c>
      <c r="H1018" s="56" t="n">
        <f aca="false">VLOOKUP(E1018,Treatment_Table!$B$5:$E$11,4,FALSE())</f>
        <v>0</v>
      </c>
      <c r="I1018" s="57" t="n">
        <f aca="false">F1018*H1018</f>
        <v>0</v>
      </c>
      <c r="J1018" s="57" t="n">
        <f aca="false">IF(D1018="Income",F1018,-F1018)</f>
        <v>-88344.16</v>
      </c>
    </row>
    <row r="1019" customFormat="false" ht="15" hidden="false" customHeight="false" outlineLevel="0" collapsed="false">
      <c r="A1019" s="54" t="s">
        <v>1231</v>
      </c>
      <c r="B1019" s="54" t="s">
        <v>205</v>
      </c>
      <c r="C1019" s="54" t="s">
        <v>123</v>
      </c>
      <c r="D1019" s="54" t="s">
        <v>188</v>
      </c>
      <c r="E1019" s="54" t="s">
        <v>121</v>
      </c>
      <c r="F1019" s="55" t="n">
        <v>105812.48</v>
      </c>
      <c r="G1019" s="54" t="s">
        <v>123</v>
      </c>
      <c r="H1019" s="56" t="n">
        <f aca="false">VLOOKUP(E1019,Treatment_Table!$B$5:$E$11,4,FALSE())</f>
        <v>0</v>
      </c>
      <c r="I1019" s="57" t="n">
        <f aca="false">F1019*H1019</f>
        <v>0</v>
      </c>
      <c r="J1019" s="57" t="n">
        <f aca="false">IF(D1019="Income",F1019,-F1019)</f>
        <v>-105812.48</v>
      </c>
    </row>
    <row r="1020" customFormat="false" ht="15" hidden="false" customHeight="false" outlineLevel="0" collapsed="false">
      <c r="A1020" s="54" t="s">
        <v>1232</v>
      </c>
      <c r="B1020" s="54" t="s">
        <v>216</v>
      </c>
      <c r="C1020" s="54" t="s">
        <v>131</v>
      </c>
      <c r="D1020" s="54" t="s">
        <v>188</v>
      </c>
      <c r="E1020" s="54" t="s">
        <v>121</v>
      </c>
      <c r="F1020" s="55" t="n">
        <v>63770.78</v>
      </c>
      <c r="G1020" s="54" t="s">
        <v>131</v>
      </c>
      <c r="H1020" s="56" t="n">
        <f aca="false">VLOOKUP(E1020,Treatment_Table!$B$5:$E$11,4,FALSE())</f>
        <v>0</v>
      </c>
      <c r="I1020" s="57" t="n">
        <f aca="false">F1020*H1020</f>
        <v>0</v>
      </c>
      <c r="J1020" s="57" t="n">
        <f aca="false">IF(D1020="Income",F1020,-F1020)</f>
        <v>-63770.78</v>
      </c>
    </row>
    <row r="1021" customFormat="false" ht="15" hidden="false" customHeight="false" outlineLevel="0" collapsed="false">
      <c r="A1021" s="54" t="s">
        <v>1233</v>
      </c>
      <c r="B1021" s="54" t="s">
        <v>247</v>
      </c>
      <c r="C1021" s="54" t="s">
        <v>126</v>
      </c>
      <c r="D1021" s="54" t="s">
        <v>188</v>
      </c>
      <c r="E1021" s="54" t="s">
        <v>121</v>
      </c>
      <c r="F1021" s="55" t="n">
        <v>9797.16</v>
      </c>
      <c r="G1021" s="54" t="s">
        <v>126</v>
      </c>
      <c r="H1021" s="56" t="n">
        <f aca="false">VLOOKUP(E1021,Treatment_Table!$B$5:$E$11,4,FALSE())</f>
        <v>0</v>
      </c>
      <c r="I1021" s="57" t="n">
        <f aca="false">F1021*H1021</f>
        <v>0</v>
      </c>
      <c r="J1021" s="57" t="n">
        <f aca="false">IF(D1021="Income",F1021,-F1021)</f>
        <v>-9797.16</v>
      </c>
    </row>
    <row r="1022" customFormat="false" ht="15" hidden="false" customHeight="false" outlineLevel="0" collapsed="false">
      <c r="A1022" s="54" t="s">
        <v>1234</v>
      </c>
      <c r="B1022" s="54" t="s">
        <v>243</v>
      </c>
      <c r="C1022" s="54" t="s">
        <v>129</v>
      </c>
      <c r="D1022" s="54" t="s">
        <v>188</v>
      </c>
      <c r="E1022" s="54" t="s">
        <v>121</v>
      </c>
      <c r="F1022" s="55" t="n">
        <v>12240.5</v>
      </c>
      <c r="G1022" s="54" t="s">
        <v>129</v>
      </c>
      <c r="H1022" s="56" t="n">
        <f aca="false">VLOOKUP(E1022,Treatment_Table!$B$5:$E$11,4,FALSE())</f>
        <v>0</v>
      </c>
      <c r="I1022" s="57" t="n">
        <f aca="false">F1022*H1022</f>
        <v>0</v>
      </c>
      <c r="J1022" s="57" t="n">
        <f aca="false">IF(D1022="Income",F1022,-F1022)</f>
        <v>-12240.5</v>
      </c>
    </row>
    <row r="1023" customFormat="false" ht="15" hidden="false" customHeight="false" outlineLevel="0" collapsed="false">
      <c r="A1023" s="54" t="s">
        <v>1235</v>
      </c>
      <c r="B1023" s="54" t="s">
        <v>205</v>
      </c>
      <c r="C1023" s="54" t="s">
        <v>123</v>
      </c>
      <c r="D1023" s="54" t="s">
        <v>188</v>
      </c>
      <c r="E1023" s="54" t="s">
        <v>121</v>
      </c>
      <c r="F1023" s="55" t="n">
        <v>169053.05</v>
      </c>
      <c r="G1023" s="54" t="s">
        <v>123</v>
      </c>
      <c r="H1023" s="56" t="n">
        <f aca="false">VLOOKUP(E1023,Treatment_Table!$B$5:$E$11,4,FALSE())</f>
        <v>0</v>
      </c>
      <c r="I1023" s="57" t="n">
        <f aca="false">F1023*H1023</f>
        <v>0</v>
      </c>
      <c r="J1023" s="57" t="n">
        <f aca="false">IF(D1023="Income",F1023,-F1023)</f>
        <v>-169053.05</v>
      </c>
    </row>
    <row r="1024" customFormat="false" ht="15" hidden="false" customHeight="false" outlineLevel="0" collapsed="false">
      <c r="A1024" s="54" t="s">
        <v>1236</v>
      </c>
      <c r="B1024" s="54" t="s">
        <v>205</v>
      </c>
      <c r="C1024" s="54" t="s">
        <v>131</v>
      </c>
      <c r="D1024" s="54" t="s">
        <v>188</v>
      </c>
      <c r="E1024" s="54" t="s">
        <v>121</v>
      </c>
      <c r="F1024" s="55" t="n">
        <v>260525</v>
      </c>
      <c r="G1024" s="54" t="s">
        <v>131</v>
      </c>
      <c r="H1024" s="56" t="n">
        <f aca="false">VLOOKUP(E1024,Treatment_Table!$B$5:$E$11,4,FALSE())</f>
        <v>0</v>
      </c>
      <c r="I1024" s="57" t="n">
        <f aca="false">F1024*H1024</f>
        <v>0</v>
      </c>
      <c r="J1024" s="57" t="n">
        <f aca="false">IF(D1024="Income",F1024,-F1024)</f>
        <v>-260525</v>
      </c>
    </row>
    <row r="1025" customFormat="false" ht="15" hidden="false" customHeight="false" outlineLevel="0" collapsed="false">
      <c r="A1025" s="54" t="s">
        <v>1237</v>
      </c>
      <c r="B1025" s="54" t="s">
        <v>230</v>
      </c>
      <c r="C1025" s="54" t="s">
        <v>131</v>
      </c>
      <c r="D1025" s="54" t="s">
        <v>188</v>
      </c>
      <c r="E1025" s="54" t="s">
        <v>121</v>
      </c>
      <c r="F1025" s="55" t="n">
        <v>124948.47</v>
      </c>
      <c r="G1025" s="54" t="s">
        <v>131</v>
      </c>
      <c r="H1025" s="56" t="n">
        <f aca="false">VLOOKUP(E1025,Treatment_Table!$B$5:$E$11,4,FALSE())</f>
        <v>0</v>
      </c>
      <c r="I1025" s="57" t="n">
        <f aca="false">F1025*H1025</f>
        <v>0</v>
      </c>
      <c r="J1025" s="57" t="n">
        <f aca="false">IF(D1025="Income",F1025,-F1025)</f>
        <v>-124948.47</v>
      </c>
    </row>
    <row r="1026" customFormat="false" ht="15" hidden="false" customHeight="false" outlineLevel="0" collapsed="false">
      <c r="A1026" s="54" t="s">
        <v>1238</v>
      </c>
      <c r="B1026" s="54" t="s">
        <v>247</v>
      </c>
      <c r="C1026" s="54" t="s">
        <v>137</v>
      </c>
      <c r="D1026" s="54" t="s">
        <v>188</v>
      </c>
      <c r="E1026" s="54" t="s">
        <v>134</v>
      </c>
      <c r="F1026" s="55" t="n">
        <v>17472.65</v>
      </c>
      <c r="G1026" s="54" t="s">
        <v>137</v>
      </c>
      <c r="H1026" s="56" t="n">
        <f aca="false">VLOOKUP(E1026,Treatment_Table!$B$5:$E$11,4,FALSE())</f>
        <v>1</v>
      </c>
      <c r="I1026" s="57" t="n">
        <f aca="false">F1026*H1026</f>
        <v>17472.65</v>
      </c>
      <c r="J1026" s="57" t="n">
        <f aca="false">IF(D1026="Income",F1026,-F1026)</f>
        <v>-17472.65</v>
      </c>
    </row>
    <row r="1027" customFormat="false" ht="15" hidden="false" customHeight="false" outlineLevel="0" collapsed="false">
      <c r="A1027" s="54" t="s">
        <v>1239</v>
      </c>
      <c r="B1027" s="54" t="s">
        <v>218</v>
      </c>
      <c r="C1027" s="54" t="s">
        <v>132</v>
      </c>
      <c r="D1027" s="54" t="s">
        <v>188</v>
      </c>
      <c r="E1027" s="54" t="s">
        <v>121</v>
      </c>
      <c r="F1027" s="55" t="n">
        <v>5623.55</v>
      </c>
      <c r="G1027" s="54" t="s">
        <v>132</v>
      </c>
      <c r="H1027" s="56" t="n">
        <f aca="false">VLOOKUP(E1027,Treatment_Table!$B$5:$E$11,4,FALSE())</f>
        <v>0</v>
      </c>
      <c r="I1027" s="57" t="n">
        <f aca="false">F1027*H1027</f>
        <v>0</v>
      </c>
      <c r="J1027" s="57" t="n">
        <f aca="false">IF(D1027="Income",F1027,-F1027)</f>
        <v>-5623.55</v>
      </c>
    </row>
    <row r="1028" customFormat="false" ht="15" hidden="false" customHeight="false" outlineLevel="0" collapsed="false">
      <c r="A1028" s="54" t="s">
        <v>1240</v>
      </c>
      <c r="B1028" s="54" t="s">
        <v>235</v>
      </c>
      <c r="C1028" s="54" t="s">
        <v>131</v>
      </c>
      <c r="D1028" s="54" t="s">
        <v>188</v>
      </c>
      <c r="E1028" s="54" t="s">
        <v>121</v>
      </c>
      <c r="F1028" s="55" t="n">
        <v>49532.29</v>
      </c>
      <c r="G1028" s="54" t="s">
        <v>131</v>
      </c>
      <c r="H1028" s="56" t="n">
        <f aca="false">VLOOKUP(E1028,Treatment_Table!$B$5:$E$11,4,FALSE())</f>
        <v>0</v>
      </c>
      <c r="I1028" s="57" t="n">
        <f aca="false">F1028*H1028</f>
        <v>0</v>
      </c>
      <c r="J1028" s="57" t="n">
        <f aca="false">IF(D1028="Income",F1028,-F1028)</f>
        <v>-49532.29</v>
      </c>
    </row>
    <row r="1029" customFormat="false" ht="15" hidden="false" customHeight="false" outlineLevel="0" collapsed="false">
      <c r="A1029" s="54" t="s">
        <v>1241</v>
      </c>
      <c r="B1029" s="54" t="s">
        <v>208</v>
      </c>
      <c r="C1029" s="54" t="s">
        <v>131</v>
      </c>
      <c r="D1029" s="54" t="s">
        <v>188</v>
      </c>
      <c r="E1029" s="54" t="s">
        <v>121</v>
      </c>
      <c r="F1029" s="55" t="n">
        <v>82125.64</v>
      </c>
      <c r="G1029" s="54" t="s">
        <v>131</v>
      </c>
      <c r="H1029" s="56" t="n">
        <f aca="false">VLOOKUP(E1029,Treatment_Table!$B$5:$E$11,4,FALSE())</f>
        <v>0</v>
      </c>
      <c r="I1029" s="57" t="n">
        <f aca="false">F1029*H1029</f>
        <v>0</v>
      </c>
      <c r="J1029" s="57" t="n">
        <f aca="false">IF(D1029="Income",F1029,-F1029)</f>
        <v>-82125.64</v>
      </c>
    </row>
    <row r="1030" customFormat="false" ht="15" hidden="false" customHeight="false" outlineLevel="0" collapsed="false">
      <c r="A1030" s="54" t="s">
        <v>1242</v>
      </c>
      <c r="B1030" s="54" t="s">
        <v>218</v>
      </c>
      <c r="C1030" s="54" t="s">
        <v>131</v>
      </c>
      <c r="D1030" s="54" t="s">
        <v>188</v>
      </c>
      <c r="E1030" s="54" t="s">
        <v>121</v>
      </c>
      <c r="F1030" s="55" t="n">
        <v>61943.85</v>
      </c>
      <c r="G1030" s="54" t="s">
        <v>131</v>
      </c>
      <c r="H1030" s="56" t="n">
        <f aca="false">VLOOKUP(E1030,Treatment_Table!$B$5:$E$11,4,FALSE())</f>
        <v>0</v>
      </c>
      <c r="I1030" s="57" t="n">
        <f aca="false">F1030*H1030</f>
        <v>0</v>
      </c>
      <c r="J1030" s="57" t="n">
        <f aca="false">IF(D1030="Income",F1030,-F1030)</f>
        <v>-61943.85</v>
      </c>
    </row>
    <row r="1031" customFormat="false" ht="15" hidden="false" customHeight="false" outlineLevel="0" collapsed="false">
      <c r="A1031" s="54" t="s">
        <v>1243</v>
      </c>
      <c r="B1031" s="54" t="s">
        <v>228</v>
      </c>
      <c r="C1031" s="54" t="s">
        <v>142</v>
      </c>
      <c r="D1031" s="54" t="s">
        <v>188</v>
      </c>
      <c r="E1031" s="54" t="s">
        <v>141</v>
      </c>
      <c r="F1031" s="55" t="n">
        <v>42618.59</v>
      </c>
      <c r="G1031" s="54" t="s">
        <v>142</v>
      </c>
      <c r="H1031" s="56" t="n">
        <f aca="false">VLOOKUP(E1031,Treatment_Table!$B$5:$E$11,4,FALSE())</f>
        <v>0</v>
      </c>
      <c r="I1031" s="57" t="n">
        <f aca="false">F1031*H1031</f>
        <v>0</v>
      </c>
      <c r="J1031" s="57" t="n">
        <f aca="false">IF(D1031="Income",F1031,-F1031)</f>
        <v>-42618.59</v>
      </c>
    </row>
    <row r="1032" customFormat="false" ht="15" hidden="false" customHeight="false" outlineLevel="0" collapsed="false">
      <c r="A1032" s="54" t="s">
        <v>1244</v>
      </c>
      <c r="B1032" s="54" t="s">
        <v>223</v>
      </c>
      <c r="C1032" s="54" t="s">
        <v>132</v>
      </c>
      <c r="D1032" s="54" t="s">
        <v>188</v>
      </c>
      <c r="E1032" s="54" t="s">
        <v>121</v>
      </c>
      <c r="F1032" s="55" t="n">
        <v>5087.63</v>
      </c>
      <c r="G1032" s="54" t="s">
        <v>132</v>
      </c>
      <c r="H1032" s="56" t="n">
        <f aca="false">VLOOKUP(E1032,Treatment_Table!$B$5:$E$11,4,FALSE())</f>
        <v>0</v>
      </c>
      <c r="I1032" s="57" t="n">
        <f aca="false">F1032*H1032</f>
        <v>0</v>
      </c>
      <c r="J1032" s="57" t="n">
        <f aca="false">IF(D1032="Income",F1032,-F1032)</f>
        <v>-5087.63</v>
      </c>
    </row>
    <row r="1033" customFormat="false" ht="15" hidden="false" customHeight="false" outlineLevel="0" collapsed="false">
      <c r="A1033" s="54" t="s">
        <v>1245</v>
      </c>
      <c r="B1033" s="54" t="s">
        <v>216</v>
      </c>
      <c r="C1033" s="54" t="s">
        <v>123</v>
      </c>
      <c r="D1033" s="54" t="s">
        <v>188</v>
      </c>
      <c r="E1033" s="54" t="s">
        <v>121</v>
      </c>
      <c r="F1033" s="55" t="n">
        <v>106242.84</v>
      </c>
      <c r="G1033" s="54" t="s">
        <v>123</v>
      </c>
      <c r="H1033" s="56" t="n">
        <f aca="false">VLOOKUP(E1033,Treatment_Table!$B$5:$E$11,4,FALSE())</f>
        <v>0</v>
      </c>
      <c r="I1033" s="57" t="n">
        <f aca="false">F1033*H1033</f>
        <v>0</v>
      </c>
      <c r="J1033" s="57" t="n">
        <f aca="false">IF(D1033="Income",F1033,-F1033)</f>
        <v>-106242.84</v>
      </c>
    </row>
    <row r="1034" customFormat="false" ht="15" hidden="false" customHeight="false" outlineLevel="0" collapsed="false">
      <c r="A1034" s="54" t="s">
        <v>1246</v>
      </c>
      <c r="B1034" s="54" t="s">
        <v>216</v>
      </c>
      <c r="C1034" s="54" t="s">
        <v>128</v>
      </c>
      <c r="D1034" s="54" t="s">
        <v>188</v>
      </c>
      <c r="E1034" s="54" t="s">
        <v>121</v>
      </c>
      <c r="F1034" s="55" t="n">
        <v>65290.61</v>
      </c>
      <c r="G1034" s="54" t="s">
        <v>128</v>
      </c>
      <c r="H1034" s="56" t="n">
        <f aca="false">VLOOKUP(E1034,Treatment_Table!$B$5:$E$11,4,FALSE())</f>
        <v>0</v>
      </c>
      <c r="I1034" s="57" t="n">
        <f aca="false">F1034*H1034</f>
        <v>0</v>
      </c>
      <c r="J1034" s="57" t="n">
        <f aca="false">IF(D1034="Income",F1034,-F1034)</f>
        <v>-65290.61</v>
      </c>
    </row>
    <row r="1035" customFormat="false" ht="15" hidden="false" customHeight="false" outlineLevel="0" collapsed="false">
      <c r="A1035" s="54" t="s">
        <v>1247</v>
      </c>
      <c r="B1035" s="54" t="s">
        <v>208</v>
      </c>
      <c r="C1035" s="54" t="s">
        <v>129</v>
      </c>
      <c r="D1035" s="54" t="s">
        <v>188</v>
      </c>
      <c r="E1035" s="54" t="s">
        <v>121</v>
      </c>
      <c r="F1035" s="55" t="n">
        <v>18095.82</v>
      </c>
      <c r="G1035" s="54" t="s">
        <v>129</v>
      </c>
      <c r="H1035" s="56" t="n">
        <f aca="false">VLOOKUP(E1035,Treatment_Table!$B$5:$E$11,4,FALSE())</f>
        <v>0</v>
      </c>
      <c r="I1035" s="57" t="n">
        <f aca="false">F1035*H1035</f>
        <v>0</v>
      </c>
      <c r="J1035" s="57" t="n">
        <f aca="false">IF(D1035="Income",F1035,-F1035)</f>
        <v>-18095.82</v>
      </c>
    </row>
    <row r="1036" customFormat="false" ht="15" hidden="false" customHeight="false" outlineLevel="0" collapsed="false">
      <c r="A1036" s="54" t="s">
        <v>1248</v>
      </c>
      <c r="B1036" s="54" t="s">
        <v>228</v>
      </c>
      <c r="C1036" s="54" t="s">
        <v>123</v>
      </c>
      <c r="D1036" s="54" t="s">
        <v>188</v>
      </c>
      <c r="E1036" s="54" t="s">
        <v>121</v>
      </c>
      <c r="F1036" s="55" t="n">
        <v>101215.41</v>
      </c>
      <c r="G1036" s="54" t="s">
        <v>123</v>
      </c>
      <c r="H1036" s="56" t="n">
        <f aca="false">VLOOKUP(E1036,Treatment_Table!$B$5:$E$11,4,FALSE())</f>
        <v>0</v>
      </c>
      <c r="I1036" s="57" t="n">
        <f aca="false">F1036*H1036</f>
        <v>0</v>
      </c>
      <c r="J1036" s="57" t="n">
        <f aca="false">IF(D1036="Income",F1036,-F1036)</f>
        <v>-101215.41</v>
      </c>
    </row>
    <row r="1037" customFormat="false" ht="15" hidden="false" customHeight="false" outlineLevel="0" collapsed="false">
      <c r="A1037" s="54" t="s">
        <v>1249</v>
      </c>
      <c r="B1037" s="54" t="s">
        <v>218</v>
      </c>
      <c r="C1037" s="54" t="s">
        <v>126</v>
      </c>
      <c r="D1037" s="54" t="s">
        <v>188</v>
      </c>
      <c r="E1037" s="54" t="s">
        <v>121</v>
      </c>
      <c r="F1037" s="55" t="n">
        <v>23284.06</v>
      </c>
      <c r="G1037" s="54" t="s">
        <v>126</v>
      </c>
      <c r="H1037" s="56" t="n">
        <f aca="false">VLOOKUP(E1037,Treatment_Table!$B$5:$E$11,4,FALSE())</f>
        <v>0</v>
      </c>
      <c r="I1037" s="57" t="n">
        <f aca="false">F1037*H1037</f>
        <v>0</v>
      </c>
      <c r="J1037" s="57" t="n">
        <f aca="false">IF(D1037="Income",F1037,-F1037)</f>
        <v>-23284.06</v>
      </c>
    </row>
    <row r="1038" customFormat="false" ht="15" hidden="false" customHeight="false" outlineLevel="0" collapsed="false">
      <c r="A1038" s="54" t="s">
        <v>1250</v>
      </c>
      <c r="B1038" s="54" t="s">
        <v>223</v>
      </c>
      <c r="C1038" s="54" t="s">
        <v>126</v>
      </c>
      <c r="D1038" s="54" t="s">
        <v>188</v>
      </c>
      <c r="E1038" s="54" t="s">
        <v>121</v>
      </c>
      <c r="F1038" s="55" t="n">
        <v>25938.9</v>
      </c>
      <c r="G1038" s="54" t="s">
        <v>126</v>
      </c>
      <c r="H1038" s="56" t="n">
        <f aca="false">VLOOKUP(E1038,Treatment_Table!$B$5:$E$11,4,FALSE())</f>
        <v>0</v>
      </c>
      <c r="I1038" s="57" t="n">
        <f aca="false">F1038*H1038</f>
        <v>0</v>
      </c>
      <c r="J1038" s="57" t="n">
        <f aca="false">IF(D1038="Income",F1038,-F1038)</f>
        <v>-25938.9</v>
      </c>
    </row>
    <row r="1039" customFormat="false" ht="15" hidden="false" customHeight="false" outlineLevel="0" collapsed="false">
      <c r="A1039" s="54" t="s">
        <v>1251</v>
      </c>
      <c r="B1039" s="54" t="s">
        <v>205</v>
      </c>
      <c r="C1039" s="54" t="s">
        <v>133</v>
      </c>
      <c r="D1039" s="54" t="s">
        <v>188</v>
      </c>
      <c r="E1039" s="54" t="s">
        <v>134</v>
      </c>
      <c r="F1039" s="55" t="n">
        <v>8831.61</v>
      </c>
      <c r="G1039" s="54" t="s">
        <v>133</v>
      </c>
      <c r="H1039" s="56" t="n">
        <f aca="false">VLOOKUP(E1039,Treatment_Table!$B$5:$E$11,4,FALSE())</f>
        <v>1</v>
      </c>
      <c r="I1039" s="57" t="n">
        <f aca="false">F1039*H1039</f>
        <v>8831.61</v>
      </c>
      <c r="J1039" s="57" t="n">
        <f aca="false">IF(D1039="Income",F1039,-F1039)</f>
        <v>-8831.61</v>
      </c>
    </row>
    <row r="1040" customFormat="false" ht="15" hidden="false" customHeight="false" outlineLevel="0" collapsed="false">
      <c r="A1040" s="54" t="s">
        <v>1252</v>
      </c>
      <c r="B1040" s="54" t="s">
        <v>205</v>
      </c>
      <c r="C1040" s="54" t="s">
        <v>142</v>
      </c>
      <c r="D1040" s="54" t="s">
        <v>188</v>
      </c>
      <c r="E1040" s="54" t="s">
        <v>141</v>
      </c>
      <c r="F1040" s="55" t="n">
        <v>77655.36</v>
      </c>
      <c r="G1040" s="54" t="s">
        <v>142</v>
      </c>
      <c r="H1040" s="56" t="n">
        <f aca="false">VLOOKUP(E1040,Treatment_Table!$B$5:$E$11,4,FALSE())</f>
        <v>0</v>
      </c>
      <c r="I1040" s="57" t="n">
        <f aca="false">F1040*H1040</f>
        <v>0</v>
      </c>
      <c r="J1040" s="57" t="n">
        <f aca="false">IF(D1040="Income",F1040,-F1040)</f>
        <v>-77655.36</v>
      </c>
    </row>
    <row r="1041" customFormat="false" ht="15" hidden="false" customHeight="false" outlineLevel="0" collapsed="false">
      <c r="A1041" s="54" t="s">
        <v>1253</v>
      </c>
      <c r="B1041" s="54" t="s">
        <v>216</v>
      </c>
      <c r="C1041" s="54" t="s">
        <v>138</v>
      </c>
      <c r="D1041" s="54" t="s">
        <v>188</v>
      </c>
      <c r="E1041" s="54" t="s">
        <v>139</v>
      </c>
      <c r="F1041" s="55" t="n">
        <v>4221.08</v>
      </c>
      <c r="G1041" s="54" t="s">
        <v>138</v>
      </c>
      <c r="H1041" s="56" t="n">
        <f aca="false">VLOOKUP(E1041,Treatment_Table!$B$5:$E$11,4,FALSE())</f>
        <v>0.5</v>
      </c>
      <c r="I1041" s="57" t="n">
        <f aca="false">F1041*H1041</f>
        <v>2110.54</v>
      </c>
      <c r="J1041" s="57" t="n">
        <f aca="false">IF(D1041="Income",F1041,-F1041)</f>
        <v>-4221.08</v>
      </c>
    </row>
    <row r="1042" customFormat="false" ht="15" hidden="false" customHeight="false" outlineLevel="0" collapsed="false">
      <c r="A1042" s="54" t="s">
        <v>1254</v>
      </c>
      <c r="B1042" s="54" t="s">
        <v>228</v>
      </c>
      <c r="C1042" s="54" t="s">
        <v>130</v>
      </c>
      <c r="D1042" s="54" t="s">
        <v>188</v>
      </c>
      <c r="E1042" s="54" t="s">
        <v>121</v>
      </c>
      <c r="F1042" s="55" t="n">
        <v>77212.11</v>
      </c>
      <c r="G1042" s="54" t="s">
        <v>130</v>
      </c>
      <c r="H1042" s="56" t="n">
        <f aca="false">VLOOKUP(E1042,Treatment_Table!$B$5:$E$11,4,FALSE())</f>
        <v>0</v>
      </c>
      <c r="I1042" s="57" t="n">
        <f aca="false">F1042*H1042</f>
        <v>0</v>
      </c>
      <c r="J1042" s="57" t="n">
        <f aca="false">IF(D1042="Income",F1042,-F1042)</f>
        <v>-77212.11</v>
      </c>
    </row>
    <row r="1043" customFormat="false" ht="15" hidden="false" customHeight="false" outlineLevel="0" collapsed="false">
      <c r="A1043" s="54" t="s">
        <v>1255</v>
      </c>
      <c r="B1043" s="54" t="s">
        <v>223</v>
      </c>
      <c r="C1043" s="54" t="s">
        <v>131</v>
      </c>
      <c r="D1043" s="54" t="s">
        <v>188</v>
      </c>
      <c r="E1043" s="54" t="s">
        <v>121</v>
      </c>
      <c r="F1043" s="55" t="n">
        <v>46552.76</v>
      </c>
      <c r="G1043" s="54" t="s">
        <v>131</v>
      </c>
      <c r="H1043" s="56" t="n">
        <f aca="false">VLOOKUP(E1043,Treatment_Table!$B$5:$E$11,4,FALSE())</f>
        <v>0</v>
      </c>
      <c r="I1043" s="57" t="n">
        <f aca="false">F1043*H1043</f>
        <v>0</v>
      </c>
      <c r="J1043" s="57" t="n">
        <f aca="false">IF(D1043="Income",F1043,-F1043)</f>
        <v>-46552.76</v>
      </c>
    </row>
    <row r="1044" customFormat="false" ht="15" hidden="false" customHeight="false" outlineLevel="0" collapsed="false">
      <c r="A1044" s="54" t="s">
        <v>1256</v>
      </c>
      <c r="B1044" s="54" t="s">
        <v>243</v>
      </c>
      <c r="C1044" s="54" t="s">
        <v>132</v>
      </c>
      <c r="D1044" s="54" t="s">
        <v>188</v>
      </c>
      <c r="E1044" s="54" t="s">
        <v>121</v>
      </c>
      <c r="F1044" s="55" t="n">
        <v>29585.75</v>
      </c>
      <c r="G1044" s="54" t="s">
        <v>132</v>
      </c>
      <c r="H1044" s="56" t="n">
        <f aca="false">VLOOKUP(E1044,Treatment_Table!$B$5:$E$11,4,FALSE())</f>
        <v>0</v>
      </c>
      <c r="I1044" s="57" t="n">
        <f aca="false">F1044*H1044</f>
        <v>0</v>
      </c>
      <c r="J1044" s="57" t="n">
        <f aca="false">IF(D1044="Income",F1044,-F1044)</f>
        <v>-29585.75</v>
      </c>
    </row>
    <row r="1045" customFormat="false" ht="15" hidden="false" customHeight="false" outlineLevel="0" collapsed="false">
      <c r="A1045" s="54" t="s">
        <v>1257</v>
      </c>
      <c r="B1045" s="54" t="s">
        <v>214</v>
      </c>
      <c r="C1045" s="54" t="s">
        <v>123</v>
      </c>
      <c r="D1045" s="54" t="s">
        <v>188</v>
      </c>
      <c r="E1045" s="54" t="s">
        <v>121</v>
      </c>
      <c r="F1045" s="55" t="n">
        <v>55316.13</v>
      </c>
      <c r="G1045" s="54" t="s">
        <v>123</v>
      </c>
      <c r="H1045" s="56" t="n">
        <f aca="false">VLOOKUP(E1045,Treatment_Table!$B$5:$E$11,4,FALSE())</f>
        <v>0</v>
      </c>
      <c r="I1045" s="57" t="n">
        <f aca="false">F1045*H1045</f>
        <v>0</v>
      </c>
      <c r="J1045" s="57" t="n">
        <f aca="false">IF(D1045="Income",F1045,-F1045)</f>
        <v>-55316.13</v>
      </c>
    </row>
    <row r="1046" customFormat="false" ht="15" hidden="false" customHeight="false" outlineLevel="0" collapsed="false">
      <c r="A1046" s="54" t="s">
        <v>1258</v>
      </c>
      <c r="B1046" s="54" t="s">
        <v>208</v>
      </c>
      <c r="C1046" s="54" t="s">
        <v>131</v>
      </c>
      <c r="D1046" s="54" t="s">
        <v>188</v>
      </c>
      <c r="E1046" s="54" t="s">
        <v>121</v>
      </c>
      <c r="F1046" s="55" t="n">
        <v>76762.58</v>
      </c>
      <c r="G1046" s="54" t="s">
        <v>131</v>
      </c>
      <c r="H1046" s="56" t="n">
        <f aca="false">VLOOKUP(E1046,Treatment_Table!$B$5:$E$11,4,FALSE())</f>
        <v>0</v>
      </c>
      <c r="I1046" s="57" t="n">
        <f aca="false">F1046*H1046</f>
        <v>0</v>
      </c>
      <c r="J1046" s="57" t="n">
        <f aca="false">IF(D1046="Income",F1046,-F1046)</f>
        <v>-76762.58</v>
      </c>
    </row>
    <row r="1047" customFormat="false" ht="15" hidden="false" customHeight="false" outlineLevel="0" collapsed="false">
      <c r="A1047" s="54" t="s">
        <v>1259</v>
      </c>
      <c r="B1047" s="54" t="s">
        <v>228</v>
      </c>
      <c r="C1047" s="54" t="s">
        <v>131</v>
      </c>
      <c r="D1047" s="54" t="s">
        <v>188</v>
      </c>
      <c r="E1047" s="54" t="s">
        <v>121</v>
      </c>
      <c r="F1047" s="55" t="n">
        <v>47479.26</v>
      </c>
      <c r="G1047" s="54" t="s">
        <v>131</v>
      </c>
      <c r="H1047" s="56" t="n">
        <f aca="false">VLOOKUP(E1047,Treatment_Table!$B$5:$E$11,4,FALSE())</f>
        <v>0</v>
      </c>
      <c r="I1047" s="57" t="n">
        <f aca="false">F1047*H1047</f>
        <v>0</v>
      </c>
      <c r="J1047" s="57" t="n">
        <f aca="false">IF(D1047="Income",F1047,-F1047)</f>
        <v>-47479.26</v>
      </c>
    </row>
    <row r="1048" customFormat="false" ht="15" hidden="false" customHeight="false" outlineLevel="0" collapsed="false">
      <c r="A1048" s="54" t="s">
        <v>1260</v>
      </c>
      <c r="B1048" s="54" t="s">
        <v>216</v>
      </c>
      <c r="C1048" s="54" t="s">
        <v>126</v>
      </c>
      <c r="D1048" s="54" t="s">
        <v>188</v>
      </c>
      <c r="E1048" s="54" t="s">
        <v>121</v>
      </c>
      <c r="F1048" s="55" t="n">
        <v>19416.17</v>
      </c>
      <c r="G1048" s="54" t="s">
        <v>126</v>
      </c>
      <c r="H1048" s="56" t="n">
        <f aca="false">VLOOKUP(E1048,Treatment_Table!$B$5:$E$11,4,FALSE())</f>
        <v>0</v>
      </c>
      <c r="I1048" s="57" t="n">
        <f aca="false">F1048*H1048</f>
        <v>0</v>
      </c>
      <c r="J1048" s="57" t="n">
        <f aca="false">IF(D1048="Income",F1048,-F1048)</f>
        <v>-19416.17</v>
      </c>
    </row>
    <row r="1049" customFormat="false" ht="15" hidden="false" customHeight="false" outlineLevel="0" collapsed="false">
      <c r="A1049" s="54" t="s">
        <v>1261</v>
      </c>
      <c r="B1049" s="54" t="s">
        <v>223</v>
      </c>
      <c r="C1049" s="54" t="s">
        <v>131</v>
      </c>
      <c r="D1049" s="54" t="s">
        <v>188</v>
      </c>
      <c r="E1049" s="54" t="s">
        <v>121</v>
      </c>
      <c r="F1049" s="55" t="n">
        <v>59244.45</v>
      </c>
      <c r="G1049" s="54" t="s">
        <v>131</v>
      </c>
      <c r="H1049" s="56" t="n">
        <f aca="false">VLOOKUP(E1049,Treatment_Table!$B$5:$E$11,4,FALSE())</f>
        <v>0</v>
      </c>
      <c r="I1049" s="57" t="n">
        <f aca="false">F1049*H1049</f>
        <v>0</v>
      </c>
      <c r="J1049" s="57" t="n">
        <f aca="false">IF(D1049="Income",F1049,-F1049)</f>
        <v>-59244.45</v>
      </c>
    </row>
    <row r="1050" customFormat="false" ht="15" hidden="false" customHeight="false" outlineLevel="0" collapsed="false">
      <c r="A1050" s="54" t="s">
        <v>1262</v>
      </c>
      <c r="B1050" s="54" t="s">
        <v>228</v>
      </c>
      <c r="C1050" s="54" t="s">
        <v>132</v>
      </c>
      <c r="D1050" s="54" t="s">
        <v>188</v>
      </c>
      <c r="E1050" s="54" t="s">
        <v>121</v>
      </c>
      <c r="F1050" s="55" t="n">
        <v>11463.62</v>
      </c>
      <c r="G1050" s="54" t="s">
        <v>132</v>
      </c>
      <c r="H1050" s="56" t="n">
        <f aca="false">VLOOKUP(E1050,Treatment_Table!$B$5:$E$11,4,FALSE())</f>
        <v>0</v>
      </c>
      <c r="I1050" s="57" t="n">
        <f aca="false">F1050*H1050</f>
        <v>0</v>
      </c>
      <c r="J1050" s="57" t="n">
        <f aca="false">IF(D1050="Income",F1050,-F1050)</f>
        <v>-11463.62</v>
      </c>
    </row>
    <row r="1051" customFormat="false" ht="15" hidden="false" customHeight="false" outlineLevel="0" collapsed="false">
      <c r="A1051" s="54" t="s">
        <v>1263</v>
      </c>
      <c r="B1051" s="54" t="s">
        <v>218</v>
      </c>
      <c r="C1051" s="54" t="s">
        <v>126</v>
      </c>
      <c r="D1051" s="54" t="s">
        <v>188</v>
      </c>
      <c r="E1051" s="54" t="s">
        <v>121</v>
      </c>
      <c r="F1051" s="55" t="n">
        <v>15656.2</v>
      </c>
      <c r="G1051" s="54" t="s">
        <v>126</v>
      </c>
      <c r="H1051" s="56" t="n">
        <f aca="false">VLOOKUP(E1051,Treatment_Table!$B$5:$E$11,4,FALSE())</f>
        <v>0</v>
      </c>
      <c r="I1051" s="57" t="n">
        <f aca="false">F1051*H1051</f>
        <v>0</v>
      </c>
      <c r="J1051" s="57" t="n">
        <f aca="false">IF(D1051="Income",F1051,-F1051)</f>
        <v>-15656.2</v>
      </c>
    </row>
    <row r="1052" customFormat="false" ht="15" hidden="false" customHeight="false" outlineLevel="0" collapsed="false">
      <c r="A1052" s="54" t="s">
        <v>1264</v>
      </c>
      <c r="B1052" s="54" t="s">
        <v>216</v>
      </c>
      <c r="C1052" s="54" t="s">
        <v>130</v>
      </c>
      <c r="D1052" s="54" t="s">
        <v>188</v>
      </c>
      <c r="E1052" s="54" t="s">
        <v>121</v>
      </c>
      <c r="F1052" s="55" t="n">
        <v>38735.38</v>
      </c>
      <c r="G1052" s="54" t="s">
        <v>130</v>
      </c>
      <c r="H1052" s="56" t="n">
        <f aca="false">VLOOKUP(E1052,Treatment_Table!$B$5:$E$11,4,FALSE())</f>
        <v>0</v>
      </c>
      <c r="I1052" s="57" t="n">
        <f aca="false">F1052*H1052</f>
        <v>0</v>
      </c>
      <c r="J1052" s="57" t="n">
        <f aca="false">IF(D1052="Income",F1052,-F1052)</f>
        <v>-38735.38</v>
      </c>
    </row>
    <row r="1053" customFormat="false" ht="15" hidden="false" customHeight="false" outlineLevel="0" collapsed="false">
      <c r="A1053" s="54" t="s">
        <v>1265</v>
      </c>
      <c r="B1053" s="54" t="s">
        <v>223</v>
      </c>
      <c r="C1053" s="54" t="s">
        <v>130</v>
      </c>
      <c r="D1053" s="54" t="s">
        <v>188</v>
      </c>
      <c r="E1053" s="54" t="s">
        <v>121</v>
      </c>
      <c r="F1053" s="55" t="n">
        <v>30029.47</v>
      </c>
      <c r="G1053" s="54" t="s">
        <v>130</v>
      </c>
      <c r="H1053" s="56" t="n">
        <f aca="false">VLOOKUP(E1053,Treatment_Table!$B$5:$E$11,4,FALSE())</f>
        <v>0</v>
      </c>
      <c r="I1053" s="57" t="n">
        <f aca="false">F1053*H1053</f>
        <v>0</v>
      </c>
      <c r="J1053" s="57" t="n">
        <f aca="false">IF(D1053="Income",F1053,-F1053)</f>
        <v>-30029.47</v>
      </c>
    </row>
    <row r="1054" customFormat="false" ht="15" hidden="false" customHeight="false" outlineLevel="0" collapsed="false">
      <c r="A1054" s="54" t="s">
        <v>1266</v>
      </c>
      <c r="B1054" s="54" t="s">
        <v>208</v>
      </c>
      <c r="C1054" s="54" t="s">
        <v>123</v>
      </c>
      <c r="D1054" s="54" t="s">
        <v>188</v>
      </c>
      <c r="E1054" s="54" t="s">
        <v>121</v>
      </c>
      <c r="F1054" s="55" t="n">
        <v>168208.05</v>
      </c>
      <c r="G1054" s="54" t="s">
        <v>123</v>
      </c>
      <c r="H1054" s="56" t="n">
        <f aca="false">VLOOKUP(E1054,Treatment_Table!$B$5:$E$11,4,FALSE())</f>
        <v>0</v>
      </c>
      <c r="I1054" s="57" t="n">
        <f aca="false">F1054*H1054</f>
        <v>0</v>
      </c>
      <c r="J1054" s="57" t="n">
        <f aca="false">IF(D1054="Income",F1054,-F1054)</f>
        <v>-168208.05</v>
      </c>
    </row>
    <row r="1055" customFormat="false" ht="15" hidden="false" customHeight="false" outlineLevel="0" collapsed="false">
      <c r="A1055" s="54" t="s">
        <v>1267</v>
      </c>
      <c r="B1055" s="54" t="s">
        <v>208</v>
      </c>
      <c r="C1055" s="54" t="s">
        <v>120</v>
      </c>
      <c r="D1055" s="54" t="s">
        <v>188</v>
      </c>
      <c r="E1055" s="54" t="s">
        <v>121</v>
      </c>
      <c r="F1055" s="55" t="n">
        <v>23744.48</v>
      </c>
      <c r="G1055" s="54" t="s">
        <v>120</v>
      </c>
      <c r="H1055" s="56" t="n">
        <f aca="false">VLOOKUP(E1055,Treatment_Table!$B$5:$E$11,4,FALSE())</f>
        <v>0</v>
      </c>
      <c r="I1055" s="57" t="n">
        <f aca="false">F1055*H1055</f>
        <v>0</v>
      </c>
      <c r="J1055" s="57" t="n">
        <f aca="false">IF(D1055="Income",F1055,-F1055)</f>
        <v>-23744.48</v>
      </c>
    </row>
    <row r="1056" customFormat="false" ht="15" hidden="false" customHeight="false" outlineLevel="0" collapsed="false">
      <c r="A1056" s="54" t="s">
        <v>1268</v>
      </c>
      <c r="B1056" s="54" t="s">
        <v>235</v>
      </c>
      <c r="C1056" s="54" t="s">
        <v>130</v>
      </c>
      <c r="D1056" s="54" t="s">
        <v>188</v>
      </c>
      <c r="E1056" s="54" t="s">
        <v>121</v>
      </c>
      <c r="F1056" s="55" t="n">
        <v>37257.92</v>
      </c>
      <c r="G1056" s="54" t="s">
        <v>130</v>
      </c>
      <c r="H1056" s="56" t="n">
        <f aca="false">VLOOKUP(E1056,Treatment_Table!$B$5:$E$11,4,FALSE())</f>
        <v>0</v>
      </c>
      <c r="I1056" s="57" t="n">
        <f aca="false">F1056*H1056</f>
        <v>0</v>
      </c>
      <c r="J1056" s="57" t="n">
        <f aca="false">IF(D1056="Income",F1056,-F1056)</f>
        <v>-37257.92</v>
      </c>
    </row>
    <row r="1057" customFormat="false" ht="15" hidden="false" customHeight="false" outlineLevel="0" collapsed="false">
      <c r="A1057" s="54" t="s">
        <v>1269</v>
      </c>
      <c r="B1057" s="54" t="s">
        <v>216</v>
      </c>
      <c r="C1057" s="54" t="s">
        <v>131</v>
      </c>
      <c r="D1057" s="54" t="s">
        <v>188</v>
      </c>
      <c r="E1057" s="54" t="s">
        <v>121</v>
      </c>
      <c r="F1057" s="55" t="n">
        <v>42387.46</v>
      </c>
      <c r="G1057" s="54" t="s">
        <v>131</v>
      </c>
      <c r="H1057" s="56" t="n">
        <f aca="false">VLOOKUP(E1057,Treatment_Table!$B$5:$E$11,4,FALSE())</f>
        <v>0</v>
      </c>
      <c r="I1057" s="57" t="n">
        <f aca="false">F1057*H1057</f>
        <v>0</v>
      </c>
      <c r="J1057" s="57" t="n">
        <f aca="false">IF(D1057="Income",F1057,-F1057)</f>
        <v>-42387.46</v>
      </c>
    </row>
    <row r="1058" customFormat="false" ht="15" hidden="false" customHeight="false" outlineLevel="0" collapsed="false">
      <c r="A1058" s="54" t="s">
        <v>1270</v>
      </c>
      <c r="B1058" s="54" t="s">
        <v>214</v>
      </c>
      <c r="C1058" s="54" t="s">
        <v>123</v>
      </c>
      <c r="D1058" s="54" t="s">
        <v>188</v>
      </c>
      <c r="E1058" s="54" t="s">
        <v>121</v>
      </c>
      <c r="F1058" s="55" t="n">
        <v>103460.82</v>
      </c>
      <c r="G1058" s="54" t="s">
        <v>123</v>
      </c>
      <c r="H1058" s="56" t="n">
        <f aca="false">VLOOKUP(E1058,Treatment_Table!$B$5:$E$11,4,FALSE())</f>
        <v>0</v>
      </c>
      <c r="I1058" s="57" t="n">
        <f aca="false">F1058*H1058</f>
        <v>0</v>
      </c>
      <c r="J1058" s="57" t="n">
        <f aca="false">IF(D1058="Income",F1058,-F1058)</f>
        <v>-103460.82</v>
      </c>
    </row>
    <row r="1059" customFormat="false" ht="15" hidden="false" customHeight="false" outlineLevel="0" collapsed="false">
      <c r="A1059" s="54" t="s">
        <v>1271</v>
      </c>
      <c r="B1059" s="54" t="s">
        <v>218</v>
      </c>
      <c r="C1059" s="54" t="s">
        <v>129</v>
      </c>
      <c r="D1059" s="54" t="s">
        <v>188</v>
      </c>
      <c r="E1059" s="54" t="s">
        <v>121</v>
      </c>
      <c r="F1059" s="55" t="n">
        <v>44500.33</v>
      </c>
      <c r="G1059" s="54" t="s">
        <v>129</v>
      </c>
      <c r="H1059" s="56" t="n">
        <f aca="false">VLOOKUP(E1059,Treatment_Table!$B$5:$E$11,4,FALSE())</f>
        <v>0</v>
      </c>
      <c r="I1059" s="57" t="n">
        <f aca="false">F1059*H1059</f>
        <v>0</v>
      </c>
      <c r="J1059" s="57" t="n">
        <f aca="false">IF(D1059="Income",F1059,-F1059)</f>
        <v>-44500.33</v>
      </c>
    </row>
    <row r="1060" customFormat="false" ht="15" hidden="false" customHeight="false" outlineLevel="0" collapsed="false">
      <c r="A1060" s="54" t="s">
        <v>1272</v>
      </c>
      <c r="B1060" s="54" t="s">
        <v>243</v>
      </c>
      <c r="C1060" s="54" t="s">
        <v>124</v>
      </c>
      <c r="D1060" s="54" t="s">
        <v>188</v>
      </c>
      <c r="E1060" s="54" t="s">
        <v>121</v>
      </c>
      <c r="F1060" s="55" t="n">
        <v>23970.08</v>
      </c>
      <c r="G1060" s="54" t="s">
        <v>124</v>
      </c>
      <c r="H1060" s="56" t="n">
        <f aca="false">VLOOKUP(E1060,Treatment_Table!$B$5:$E$11,4,FALSE())</f>
        <v>0</v>
      </c>
      <c r="I1060" s="57" t="n">
        <f aca="false">F1060*H1060</f>
        <v>0</v>
      </c>
      <c r="J1060" s="57" t="n">
        <f aca="false">IF(D1060="Income",F1060,-F1060)</f>
        <v>-23970.08</v>
      </c>
    </row>
    <row r="1061" customFormat="false" ht="15" hidden="false" customHeight="false" outlineLevel="0" collapsed="false">
      <c r="A1061" s="54" t="s">
        <v>1273</v>
      </c>
      <c r="B1061" s="54" t="s">
        <v>230</v>
      </c>
      <c r="C1061" s="54" t="s">
        <v>131</v>
      </c>
      <c r="D1061" s="54" t="s">
        <v>188</v>
      </c>
      <c r="E1061" s="54" t="s">
        <v>121</v>
      </c>
      <c r="F1061" s="55" t="n">
        <v>102382.49</v>
      </c>
      <c r="G1061" s="54" t="s">
        <v>131</v>
      </c>
      <c r="H1061" s="56" t="n">
        <f aca="false">VLOOKUP(E1061,Treatment_Table!$B$5:$E$11,4,FALSE())</f>
        <v>0</v>
      </c>
      <c r="I1061" s="57" t="n">
        <f aca="false">F1061*H1061</f>
        <v>0</v>
      </c>
      <c r="J1061" s="57" t="n">
        <f aca="false">IF(D1061="Income",F1061,-F1061)</f>
        <v>-102382.49</v>
      </c>
    </row>
    <row r="1062" customFormat="false" ht="15" hidden="false" customHeight="false" outlineLevel="0" collapsed="false">
      <c r="A1062" s="54" t="s">
        <v>1274</v>
      </c>
      <c r="B1062" s="54" t="s">
        <v>208</v>
      </c>
      <c r="C1062" s="54" t="s">
        <v>129</v>
      </c>
      <c r="D1062" s="54" t="s">
        <v>188</v>
      </c>
      <c r="E1062" s="54" t="s">
        <v>121</v>
      </c>
      <c r="F1062" s="55" t="n">
        <v>22835.41</v>
      </c>
      <c r="G1062" s="54" t="s">
        <v>129</v>
      </c>
      <c r="H1062" s="56" t="n">
        <f aca="false">VLOOKUP(E1062,Treatment_Table!$B$5:$E$11,4,FALSE())</f>
        <v>0</v>
      </c>
      <c r="I1062" s="57" t="n">
        <f aca="false">F1062*H1062</f>
        <v>0</v>
      </c>
      <c r="J1062" s="57" t="n">
        <f aca="false">IF(D1062="Income",F1062,-F1062)</f>
        <v>-22835.41</v>
      </c>
    </row>
    <row r="1063" customFormat="false" ht="15" hidden="false" customHeight="false" outlineLevel="0" collapsed="false">
      <c r="A1063" s="54" t="s">
        <v>1275</v>
      </c>
      <c r="B1063" s="54" t="s">
        <v>216</v>
      </c>
      <c r="C1063" s="54" t="s">
        <v>131</v>
      </c>
      <c r="D1063" s="54" t="s">
        <v>188</v>
      </c>
      <c r="E1063" s="54" t="s">
        <v>121</v>
      </c>
      <c r="F1063" s="55" t="n">
        <v>23161.72</v>
      </c>
      <c r="G1063" s="54" t="s">
        <v>131</v>
      </c>
      <c r="H1063" s="56" t="n">
        <f aca="false">VLOOKUP(E1063,Treatment_Table!$B$5:$E$11,4,FALSE())</f>
        <v>0</v>
      </c>
      <c r="I1063" s="57" t="n">
        <f aca="false">F1063*H1063</f>
        <v>0</v>
      </c>
      <c r="J1063" s="57" t="n">
        <f aca="false">IF(D1063="Income",F1063,-F1063)</f>
        <v>-23161.72</v>
      </c>
    </row>
    <row r="1064" customFormat="false" ht="15" hidden="false" customHeight="false" outlineLevel="0" collapsed="false">
      <c r="A1064" s="54" t="s">
        <v>1276</v>
      </c>
      <c r="B1064" s="54" t="s">
        <v>228</v>
      </c>
      <c r="C1064" s="54" t="s">
        <v>129</v>
      </c>
      <c r="D1064" s="54" t="s">
        <v>188</v>
      </c>
      <c r="E1064" s="54" t="s">
        <v>121</v>
      </c>
      <c r="F1064" s="55" t="n">
        <v>15251.15</v>
      </c>
      <c r="G1064" s="54" t="s">
        <v>129</v>
      </c>
      <c r="H1064" s="56" t="n">
        <f aca="false">VLOOKUP(E1064,Treatment_Table!$B$5:$E$11,4,FALSE())</f>
        <v>0</v>
      </c>
      <c r="I1064" s="57" t="n">
        <f aca="false">F1064*H1064</f>
        <v>0</v>
      </c>
      <c r="J1064" s="57" t="n">
        <f aca="false">IF(D1064="Income",F1064,-F1064)</f>
        <v>-15251.15</v>
      </c>
    </row>
    <row r="1065" customFormat="false" ht="15" hidden="false" customHeight="false" outlineLevel="0" collapsed="false">
      <c r="A1065" s="54" t="s">
        <v>1277</v>
      </c>
      <c r="B1065" s="54" t="s">
        <v>205</v>
      </c>
      <c r="C1065" s="54" t="s">
        <v>129</v>
      </c>
      <c r="D1065" s="54" t="s">
        <v>188</v>
      </c>
      <c r="E1065" s="54" t="s">
        <v>121</v>
      </c>
      <c r="F1065" s="55" t="n">
        <v>14109.14</v>
      </c>
      <c r="G1065" s="54" t="s">
        <v>129</v>
      </c>
      <c r="H1065" s="56" t="n">
        <f aca="false">VLOOKUP(E1065,Treatment_Table!$B$5:$E$11,4,FALSE())</f>
        <v>0</v>
      </c>
      <c r="I1065" s="57" t="n">
        <f aca="false">F1065*H1065</f>
        <v>0</v>
      </c>
      <c r="J1065" s="57" t="n">
        <f aca="false">IF(D1065="Income",F1065,-F1065)</f>
        <v>-14109.14</v>
      </c>
    </row>
    <row r="1066" customFormat="false" ht="15" hidden="false" customHeight="false" outlineLevel="0" collapsed="false">
      <c r="A1066" s="54" t="s">
        <v>1278</v>
      </c>
      <c r="B1066" s="54" t="s">
        <v>230</v>
      </c>
      <c r="C1066" s="54" t="s">
        <v>131</v>
      </c>
      <c r="D1066" s="54" t="s">
        <v>188</v>
      </c>
      <c r="E1066" s="54" t="s">
        <v>121</v>
      </c>
      <c r="F1066" s="55" t="n">
        <v>52163.67</v>
      </c>
      <c r="G1066" s="54" t="s">
        <v>131</v>
      </c>
      <c r="H1066" s="56" t="n">
        <f aca="false">VLOOKUP(E1066,Treatment_Table!$B$5:$E$11,4,FALSE())</f>
        <v>0</v>
      </c>
      <c r="I1066" s="57" t="n">
        <f aca="false">F1066*H1066</f>
        <v>0</v>
      </c>
      <c r="J1066" s="57" t="n">
        <f aca="false">IF(D1066="Income",F1066,-F1066)</f>
        <v>-52163.67</v>
      </c>
    </row>
    <row r="1067" customFormat="false" ht="15" hidden="false" customHeight="false" outlineLevel="0" collapsed="false">
      <c r="A1067" s="54" t="s">
        <v>1279</v>
      </c>
      <c r="B1067" s="54" t="s">
        <v>223</v>
      </c>
      <c r="C1067" s="54" t="s">
        <v>123</v>
      </c>
      <c r="D1067" s="54" t="s">
        <v>188</v>
      </c>
      <c r="E1067" s="54" t="s">
        <v>121</v>
      </c>
      <c r="F1067" s="55" t="n">
        <v>208475.19</v>
      </c>
      <c r="G1067" s="54" t="s">
        <v>123</v>
      </c>
      <c r="H1067" s="56" t="n">
        <f aca="false">VLOOKUP(E1067,Treatment_Table!$B$5:$E$11,4,FALSE())</f>
        <v>0</v>
      </c>
      <c r="I1067" s="57" t="n">
        <f aca="false">F1067*H1067</f>
        <v>0</v>
      </c>
      <c r="J1067" s="57" t="n">
        <f aca="false">IF(D1067="Income",F1067,-F1067)</f>
        <v>-208475.19</v>
      </c>
    </row>
    <row r="1068" customFormat="false" ht="15" hidden="false" customHeight="false" outlineLevel="0" collapsed="false">
      <c r="A1068" s="54" t="s">
        <v>1280</v>
      </c>
      <c r="B1068" s="54" t="s">
        <v>210</v>
      </c>
      <c r="C1068" s="54" t="s">
        <v>132</v>
      </c>
      <c r="D1068" s="54" t="s">
        <v>188</v>
      </c>
      <c r="E1068" s="54" t="s">
        <v>121</v>
      </c>
      <c r="F1068" s="55" t="n">
        <v>8380.87</v>
      </c>
      <c r="G1068" s="54" t="s">
        <v>132</v>
      </c>
      <c r="H1068" s="56" t="n">
        <f aca="false">VLOOKUP(E1068,Treatment_Table!$B$5:$E$11,4,FALSE())</f>
        <v>0</v>
      </c>
      <c r="I1068" s="57" t="n">
        <f aca="false">F1068*H1068</f>
        <v>0</v>
      </c>
      <c r="J1068" s="57" t="n">
        <f aca="false">IF(D1068="Income",F1068,-F1068)</f>
        <v>-8380.87</v>
      </c>
    </row>
    <row r="1069" customFormat="false" ht="15" hidden="false" customHeight="false" outlineLevel="0" collapsed="false">
      <c r="A1069" s="54" t="s">
        <v>1281</v>
      </c>
      <c r="B1069" s="54" t="s">
        <v>218</v>
      </c>
      <c r="C1069" s="54" t="s">
        <v>131</v>
      </c>
      <c r="D1069" s="54" t="s">
        <v>188</v>
      </c>
      <c r="E1069" s="54" t="s">
        <v>121</v>
      </c>
      <c r="F1069" s="55" t="n">
        <v>123268.85</v>
      </c>
      <c r="G1069" s="54" t="s">
        <v>131</v>
      </c>
      <c r="H1069" s="56" t="n">
        <f aca="false">VLOOKUP(E1069,Treatment_Table!$B$5:$E$11,4,FALSE())</f>
        <v>0</v>
      </c>
      <c r="I1069" s="57" t="n">
        <f aca="false">F1069*H1069</f>
        <v>0</v>
      </c>
      <c r="J1069" s="57" t="n">
        <f aca="false">IF(D1069="Income",F1069,-F1069)</f>
        <v>-123268.85</v>
      </c>
    </row>
    <row r="1070" customFormat="false" ht="15" hidden="false" customHeight="false" outlineLevel="0" collapsed="false">
      <c r="A1070" s="54" t="s">
        <v>1282</v>
      </c>
      <c r="B1070" s="54" t="s">
        <v>208</v>
      </c>
      <c r="C1070" s="54" t="s">
        <v>133</v>
      </c>
      <c r="D1070" s="54" t="s">
        <v>188</v>
      </c>
      <c r="E1070" s="54" t="s">
        <v>134</v>
      </c>
      <c r="F1070" s="55" t="n">
        <v>3803.04</v>
      </c>
      <c r="G1070" s="54" t="s">
        <v>133</v>
      </c>
      <c r="H1070" s="56" t="n">
        <f aca="false">VLOOKUP(E1070,Treatment_Table!$B$5:$E$11,4,FALSE())</f>
        <v>1</v>
      </c>
      <c r="I1070" s="57" t="n">
        <f aca="false">F1070*H1070</f>
        <v>3803.04</v>
      </c>
      <c r="J1070" s="57" t="n">
        <f aca="false">IF(D1070="Income",F1070,-F1070)</f>
        <v>-3803.04</v>
      </c>
    </row>
    <row r="1071" customFormat="false" ht="15" hidden="false" customHeight="false" outlineLevel="0" collapsed="false">
      <c r="A1071" s="54" t="s">
        <v>1283</v>
      </c>
      <c r="B1071" s="54" t="s">
        <v>208</v>
      </c>
      <c r="C1071" s="54" t="s">
        <v>132</v>
      </c>
      <c r="D1071" s="54" t="s">
        <v>188</v>
      </c>
      <c r="E1071" s="54" t="s">
        <v>121</v>
      </c>
      <c r="F1071" s="55" t="n">
        <v>14099.16</v>
      </c>
      <c r="G1071" s="54" t="s">
        <v>132</v>
      </c>
      <c r="H1071" s="56" t="n">
        <f aca="false">VLOOKUP(E1071,Treatment_Table!$B$5:$E$11,4,FALSE())</f>
        <v>0</v>
      </c>
      <c r="I1071" s="57" t="n">
        <f aca="false">F1071*H1071</f>
        <v>0</v>
      </c>
      <c r="J1071" s="57" t="n">
        <f aca="false">IF(D1071="Income",F1071,-F1071)</f>
        <v>-14099.16</v>
      </c>
    </row>
    <row r="1072" customFormat="false" ht="15" hidden="false" customHeight="false" outlineLevel="0" collapsed="false">
      <c r="A1072" s="54" t="s">
        <v>1284</v>
      </c>
      <c r="B1072" s="54" t="s">
        <v>235</v>
      </c>
      <c r="C1072" s="54" t="s">
        <v>123</v>
      </c>
      <c r="D1072" s="54" t="s">
        <v>188</v>
      </c>
      <c r="E1072" s="54" t="s">
        <v>121</v>
      </c>
      <c r="F1072" s="55" t="n">
        <v>119595.74</v>
      </c>
      <c r="G1072" s="54" t="s">
        <v>123</v>
      </c>
      <c r="H1072" s="56" t="n">
        <f aca="false">VLOOKUP(E1072,Treatment_Table!$B$5:$E$11,4,FALSE())</f>
        <v>0</v>
      </c>
      <c r="I1072" s="57" t="n">
        <f aca="false">F1072*H1072</f>
        <v>0</v>
      </c>
      <c r="J1072" s="57" t="n">
        <f aca="false">IF(D1072="Income",F1072,-F1072)</f>
        <v>-119595.74</v>
      </c>
    </row>
    <row r="1073" customFormat="false" ht="15" hidden="false" customHeight="false" outlineLevel="0" collapsed="false">
      <c r="A1073" s="54" t="s">
        <v>1285</v>
      </c>
      <c r="B1073" s="54" t="s">
        <v>218</v>
      </c>
      <c r="C1073" s="54" t="s">
        <v>123</v>
      </c>
      <c r="D1073" s="54" t="s">
        <v>188</v>
      </c>
      <c r="E1073" s="54" t="s">
        <v>121</v>
      </c>
      <c r="F1073" s="55" t="n">
        <v>53409.92</v>
      </c>
      <c r="G1073" s="54" t="s">
        <v>123</v>
      </c>
      <c r="H1073" s="56" t="n">
        <f aca="false">VLOOKUP(E1073,Treatment_Table!$B$5:$E$11,4,FALSE())</f>
        <v>0</v>
      </c>
      <c r="I1073" s="57" t="n">
        <f aca="false">F1073*H1073</f>
        <v>0</v>
      </c>
      <c r="J1073" s="57" t="n">
        <f aca="false">IF(D1073="Income",F1073,-F1073)</f>
        <v>-53409.92</v>
      </c>
    </row>
    <row r="1074" customFormat="false" ht="15" hidden="false" customHeight="false" outlineLevel="0" collapsed="false">
      <c r="A1074" s="54" t="s">
        <v>1286</v>
      </c>
      <c r="B1074" s="54" t="s">
        <v>208</v>
      </c>
      <c r="C1074" s="54" t="s">
        <v>130</v>
      </c>
      <c r="D1074" s="54" t="s">
        <v>188</v>
      </c>
      <c r="E1074" s="54" t="s">
        <v>121</v>
      </c>
      <c r="F1074" s="55" t="n">
        <v>115077.5</v>
      </c>
      <c r="G1074" s="54" t="s">
        <v>130</v>
      </c>
      <c r="H1074" s="56" t="n">
        <f aca="false">VLOOKUP(E1074,Treatment_Table!$B$5:$E$11,4,FALSE())</f>
        <v>0</v>
      </c>
      <c r="I1074" s="57" t="n">
        <f aca="false">F1074*H1074</f>
        <v>0</v>
      </c>
      <c r="J1074" s="57" t="n">
        <f aca="false">IF(D1074="Income",F1074,-F1074)</f>
        <v>-115077.5</v>
      </c>
    </row>
    <row r="1075" customFormat="false" ht="15" hidden="false" customHeight="false" outlineLevel="0" collapsed="false">
      <c r="A1075" s="54" t="s">
        <v>1287</v>
      </c>
      <c r="B1075" s="54" t="s">
        <v>214</v>
      </c>
      <c r="C1075" s="54" t="s">
        <v>130</v>
      </c>
      <c r="D1075" s="54" t="s">
        <v>188</v>
      </c>
      <c r="E1075" s="54" t="s">
        <v>121</v>
      </c>
      <c r="F1075" s="55" t="n">
        <v>36674.9</v>
      </c>
      <c r="G1075" s="54" t="s">
        <v>130</v>
      </c>
      <c r="H1075" s="56" t="n">
        <f aca="false">VLOOKUP(E1075,Treatment_Table!$B$5:$E$11,4,FALSE())</f>
        <v>0</v>
      </c>
      <c r="I1075" s="57" t="n">
        <f aca="false">F1075*H1075</f>
        <v>0</v>
      </c>
      <c r="J1075" s="57" t="n">
        <f aca="false">IF(D1075="Income",F1075,-F1075)</f>
        <v>-36674.9</v>
      </c>
    </row>
    <row r="1076" customFormat="false" ht="15" hidden="false" customHeight="false" outlineLevel="0" collapsed="false">
      <c r="A1076" s="54" t="s">
        <v>1288</v>
      </c>
      <c r="B1076" s="54" t="s">
        <v>208</v>
      </c>
      <c r="C1076" s="54" t="s">
        <v>131</v>
      </c>
      <c r="D1076" s="54" t="s">
        <v>188</v>
      </c>
      <c r="E1076" s="54" t="s">
        <v>121</v>
      </c>
      <c r="F1076" s="55" t="n">
        <v>43994.71</v>
      </c>
      <c r="G1076" s="54" t="s">
        <v>131</v>
      </c>
      <c r="H1076" s="56" t="n">
        <f aca="false">VLOOKUP(E1076,Treatment_Table!$B$5:$E$11,4,FALSE())</f>
        <v>0</v>
      </c>
      <c r="I1076" s="57" t="n">
        <f aca="false">F1076*H1076</f>
        <v>0</v>
      </c>
      <c r="J1076" s="57" t="n">
        <f aca="false">IF(D1076="Income",F1076,-F1076)</f>
        <v>-43994.71</v>
      </c>
    </row>
    <row r="1077" customFormat="false" ht="15" hidden="false" customHeight="false" outlineLevel="0" collapsed="false">
      <c r="A1077" s="54" t="s">
        <v>1289</v>
      </c>
      <c r="B1077" s="54" t="s">
        <v>228</v>
      </c>
      <c r="C1077" s="54" t="s">
        <v>131</v>
      </c>
      <c r="D1077" s="54" t="s">
        <v>188</v>
      </c>
      <c r="E1077" s="54" t="s">
        <v>121</v>
      </c>
      <c r="F1077" s="55" t="n">
        <v>69144.36</v>
      </c>
      <c r="G1077" s="54" t="s">
        <v>131</v>
      </c>
      <c r="H1077" s="56" t="n">
        <f aca="false">VLOOKUP(E1077,Treatment_Table!$B$5:$E$11,4,FALSE())</f>
        <v>0</v>
      </c>
      <c r="I1077" s="57" t="n">
        <f aca="false">F1077*H1077</f>
        <v>0</v>
      </c>
      <c r="J1077" s="57" t="n">
        <f aca="false">IF(D1077="Income",F1077,-F1077)</f>
        <v>-69144.36</v>
      </c>
    </row>
    <row r="1078" customFormat="false" ht="15" hidden="false" customHeight="false" outlineLevel="0" collapsed="false">
      <c r="A1078" s="54" t="s">
        <v>1290</v>
      </c>
      <c r="B1078" s="54" t="s">
        <v>208</v>
      </c>
      <c r="C1078" s="54" t="s">
        <v>131</v>
      </c>
      <c r="D1078" s="54" t="s">
        <v>188</v>
      </c>
      <c r="E1078" s="54" t="s">
        <v>121</v>
      </c>
      <c r="F1078" s="55" t="n">
        <v>57099.47</v>
      </c>
      <c r="G1078" s="54" t="s">
        <v>131</v>
      </c>
      <c r="H1078" s="56" t="n">
        <f aca="false">VLOOKUP(E1078,Treatment_Table!$B$5:$E$11,4,FALSE())</f>
        <v>0</v>
      </c>
      <c r="I1078" s="57" t="n">
        <f aca="false">F1078*H1078</f>
        <v>0</v>
      </c>
      <c r="J1078" s="57" t="n">
        <f aca="false">IF(D1078="Income",F1078,-F1078)</f>
        <v>-57099.47</v>
      </c>
    </row>
    <row r="1079" customFormat="false" ht="15" hidden="false" customHeight="false" outlineLevel="0" collapsed="false">
      <c r="A1079" s="54" t="s">
        <v>1291</v>
      </c>
      <c r="B1079" s="54" t="s">
        <v>218</v>
      </c>
      <c r="C1079" s="54" t="s">
        <v>127</v>
      </c>
      <c r="D1079" s="54" t="s">
        <v>188</v>
      </c>
      <c r="E1079" s="54" t="s">
        <v>121</v>
      </c>
      <c r="F1079" s="55" t="n">
        <v>9232.54</v>
      </c>
      <c r="G1079" s="54" t="s">
        <v>127</v>
      </c>
      <c r="H1079" s="56" t="n">
        <f aca="false">VLOOKUP(E1079,Treatment_Table!$B$5:$E$11,4,FALSE())</f>
        <v>0</v>
      </c>
      <c r="I1079" s="57" t="n">
        <f aca="false">F1079*H1079</f>
        <v>0</v>
      </c>
      <c r="J1079" s="57" t="n">
        <f aca="false">IF(D1079="Income",F1079,-F1079)</f>
        <v>-9232.54</v>
      </c>
    </row>
    <row r="1080" customFormat="false" ht="15" hidden="false" customHeight="false" outlineLevel="0" collapsed="false">
      <c r="A1080" s="54" t="s">
        <v>1292</v>
      </c>
      <c r="B1080" s="54" t="s">
        <v>216</v>
      </c>
      <c r="C1080" s="54" t="s">
        <v>130</v>
      </c>
      <c r="D1080" s="54" t="s">
        <v>188</v>
      </c>
      <c r="E1080" s="54" t="s">
        <v>121</v>
      </c>
      <c r="F1080" s="55" t="n">
        <v>39220.99</v>
      </c>
      <c r="G1080" s="54" t="s">
        <v>130</v>
      </c>
      <c r="H1080" s="56" t="n">
        <f aca="false">VLOOKUP(E1080,Treatment_Table!$B$5:$E$11,4,FALSE())</f>
        <v>0</v>
      </c>
      <c r="I1080" s="57" t="n">
        <f aca="false">F1080*H1080</f>
        <v>0</v>
      </c>
      <c r="J1080" s="57" t="n">
        <f aca="false">IF(D1080="Income",F1080,-F1080)</f>
        <v>-39220.99</v>
      </c>
    </row>
    <row r="1081" customFormat="false" ht="15" hidden="false" customHeight="false" outlineLevel="0" collapsed="false">
      <c r="A1081" s="54" t="s">
        <v>1293</v>
      </c>
      <c r="B1081" s="54" t="s">
        <v>205</v>
      </c>
      <c r="C1081" s="54" t="s">
        <v>142</v>
      </c>
      <c r="D1081" s="54" t="s">
        <v>188</v>
      </c>
      <c r="E1081" s="54" t="s">
        <v>141</v>
      </c>
      <c r="F1081" s="55" t="n">
        <v>67208.7</v>
      </c>
      <c r="G1081" s="54" t="s">
        <v>142</v>
      </c>
      <c r="H1081" s="56" t="n">
        <f aca="false">VLOOKUP(E1081,Treatment_Table!$B$5:$E$11,4,FALSE())</f>
        <v>0</v>
      </c>
      <c r="I1081" s="57" t="n">
        <f aca="false">F1081*H1081</f>
        <v>0</v>
      </c>
      <c r="J1081" s="57" t="n">
        <f aca="false">IF(D1081="Income",F1081,-F1081)</f>
        <v>-67208.7</v>
      </c>
    </row>
    <row r="1082" customFormat="false" ht="15" hidden="false" customHeight="false" outlineLevel="0" collapsed="false">
      <c r="A1082" s="54" t="s">
        <v>1294</v>
      </c>
      <c r="B1082" s="54" t="s">
        <v>216</v>
      </c>
      <c r="C1082" s="54" t="s">
        <v>138</v>
      </c>
      <c r="D1082" s="54" t="s">
        <v>188</v>
      </c>
      <c r="E1082" s="54" t="s">
        <v>139</v>
      </c>
      <c r="F1082" s="55" t="n">
        <v>5226.75</v>
      </c>
      <c r="G1082" s="54" t="s">
        <v>138</v>
      </c>
      <c r="H1082" s="56" t="n">
        <f aca="false">VLOOKUP(E1082,Treatment_Table!$B$5:$E$11,4,FALSE())</f>
        <v>0.5</v>
      </c>
      <c r="I1082" s="57" t="n">
        <f aca="false">F1082*H1082</f>
        <v>2613.375</v>
      </c>
      <c r="J1082" s="57" t="n">
        <f aca="false">IF(D1082="Income",F1082,-F1082)</f>
        <v>-5226.75</v>
      </c>
    </row>
    <row r="1083" customFormat="false" ht="15" hidden="false" customHeight="false" outlineLevel="0" collapsed="false">
      <c r="A1083" s="54" t="s">
        <v>1295</v>
      </c>
      <c r="B1083" s="54" t="s">
        <v>218</v>
      </c>
      <c r="C1083" s="54" t="s">
        <v>131</v>
      </c>
      <c r="D1083" s="54" t="s">
        <v>188</v>
      </c>
      <c r="E1083" s="54" t="s">
        <v>121</v>
      </c>
      <c r="F1083" s="55" t="n">
        <v>44919.42</v>
      </c>
      <c r="G1083" s="54" t="s">
        <v>131</v>
      </c>
      <c r="H1083" s="56" t="n">
        <f aca="false">VLOOKUP(E1083,Treatment_Table!$B$5:$E$11,4,FALSE())</f>
        <v>0</v>
      </c>
      <c r="I1083" s="57" t="n">
        <f aca="false">F1083*H1083</f>
        <v>0</v>
      </c>
      <c r="J1083" s="57" t="n">
        <f aca="false">IF(D1083="Income",F1083,-F1083)</f>
        <v>-44919.42</v>
      </c>
    </row>
    <row r="1084" customFormat="false" ht="15" hidden="false" customHeight="false" outlineLevel="0" collapsed="false">
      <c r="A1084" s="54" t="s">
        <v>1296</v>
      </c>
      <c r="B1084" s="54" t="s">
        <v>208</v>
      </c>
      <c r="C1084" s="54" t="s">
        <v>123</v>
      </c>
      <c r="D1084" s="54" t="s">
        <v>188</v>
      </c>
      <c r="E1084" s="54" t="s">
        <v>121</v>
      </c>
      <c r="F1084" s="55" t="n">
        <v>99809.47</v>
      </c>
      <c r="G1084" s="54" t="s">
        <v>123</v>
      </c>
      <c r="H1084" s="56" t="n">
        <f aca="false">VLOOKUP(E1084,Treatment_Table!$B$5:$E$11,4,FALSE())</f>
        <v>0</v>
      </c>
      <c r="I1084" s="57" t="n">
        <f aca="false">F1084*H1084</f>
        <v>0</v>
      </c>
      <c r="J1084" s="57" t="n">
        <f aca="false">IF(D1084="Income",F1084,-F1084)</f>
        <v>-99809.47</v>
      </c>
    </row>
    <row r="1085" customFormat="false" ht="15" hidden="false" customHeight="false" outlineLevel="0" collapsed="false">
      <c r="A1085" s="54" t="s">
        <v>1297</v>
      </c>
      <c r="B1085" s="54" t="s">
        <v>218</v>
      </c>
      <c r="C1085" s="54" t="s">
        <v>129</v>
      </c>
      <c r="D1085" s="54" t="s">
        <v>188</v>
      </c>
      <c r="E1085" s="54" t="s">
        <v>121</v>
      </c>
      <c r="F1085" s="55" t="n">
        <v>14270.19</v>
      </c>
      <c r="G1085" s="54" t="s">
        <v>129</v>
      </c>
      <c r="H1085" s="56" t="n">
        <f aca="false">VLOOKUP(E1085,Treatment_Table!$B$5:$E$11,4,FALSE())</f>
        <v>0</v>
      </c>
      <c r="I1085" s="57" t="n">
        <f aca="false">F1085*H1085</f>
        <v>0</v>
      </c>
      <c r="J1085" s="57" t="n">
        <f aca="false">IF(D1085="Income",F1085,-F1085)</f>
        <v>-14270.19</v>
      </c>
    </row>
    <row r="1086" customFormat="false" ht="15" hidden="false" customHeight="false" outlineLevel="0" collapsed="false">
      <c r="A1086" s="54" t="s">
        <v>1298</v>
      </c>
      <c r="B1086" s="54" t="s">
        <v>208</v>
      </c>
      <c r="C1086" s="54" t="s">
        <v>123</v>
      </c>
      <c r="D1086" s="54" t="s">
        <v>188</v>
      </c>
      <c r="E1086" s="54" t="s">
        <v>121</v>
      </c>
      <c r="F1086" s="55" t="n">
        <v>44544.23</v>
      </c>
      <c r="G1086" s="54" t="s">
        <v>123</v>
      </c>
      <c r="H1086" s="56" t="n">
        <f aca="false">VLOOKUP(E1086,Treatment_Table!$B$5:$E$11,4,FALSE())</f>
        <v>0</v>
      </c>
      <c r="I1086" s="57" t="n">
        <f aca="false">F1086*H1086</f>
        <v>0</v>
      </c>
      <c r="J1086" s="57" t="n">
        <f aca="false">IF(D1086="Income",F1086,-F1086)</f>
        <v>-44544.23</v>
      </c>
    </row>
    <row r="1087" customFormat="false" ht="15" hidden="false" customHeight="false" outlineLevel="0" collapsed="false">
      <c r="A1087" s="54" t="s">
        <v>1299</v>
      </c>
      <c r="B1087" s="54" t="s">
        <v>208</v>
      </c>
      <c r="C1087" s="54" t="s">
        <v>131</v>
      </c>
      <c r="D1087" s="54" t="s">
        <v>188</v>
      </c>
      <c r="E1087" s="54" t="s">
        <v>121</v>
      </c>
      <c r="F1087" s="55" t="n">
        <v>170286.29</v>
      </c>
      <c r="G1087" s="54" t="s">
        <v>131</v>
      </c>
      <c r="H1087" s="56" t="n">
        <f aca="false">VLOOKUP(E1087,Treatment_Table!$B$5:$E$11,4,FALSE())</f>
        <v>0</v>
      </c>
      <c r="I1087" s="57" t="n">
        <f aca="false">F1087*H1087</f>
        <v>0</v>
      </c>
      <c r="J1087" s="57" t="n">
        <f aca="false">IF(D1087="Income",F1087,-F1087)</f>
        <v>-170286.29</v>
      </c>
    </row>
    <row r="1088" customFormat="false" ht="15" hidden="false" customHeight="false" outlineLevel="0" collapsed="false">
      <c r="A1088" s="54" t="s">
        <v>1300</v>
      </c>
      <c r="B1088" s="54" t="s">
        <v>228</v>
      </c>
      <c r="C1088" s="54" t="s">
        <v>123</v>
      </c>
      <c r="D1088" s="54" t="s">
        <v>188</v>
      </c>
      <c r="E1088" s="54" t="s">
        <v>121</v>
      </c>
      <c r="F1088" s="55" t="n">
        <v>61470.27</v>
      </c>
      <c r="G1088" s="54" t="s">
        <v>123</v>
      </c>
      <c r="H1088" s="56" t="n">
        <f aca="false">VLOOKUP(E1088,Treatment_Table!$B$5:$E$11,4,FALSE())</f>
        <v>0</v>
      </c>
      <c r="I1088" s="57" t="n">
        <f aca="false">F1088*H1088</f>
        <v>0</v>
      </c>
      <c r="J1088" s="57" t="n">
        <f aca="false">IF(D1088="Income",F1088,-F1088)</f>
        <v>-61470.27</v>
      </c>
    </row>
    <row r="1089" customFormat="false" ht="15" hidden="false" customHeight="false" outlineLevel="0" collapsed="false">
      <c r="A1089" s="54" t="s">
        <v>1301</v>
      </c>
      <c r="B1089" s="54" t="s">
        <v>243</v>
      </c>
      <c r="C1089" s="54" t="s">
        <v>131</v>
      </c>
      <c r="D1089" s="54" t="s">
        <v>188</v>
      </c>
      <c r="E1089" s="54" t="s">
        <v>121</v>
      </c>
      <c r="F1089" s="55" t="n">
        <v>158341.68</v>
      </c>
      <c r="G1089" s="54" t="s">
        <v>131</v>
      </c>
      <c r="H1089" s="56" t="n">
        <f aca="false">VLOOKUP(E1089,Treatment_Table!$B$5:$E$11,4,FALSE())</f>
        <v>0</v>
      </c>
      <c r="I1089" s="57" t="n">
        <f aca="false">F1089*H1089</f>
        <v>0</v>
      </c>
      <c r="J1089" s="57" t="n">
        <f aca="false">IF(D1089="Income",F1089,-F1089)</f>
        <v>-158341.68</v>
      </c>
    </row>
    <row r="1090" customFormat="false" ht="15" hidden="false" customHeight="false" outlineLevel="0" collapsed="false">
      <c r="A1090" s="54" t="s">
        <v>1302</v>
      </c>
      <c r="B1090" s="54" t="s">
        <v>230</v>
      </c>
      <c r="C1090" s="54" t="s">
        <v>131</v>
      </c>
      <c r="D1090" s="54" t="s">
        <v>188</v>
      </c>
      <c r="E1090" s="54" t="s">
        <v>121</v>
      </c>
      <c r="F1090" s="55" t="n">
        <v>110572.97</v>
      </c>
      <c r="G1090" s="54" t="s">
        <v>131</v>
      </c>
      <c r="H1090" s="56" t="n">
        <f aca="false">VLOOKUP(E1090,Treatment_Table!$B$5:$E$11,4,FALSE())</f>
        <v>0</v>
      </c>
      <c r="I1090" s="57" t="n">
        <f aca="false">F1090*H1090</f>
        <v>0</v>
      </c>
      <c r="J1090" s="57" t="n">
        <f aca="false">IF(D1090="Income",F1090,-F1090)</f>
        <v>-110572.97</v>
      </c>
    </row>
    <row r="1091" customFormat="false" ht="15" hidden="false" customHeight="false" outlineLevel="0" collapsed="false">
      <c r="A1091" s="54" t="s">
        <v>1303</v>
      </c>
      <c r="B1091" s="54" t="s">
        <v>210</v>
      </c>
      <c r="C1091" s="54" t="s">
        <v>123</v>
      </c>
      <c r="D1091" s="54" t="s">
        <v>188</v>
      </c>
      <c r="E1091" s="54" t="s">
        <v>121</v>
      </c>
      <c r="F1091" s="55" t="n">
        <v>120444.22</v>
      </c>
      <c r="G1091" s="54" t="s">
        <v>123</v>
      </c>
      <c r="H1091" s="56" t="n">
        <f aca="false">VLOOKUP(E1091,Treatment_Table!$B$5:$E$11,4,FALSE())</f>
        <v>0</v>
      </c>
      <c r="I1091" s="57" t="n">
        <f aca="false">F1091*H1091</f>
        <v>0</v>
      </c>
      <c r="J1091" s="57" t="n">
        <f aca="false">IF(D1091="Income",F1091,-F1091)</f>
        <v>-120444.22</v>
      </c>
    </row>
    <row r="1092" customFormat="false" ht="15" hidden="false" customHeight="false" outlineLevel="0" collapsed="false">
      <c r="A1092" s="54" t="s">
        <v>1304</v>
      </c>
      <c r="B1092" s="54" t="s">
        <v>235</v>
      </c>
      <c r="C1092" s="54" t="s">
        <v>130</v>
      </c>
      <c r="D1092" s="54" t="s">
        <v>188</v>
      </c>
      <c r="E1092" s="54" t="s">
        <v>121</v>
      </c>
      <c r="F1092" s="55" t="n">
        <v>58002.82</v>
      </c>
      <c r="G1092" s="54" t="s">
        <v>130</v>
      </c>
      <c r="H1092" s="56" t="n">
        <f aca="false">VLOOKUP(E1092,Treatment_Table!$B$5:$E$11,4,FALSE())</f>
        <v>0</v>
      </c>
      <c r="I1092" s="57" t="n">
        <f aca="false">F1092*H1092</f>
        <v>0</v>
      </c>
      <c r="J1092" s="57" t="n">
        <f aca="false">IF(D1092="Income",F1092,-F1092)</f>
        <v>-58002.82</v>
      </c>
    </row>
  </sheetData>
  <autoFilter ref="A5:J1092"/>
  <mergeCells count="2">
    <mergeCell ref="B1:J1"/>
    <mergeCell ref="B2:J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58"/>
    <col collapsed="false" customWidth="true" hidden="false" outlineLevel="0" max="4" min="4" style="0" width="52"/>
  </cols>
  <sheetData>
    <row r="1" customFormat="false" ht="30" hidden="false" customHeight="true" outlineLevel="0" collapsed="false">
      <c r="A1" s="1"/>
      <c r="B1" s="2" t="s">
        <v>1305</v>
      </c>
      <c r="C1" s="2"/>
      <c r="D1" s="2"/>
    </row>
    <row r="2" customFormat="false" ht="15" hidden="false" customHeight="false" outlineLevel="0" collapsed="false">
      <c r="B2" s="3" t="s">
        <v>1306</v>
      </c>
      <c r="C2" s="3"/>
      <c r="D2" s="3"/>
    </row>
    <row r="4" customFormat="false" ht="30" hidden="false" customHeight="true" outlineLevel="0" collapsed="false">
      <c r="B4" s="14" t="s">
        <v>1307</v>
      </c>
      <c r="C4" s="15" t="s">
        <v>1308</v>
      </c>
      <c r="D4" s="15" t="s">
        <v>1309</v>
      </c>
    </row>
    <row r="5" customFormat="false" ht="33.75" hidden="false" customHeight="true" outlineLevel="0" collapsed="false">
      <c r="B5" s="58" t="s">
        <v>4</v>
      </c>
      <c r="C5" s="59" t="s">
        <v>1310</v>
      </c>
      <c r="D5" s="59" t="s">
        <v>1311</v>
      </c>
    </row>
    <row r="6" customFormat="false" ht="33.75" hidden="false" customHeight="true" outlineLevel="0" collapsed="false">
      <c r="B6" s="58" t="s">
        <v>10</v>
      </c>
      <c r="C6" s="59" t="s">
        <v>1312</v>
      </c>
      <c r="D6" s="59" t="s">
        <v>1313</v>
      </c>
    </row>
    <row r="7" customFormat="false" ht="33.75" hidden="false" customHeight="true" outlineLevel="0" collapsed="false">
      <c r="B7" s="58" t="s">
        <v>1314</v>
      </c>
      <c r="C7" s="59" t="s">
        <v>1315</v>
      </c>
      <c r="D7" s="59" t="s">
        <v>1316</v>
      </c>
    </row>
    <row r="8" customFormat="false" ht="33.75" hidden="false" customHeight="true" outlineLevel="0" collapsed="false">
      <c r="B8" s="58" t="s">
        <v>1317</v>
      </c>
      <c r="C8" s="59" t="s">
        <v>1318</v>
      </c>
      <c r="D8" s="59" t="s">
        <v>1319</v>
      </c>
    </row>
    <row r="9" customFormat="false" ht="33.75" hidden="false" customHeight="true" outlineLevel="0" collapsed="false">
      <c r="B9" s="58" t="s">
        <v>15</v>
      </c>
      <c r="C9" s="59" t="s">
        <v>1320</v>
      </c>
      <c r="D9" s="59" t="s">
        <v>1321</v>
      </c>
    </row>
    <row r="10" customFormat="false" ht="33.75" hidden="false" customHeight="true" outlineLevel="0" collapsed="false">
      <c r="B10" s="58" t="s">
        <v>1322</v>
      </c>
      <c r="C10" s="59" t="s">
        <v>1323</v>
      </c>
      <c r="D10" s="59" t="s">
        <v>1324</v>
      </c>
    </row>
    <row r="11" customFormat="false" ht="33.75" hidden="false" customHeight="true" outlineLevel="0" collapsed="false">
      <c r="B11" s="58" t="s">
        <v>65</v>
      </c>
      <c r="C11" s="59" t="s">
        <v>1325</v>
      </c>
      <c r="D11" s="59" t="s">
        <v>1326</v>
      </c>
    </row>
  </sheetData>
  <mergeCells count="2">
    <mergeCell ref="B1:D1"/>
    <mergeCell ref="B2:D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tru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6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30" hidden="false" customHeight="true" outlineLevel="0" collapsed="false">
      <c r="A1" s="1"/>
      <c r="B1" s="2" t="s">
        <v>1327</v>
      </c>
      <c r="C1" s="2"/>
      <c r="D1" s="2"/>
      <c r="E1" s="2"/>
      <c r="F1" s="2"/>
      <c r="G1" s="2"/>
    </row>
    <row r="2" customFormat="false" ht="15" hidden="false" customHeight="false" outlineLevel="0" collapsed="false">
      <c r="B2" s="3" t="s">
        <v>1328</v>
      </c>
      <c r="C2" s="3"/>
      <c r="D2" s="3"/>
      <c r="E2" s="3"/>
      <c r="F2" s="3"/>
      <c r="G2" s="3"/>
    </row>
    <row r="4" customFormat="false" ht="15" hidden="false" customHeight="false" outlineLevel="0" collapsed="false">
      <c r="B4" s="4" t="s">
        <v>1329</v>
      </c>
      <c r="C4" s="60" t="str">
        <f aca="false">IF(COUNTIF(F8:F16,"FAIL")=0,"ALL CHECKS PASS","CHECK FAILURES")</f>
        <v>ALL CHECKS PASS</v>
      </c>
    </row>
    <row r="7" customFormat="false" ht="30" hidden="false" customHeight="true" outlineLevel="0" collapsed="false">
      <c r="B7" s="14" t="s">
        <v>1330</v>
      </c>
      <c r="C7" s="15" t="s">
        <v>1331</v>
      </c>
      <c r="D7" s="15" t="s">
        <v>1332</v>
      </c>
      <c r="E7" s="15" t="s">
        <v>1333</v>
      </c>
      <c r="F7" s="15" t="s">
        <v>103</v>
      </c>
    </row>
    <row r="8" customFormat="false" ht="15" hidden="false" customHeight="false" outlineLevel="0" collapsed="false">
      <c r="B8" s="8" t="s">
        <v>1334</v>
      </c>
      <c r="C8" s="61" t="n">
        <f aca="false">COUNTA(GL_Register!$A$6:$A$1092)</f>
        <v>1087</v>
      </c>
      <c r="D8" s="62" t="n">
        <v>1087</v>
      </c>
      <c r="E8" s="63" t="n">
        <f aca="false">C8-D8</f>
        <v>0</v>
      </c>
      <c r="F8" s="60" t="str">
        <f aca="false">IF(ABS(E8)&lt;=1,"PASS","FAIL")</f>
        <v>PASS</v>
      </c>
    </row>
    <row r="9" customFormat="false" ht="15" hidden="false" customHeight="false" outlineLevel="0" collapsed="false">
      <c r="B9" s="8" t="s">
        <v>1335</v>
      </c>
      <c r="C9" s="16" t="n">
        <f aca="false">CT_Computation!C7</f>
        <v>24846238.66</v>
      </c>
      <c r="D9" s="16" t="n">
        <f aca="false">SUM(GL_Register!$J$6:$J$1092)</f>
        <v>24846238.66</v>
      </c>
      <c r="E9" s="63" t="n">
        <f aca="false">C9-D9</f>
        <v>0</v>
      </c>
      <c r="F9" s="60" t="str">
        <f aca="false">IF(ABS(E9)&lt;=1,"PASS","FAIL")</f>
        <v>PASS</v>
      </c>
    </row>
    <row r="10" customFormat="false" ht="15" hidden="false" customHeight="false" outlineLevel="0" collapsed="false">
      <c r="B10" s="8" t="s">
        <v>1336</v>
      </c>
      <c r="C10" s="16" t="n">
        <f aca="false">CT_Computation!C17-CT_Computation!C15-CT_Computation!C16</f>
        <v>-3669734.66</v>
      </c>
      <c r="D10" s="16" t="n">
        <f aca="false">SUM(GL_Register!$I$6:$I$1092)</f>
        <v>-3669734.66</v>
      </c>
      <c r="E10" s="63" t="n">
        <f aca="false">C10-D10</f>
        <v>0</v>
      </c>
      <c r="F10" s="60" t="str">
        <f aca="false">IF(ABS(E10)&lt;=1,"PASS","FAIL")</f>
        <v>PASS</v>
      </c>
    </row>
    <row r="11" customFormat="false" ht="15" hidden="false" customHeight="false" outlineLevel="0" collapsed="false">
      <c r="B11" s="8" t="s">
        <v>1337</v>
      </c>
      <c r="C11" s="16" t="n">
        <f aca="false">Rate_Reconciliation!C12</f>
        <v>1499135.36</v>
      </c>
      <c r="D11" s="16" t="n">
        <f aca="false">CT_Computation!C32</f>
        <v>1499135.36</v>
      </c>
      <c r="E11" s="63" t="n">
        <f aca="false">C11-D11</f>
        <v>0</v>
      </c>
      <c r="F11" s="60" t="str">
        <f aca="false">IF(ABS(E11)&lt;=1,"PASS","FAIL")</f>
        <v>PASS</v>
      </c>
    </row>
    <row r="12" customFormat="false" ht="15" hidden="false" customHeight="false" outlineLevel="0" collapsed="false">
      <c r="B12" s="8" t="s">
        <v>1338</v>
      </c>
      <c r="C12" s="16" t="n">
        <f aca="false">Sensitivity!E13</f>
        <v>1499135.36</v>
      </c>
      <c r="D12" s="16" t="n">
        <f aca="false">CT_Computation!C32</f>
        <v>1499135.36</v>
      </c>
      <c r="E12" s="63" t="n">
        <f aca="false">C12-D12</f>
        <v>0</v>
      </c>
      <c r="F12" s="60" t="str">
        <f aca="false">IF(ABS(E12)&lt;=1,"PASS","FAIL")</f>
        <v>PASS</v>
      </c>
    </row>
    <row r="13" customFormat="false" ht="15" hidden="false" customHeight="false" outlineLevel="0" collapsed="false">
      <c r="B13" s="8" t="s">
        <v>1339</v>
      </c>
      <c r="C13" s="61" t="n">
        <f aca="false">COUNT(GL_Register!$H$6:$H$1092)</f>
        <v>1087</v>
      </c>
      <c r="D13" s="61" t="n">
        <f aca="false">COUNTA(GL_Register!$A$6:$A$1092)</f>
        <v>1087</v>
      </c>
      <c r="E13" s="63" t="n">
        <f aca="false">C13-D13</f>
        <v>0</v>
      </c>
      <c r="F13" s="60" t="str">
        <f aca="false">IF(ABS(E13)&lt;=1,"PASS","FAIL")</f>
        <v>PASS</v>
      </c>
    </row>
    <row r="14" customFormat="false" ht="15" hidden="false" customHeight="false" outlineLevel="0" collapsed="false">
      <c r="B14" s="8" t="s">
        <v>1340</v>
      </c>
      <c r="C14" s="61" t="n">
        <f aca="false">Adjustment_Summary!D32</f>
        <v>1087</v>
      </c>
      <c r="D14" s="61" t="n">
        <f aca="false">COUNTA(GL_Register!$A$6:$A$1092)</f>
        <v>1087</v>
      </c>
      <c r="E14" s="63" t="n">
        <f aca="false">C14-D14</f>
        <v>0</v>
      </c>
      <c r="F14" s="60" t="str">
        <f aca="false">IF(ABS(E14)&lt;=1,"PASS","FAIL")</f>
        <v>PASS</v>
      </c>
    </row>
    <row r="15" customFormat="false" ht="15" hidden="false" customHeight="false" outlineLevel="0" collapsed="false">
      <c r="B15" s="8" t="s">
        <v>1341</v>
      </c>
      <c r="C15" s="61" t="n">
        <f aca="false">IF(CT_Computation!C25&gt;=0,1,0)</f>
        <v>1</v>
      </c>
      <c r="D15" s="62" t="n">
        <v>1</v>
      </c>
      <c r="E15" s="63" t="n">
        <f aca="false">C15-D15</f>
        <v>0</v>
      </c>
      <c r="F15" s="60" t="str">
        <f aca="false">IF(ABS(E15)&lt;=1,"PASS","FAIL")</f>
        <v>PASS</v>
      </c>
    </row>
    <row r="16" customFormat="false" ht="15" hidden="false" customHeight="false" outlineLevel="0" collapsed="false">
      <c r="B16" s="8" t="s">
        <v>1342</v>
      </c>
      <c r="C16" s="16" t="n">
        <f aca="false">CT_Computation!C21-CT_Computation!C23</f>
        <v>0</v>
      </c>
      <c r="D16" s="16" t="n">
        <f aca="false">CT_Computation!C24</f>
        <v>0</v>
      </c>
      <c r="E16" s="63" t="n">
        <f aca="false">C16-D16</f>
        <v>0</v>
      </c>
      <c r="F16" s="60" t="str">
        <f aca="false">IF(ABS(E16)&lt;=1,"PASS","FAIL")</f>
        <v>PASS</v>
      </c>
    </row>
  </sheetData>
  <mergeCells count="2">
    <mergeCell ref="B1:G1"/>
    <mergeCell ref="B2:G2"/>
  </mergeCells>
  <conditionalFormatting sqref="C4">
    <cfRule type="expression" priority="2" aboveAverage="0" equalAverage="0" bottom="0" percent="0" rank="0" text="" dxfId="2">
      <formula>C4="ALL CHECKS PASS"</formula>
    </cfRule>
    <cfRule type="expression" priority="3" aboveAverage="0" equalAverage="0" bottom="0" percent="0" rank="0" text="" dxfId="3">
      <formula>C4&lt;&gt;"ALL CHECKS PASS"</formula>
    </cfRule>
  </conditionalFormatting>
  <conditionalFormatting sqref="F8:F16">
    <cfRule type="cellIs" priority="4" operator="equal" aboveAverage="0" equalAverage="0" bottom="0" percent="0" rank="0" text="" dxfId="2">
      <formula>"PASS"</formula>
    </cfRule>
    <cfRule type="cellIs" priority="5" operator="equal" aboveAverage="0" equalAverage="0" bottom="0" percent="0" rank="0" text="" dxfId="3">
      <formula>"FAIL"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2026-10-13T08:01:06Z</dcterms:created>
  <dc:creator>openpyxl</dc:creator>
  <dc:description/>
  <dc:language>en-US</dc:language>
  <cp:lastModifiedBy/>
  <dcterms:modified xsi:type="dcterms:W3CDTF">2026-10-13T08:01:08Z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